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Find a Publisher" sheetId="2" r:id="rId6"/>
    <sheet state="visible" name="Publishers (curated)" sheetId="3" r:id="rId7"/>
    <sheet state="visible" name="Publishers (open)" sheetId="4" r:id="rId8"/>
    <sheet state="visible" name="Investors (curated)" sheetId="5" r:id="rId9"/>
    <sheet state="visible" name="Investors (open)" sheetId="6" r:id="rId10"/>
    <sheet state="visible" name="Developer Resources" sheetId="7" r:id="rId11"/>
  </sheets>
  <definedNames>
    <definedName hidden="1" localSheetId="5" name="_xlnm._FilterDatabase">'Investors (open)'!$B$1:$B$1010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tc={002b83de-bffc-403b-ad9f-5850ea9924ad}</author>
    <author>tc={026d104f-f3ea-475b-ba8b-8b3dd346e32b}</author>
    <author>tc={0a6969c6-792b-4b55-885c-58ebec48ebeb}</author>
    <author>tc={17d221c9-8e76-4e76-a7eb-01f0f7cbb5c2}</author>
    <author>tc={17d55c63-75b6-4d6b-8444-88158039f0f0}</author>
    <author>tc={1e88eeea-299e-4268-9d16-2aabae77bee0}</author>
    <author>tc={26ea8bdf-7a33-4f5d-9089-6ca5fa8da785}</author>
    <author>tc={2d3fdd47-56d7-4fef-9db9-e63fc58f5bd7}</author>
    <author>tc={351b949a-4f3b-4cfd-b44e-14e72592683e}</author>
    <author>tc={39f97a44-72ef-4058-93cf-5cdcc8e53f8f}</author>
    <author>tc={401c5a2d-8dd3-46b2-a352-c71a7426247b}</author>
    <author>tc={4581dcd3-4229-45d2-b337-e0b8b04dd5b5}</author>
    <author>tc={46ce2d0a-52c9-4ce4-a927-0d42a714d659}</author>
    <author>tc={489a5ae2-7576-45c5-8fcc-076766dd7ed7}</author>
    <author>tc={4b8479bc-92bb-44b5-8127-7b9d6c69b211}</author>
    <author>tc={4f63ffc0-5bd9-412f-978a-1167d57a268d}</author>
    <author>tc={64272931-06eb-48a8-9974-25bb10573a3e}</author>
    <author>tc={670b07ea-8f4c-42b6-90d3-2ee2d57f7035}</author>
    <author>tc={69a48a67-12ad-4854-b1da-c4cf1bb9838e}</author>
    <author>tc={7ab61258-5529-418b-b14e-332f935d95b6}</author>
    <author>tc={7cd8d5ae-6c50-46c6-91bb-0b7344f8314c}</author>
    <author>tc={88b737e2-ea1e-482f-b8e1-91104cfff6ed}</author>
    <author>tc={a6f3aa5c-fcda-45d7-86d4-645cec8c5ec0}</author>
    <author>tc={aecb1988-304e-4533-a25c-8221a1161628}</author>
    <author>tc={c50bab46-d631-480a-b763-27fbd082476e}</author>
    <author>tc={c62e101f-bf91-4d92-90ea-bdd2b0ee41dc}</author>
    <author>tc={c9542ac0-0bd5-435b-b653-0096ee30fc67}</author>
    <author>tc={df2f62d0-41c5-4496-a2d8-7ad7b86bed1e}</author>
    <author>tc={e197b44b-0a59-40cd-8ebd-efafe9dacc15}</author>
    <author>tc={f18f86e7-74f1-4f18-9b3e-bf6cc8e96902}</author>
    <author>tc={f4ecd33a-3e57-40fc-8550-36cb6d121ed2}</author>
    <author>tc={f936b837-2a00-4972-8b45-e452a8d7ad2a}</author>
    <author>tc={fe5692d0-2b93-423e-85f1-6db8cfa4819e}</author>
  </authors>
  <commentList>
    <comment authorId="0" xr:uid="{002b83de-bffc-403b-ad9f-5850ea9924ad}" ref="A1">
      <text>
        <t xml:space="preserve">[Threaded comment]
 Your version of Excel allows you to read this threaded comment; however, any edits to it will get removed if the file is opened in a newer version of Excel. Learn more: https://go.microsoft.com/fwlink/?linkid=870924
Comment:
	Their worldwide, HQ in the USA but leaders are based in multiple countries (South Korea, Thailand, USA, Germany etc)
Reply:
	Noted thanks. I've updated it.
</t>
      </text>
    </comment>
    <comment authorId="1" xr:uid="{026d104f-f3ea-475b-ba8b-8b3dd346e32b}" ref="A1">
      <text>
        <t xml:space="preserve">[Threaded comment]
 Your version of Excel allows you to read this threaded comment; however, any edits to it will get removed if the file is opened in a newer version of Excel. Learn more: https://go.microsoft.com/fwlink/?linkid=870924
Comment:
	https://www.balorgames.com
</t>
      </text>
    </comment>
    <comment authorId="2" xr:uid="{0a6969c6-792b-4b55-885c-58ebec48ebeb}" ref="A1">
      <text>
        <t xml:space="preserve">[Threaded comment]
 Your version of Excel allows you to read this threaded comment; however, any edits to it will get removed if the file is opened in a newer version of Excel. Learn more: https://go.microsoft.com/fwlink/?linkid=870924
Comment:
	Rachel is no longer working at Astra Logical.
Reply:
	Thanks for letting me know! Do you know who the right person is?
</t>
      </text>
    </comment>
    <comment authorId="3" xr:uid="{17d221c9-8e76-4e76-a7eb-01f0f7cbb5c2}" ref="A1">
      <text>
        <t xml:space="preserve">[Threaded comment]
 Your version of Excel allows you to read this threaded comment; however, any edits to it will get removed if the file is opened in a newer version of Excel. Learn more: https://go.microsoft.com/fwlink/?linkid=870924
Comment:
	Mike left Blowfish June 2025, not sure who's responsible for scouting at the moment
</t>
      </text>
    </comment>
    <comment authorId="4" xr:uid="{17d55c63-75b6-4d6b-8444-88158039f0f0}" ref="A1">
      <text>
        <t xml:space="preserve">[Threaded comment]
 Your version of Excel allows you to read this threaded comment; however, any edits to it will get removed if the file is opened in a newer version of Excel. Learn more: https://go.microsoft.com/fwlink/?linkid=870924
Comment:
	Gustav left for Coffee Stain in January 2026
</t>
      </text>
    </comment>
    <comment authorId="5" xr:uid="{1e88eeea-299e-4268-9d16-2aabae77bee0}" ref="A1">
      <text>
        <t xml:space="preserve">[Threaded comment]
 Your version of Excel allows you to read this threaded comment; however, any edits to it will get removed if the file is opened in a newer version of Excel. Learn more: https://go.microsoft.com/fwlink/?linkid=870924
Comment:
	Sam is not working at Annapurna anymore.
</t>
      </text>
    </comment>
    <comment authorId="6" xr:uid="{26ea8bdf-7a33-4f5d-9089-6ca5fa8da785}" ref="A1">
      <text>
        <t xml:space="preserve">[Threaded comment]
 Your version of Excel allows you to read this threaded comment; however, any edits to it will get removed if the file is opened in a newer version of Excel. Learn more: https://go.microsoft.com/fwlink/?linkid=870924
Comment:
	Tiny Bookshop is the Best Selling and Boundary was dropped.
</t>
      </text>
    </comment>
    <comment authorId="7" xr:uid="{2d3fdd47-56d7-4fef-9db9-e63fc58f5bd7}" ref="A1">
      <text>
        <t xml:space="preserve">[Threaded comment]
 Your version of Excel allows you to read this threaded comment; however, any edits to it will get removed if the file is opened in a newer version of Excel. Learn more: https://go.microsoft.com/fwlink/?linkid=870924
Comment:
	Jack Griffin runs Kwalee scouting https://www.linkedin.com/in/jack-griffin2142/
</t>
      </text>
    </comment>
    <comment authorId="8" xr:uid="{351b949a-4f3b-4cfd-b44e-14e72592683e}" ref="A1">
      <text>
        <t xml:space="preserve">[Threaded comment]
 Your version of Excel allows you to read this threaded comment; however, any edits to it will get removed if the file is opened in a newer version of Excel. Learn more: https://go.microsoft.com/fwlink/?linkid=870924
Comment:
	Connor left for Lyrical Games in 2025
</t>
      </text>
    </comment>
    <comment authorId="9" xr:uid="{39f97a44-72ef-4058-93cf-5cdcc8e53f8f}" ref="A1">
      <text>
        <t xml:space="preserve">[Threaded comment]
 Your version of Excel allows you to read this threaded comment; however, any edits to it will get removed if the file is opened in a newer version of Excel. Learn more: https://go.microsoft.com/fwlink/?linkid=870924
Comment:
	Site doesn't open.
Reply:
	it seems they're out of operation. will remove them from list. Thanks for spotting.
</t>
      </text>
    </comment>
    <comment authorId="10" xr:uid="{401c5a2d-8dd3-46b2-a352-c71a7426247b}" ref="A1">
      <text>
        <t xml:space="preserve">[Threaded comment]
 Your version of Excel allows you to read this threaded comment; however, any edits to it will get removed if the file is opened in a newer version of Excel. Learn more: https://go.microsoft.com/fwlink/?linkid=870924
Comment:
	Unsure if this link is outdated now, but I contacted them and received this email address to send pitches to instead:
publishmygame@superraregames.com
Reply:
	Thanks. I'll correct this.
Reply:
	Done.
</t>
      </text>
    </comment>
    <comment authorId="11" xr:uid="{4581dcd3-4229-45d2-b337-e0b8b04dd5b5}" ref="A1">
      <text>
        <t xml:space="preserve">[Threaded comment]
 Your version of Excel allows you to read this threaded comment; however, any edits to it will get removed if the file is opened in a newer version of Excel. Learn more: https://go.microsoft.com/fwlink/?linkid=870924
Comment:
	email not working anymore
</t>
      </text>
    </comment>
    <comment authorId="12" xr:uid="{46ce2d0a-52c9-4ce4-a927-0d42a714d659}" ref="A1">
      <text>
        <t xml:space="preserve">[Threaded comment]
 Your version of Excel allows you to read this threaded comment; however, any edits to it will get removed if the file is opened in a newer version of Excel. Learn more: https://go.microsoft.com/fwlink/?linkid=870924
Comment:
	Pitched to Judatone yesterday and got an email back saying they are not currently offering development funding.
</t>
      </text>
    </comment>
    <comment authorId="13" xr:uid="{489a5ae2-7576-45c5-8fcc-076766dd7ed7}" ref="A1">
      <text>
        <t xml:space="preserve">[Threaded comment]
 Your version of Excel allows you to read this threaded comment; however, any edits to it will get removed if the file is opened in a newer version of Excel. Learn more: https://go.microsoft.com/fwlink/?linkid=870924
Comment:
	Do they still work?
Reply:
	it seems they've shut down. removing from the list. Thank you so much for the heads up!
</t>
      </text>
    </comment>
    <comment authorId="14" xr:uid="{4b8479bc-92bb-44b5-8127-7b9d6c69b211}" ref="A1">
      <text>
        <t xml:space="preserve">[Threaded comment]
 Your version of Excel allows you to read this threaded comment; however, any edits to it will get removed if the file is opened in a newer version of Excel. Learn more: https://go.microsoft.com/fwlink/?linkid=870924
Comment:
	As of August 2026, the email on their webpage is not working
</t>
      </text>
    </comment>
    <comment authorId="15" xr:uid="{4f63ffc0-5bd9-412f-978a-1167d57a268d}" ref="A1">
      <text>
        <t xml:space="preserve">[Threaded comment]
 Your version of Excel allows you to read this threaded comment; however, any edits to it will get removed if the file is opened in a newer version of Excel. Learn more: https://go.microsoft.com/fwlink/?linkid=870924
Comment:
	Kinda Brave was bankrupted, bought up and restarted with new owners. I have no affiliation with KB anymore!
Reply:
	Thanks for letting me know. I'll remove it from the list. Do you know what the new company is called?
</t>
      </text>
    </comment>
    <comment authorId="16" xr:uid="{64272931-06eb-48a8-9974-25bb10573a3e}" ref="A1">
      <text>
        <t xml:space="preserve">[Threaded comment]
 Your version of Excel allows you to read this threaded comment; however, any edits to it will get removed if the file is opened in a newer version of Excel. Learn more: https://go.microsoft.com/fwlink/?linkid=870924
Comment:
	According to Jonny Merritt (Head of scouting) they have varied budget range but typically deal with the last 50% of project funding - so late in the development process
</t>
      </text>
    </comment>
    <comment authorId="17" xr:uid="{670b07ea-8f4c-42b6-90d3-2ee2d57f7035}" ref="A1">
      <text>
        <t xml:space="preserve">[Threaded comment]
 Your version of Excel allows you to read this threaded comment; however, any edits to it will get removed if the file is opened in a newer version of Excel. Learn more: https://go.microsoft.com/fwlink/?linkid=870924
Comment:
	https://www.linkedin.com/in/daisylock/
But she is more active on Discord and through emails
</t>
      </text>
    </comment>
    <comment authorId="18" xr:uid="{69a48a67-12ad-4854-b1da-c4cf1bb9838e}" ref="A1">
      <text>
        <t xml:space="preserve">[Threaded comment]
 Your version of Excel allows you to read this threaded comment; however, any edits to it will get removed if the file is opened in a newer version of Excel. Learn more: https://go.microsoft.com/fwlink/?linkid=870924
Comment:
	AIG is no longer publishing games. They have resigned from the publishing business last year.
Reply:
	Thanks for letting me know. I'll remove it from the list.
</t>
      </text>
    </comment>
    <comment authorId="19" xr:uid="{7ab61258-5529-418b-b14e-332f935d95b6}" ref="A1">
      <text>
        <t xml:space="preserve">[Threaded comment]
 Your version of Excel allows you to read this threaded comment; however, any edits to it will get removed if the file is opened in a newer version of Excel. Learn more: https://go.microsoft.com/fwlink/?linkid=870924
Comment:
	Unfortunately, Null Games are no longer with us.
</t>
      </text>
    </comment>
    <comment authorId="20" xr:uid="{7cd8d5ae-6c50-46c6-91bb-0b7344f8314c}" ref="A1">
      <text>
        <t xml:space="preserve">[Threaded comment]
 Your version of Excel allows you to read this threaded comment; however, any edits to it will get removed if the file is opened in a newer version of Excel. Learn more: https://go.microsoft.com/fwlink/?linkid=870924
Comment:
	Gustav Nisser [https://www.linkedin.com/in/gustavnisser/]
</t>
      </text>
    </comment>
    <comment authorId="21" xr:uid="{88b737e2-ea1e-482f-b8e1-91104cfff6ed}" ref="A1">
      <text>
        <t xml:space="preserve">[Threaded comment]
 Your version of Excel allows you to read this threaded comment; however, any edits to it will get removed if the file is opened in a newer version of Excel. Learn more: https://go.microsoft.com/fwlink/?linkid=870924
Comment:
	hello@erabitstudios.com (Daisy and Eric)
</t>
      </text>
    </comment>
    <comment authorId="22" xr:uid="{a6f3aa5c-fcda-45d7-86d4-645cec8c5ec0}" ref="A1">
      <text>
        <t xml:space="preserve">[Threaded comment]
 Your version of Excel allows you to read this threaded comment; however, any edits to it will get removed if the file is opened in a newer version of Excel. Learn more: https://go.microsoft.com/fwlink/?linkid=870924
Comment:
	The link seems broken.
I found him on LinkedIn if you want to update: https://www.linkedin.com/in/joshua-garrity-%E2%9E%A1%EF%B8%8F-gamescom-261a6148/
</t>
      </text>
    </comment>
    <comment authorId="23" xr:uid="{aecb1988-304e-4533-a25c-8221a1161628}" ref="A1">
      <text>
        <t xml:space="preserve">[Threaded comment]
 Your version of Excel allows you to read this threaded comment; however, any edits to it will get removed if the file is opened in a newer version of Excel. Learn more: https://go.microsoft.com/fwlink/?linkid=870924
Comment:
	Their funding limit is 500k USD
Reply:
	ok thanks for letting me know. Will include this info.
</t>
      </text>
    </comment>
    <comment authorId="24" xr:uid="{c50bab46-d631-480a-b763-27fbd082476e}" ref="A1">
      <text>
        <t xml:space="preserve">[Threaded comment]
 Your version of Excel allows you to read this threaded comment; however, any edits to it will get removed if the file is opened in a newer version of Excel. Learn more: https://go.microsoft.com/fwlink/?linkid=870924
Comment:
	Elza left Armor Games 2024
</t>
      </text>
    </comment>
    <comment authorId="25" xr:uid="{c62e101f-bf91-4d92-90ea-bdd2b0ee41dc}" ref="A1">
      <text>
        <t xml:space="preserve">[Threaded comment]
 Your version of Excel allows you to read this threaded comment; however, any edits to it will get removed if the file is opened in a newer version of Excel. Learn more: https://go.microsoft.com/fwlink/?linkid=870924
Comment:
	Updated POC and publishing scope. Thanks Seyed.
Reply:
	Lovely thanks. Will copy over to curated sheet.
</t>
      </text>
    </comment>
    <comment authorId="26" xr:uid="{c9542ac0-0bd5-435b-b653-0096ee30fc67}" ref="A1">
      <text>
        <t xml:space="preserve">[Threaded comment]
 Your version of Excel allows you to read this threaded comment; however, any edits to it will get removed if the file is opened in a newer version of Excel. Learn more: https://go.microsoft.com/fwlink/?linkid=870924
Comment:
	website is down
Reply:
	I think the publisher is dead
</t>
      </text>
    </comment>
    <comment authorId="27" xr:uid="{df2f62d0-41c5-4496-a2d8-7ad7b86bed1e}" ref="A1">
      <text>
        <t xml:space="preserve">[Threaded comment]
 Your version of Excel allows you to read this threaded comment; however, any edits to it will get removed if the file is opened in a newer version of Excel. Learn more: https://go.microsoft.com/fwlink/?linkid=870924
Comment:
	AnnapUrna, not pOrna :)
Reply:
	Fixed, thanks. Someone must have messed with it, cuz it was typed out correctly in the curated sheet
</t>
      </text>
    </comment>
    <comment authorId="28" xr:uid="{e197b44b-0a59-40cd-8ebd-efafe9dacc15}" ref="A1">
      <text>
        <t xml:space="preserve">[Threaded comment]
 Your version of Excel allows you to read this threaded comment; however, any edits to it will get removed if the file is opened in a newer version of Excel. Learn more: https://go.microsoft.com/fwlink/?linkid=870924
Comment:
	Can add Steam page soon if it's obligatory.
Reply:
	Sure
</t>
      </text>
    </comment>
    <comment authorId="29" xr:uid="{f18f86e7-74f1-4f18-9b3e-bf6cc8e96902}" ref="A1">
      <text>
        <t xml:space="preserve">[Threaded comment]
 Your version of Excel allows you to read this threaded comment; however, any edits to it will get removed if the file is opened in a newer version of Excel. Learn more: https://go.microsoft.com/fwlink/?linkid=870924
Comment:
	Meg left Team17 for Critical Reflex
Reply:
	Jasper left for Fireshine
</t>
      </text>
    </comment>
    <comment authorId="30" xr:uid="{f4ecd33a-3e57-40fc-8550-36cb6d121ed2}" ref="A1">
      <text>
        <t xml:space="preserve">[Threaded comment]
 Your version of Excel allows you to read this threaded comment; however, any edits to it will get removed if the file is opened in a newer version of Excel. Learn more: https://go.microsoft.com/fwlink/?linkid=870924
Comment:
	Hh
</t>
      </text>
    </comment>
    <comment authorId="31" xr:uid="{f936b837-2a00-4972-8b45-e452a8d7ad2a}" ref="A1">
      <text>
        <t xml:space="preserve">[Threaded comment]
 Your version of Excel allows you to read this threaded comment; however, any edits to it will get removed if the file is opened in a newer version of Excel. Learn more: https://go.microsoft.com/fwlink/?linkid=870924
Comment:
	Firestoke games website redirects here.
</t>
      </text>
    </comment>
    <comment authorId="32" xr:uid="{fe5692d0-2b93-423e-85f1-6db8cfa4819e}" ref="A1">
      <text>
        <t xml:space="preserve">[Threaded comment]
 Your version of Excel allows you to read this threaded comment; however, any edits to it will get removed if the file is opened in a newer version of Excel. Learn more: https://go.microsoft.com/fwlink/?linkid=870924
Comment:
	Frontier Foundry is defunct
Reply:
	Thanks. It has been removed now.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tc={0a185610-93ef-4a91-b0aa-9937a9a143d2}</author>
    <author>tc={122e9327-7f2b-405e-ac40-59b76c30980a}</author>
    <author>tc={142ce40f-d0c8-4dab-b813-f7ec3a700db8}</author>
    <author>tc={19f6cf95-d0ce-45d6-9046-d1681a03f883}</author>
    <author>tc={27b146df-4be2-42c9-9256-54d9bfb32d5e}</author>
    <author>tc={2801fcda-16bb-42f5-8c3a-a1af5925671d}</author>
    <author>tc={2b6adec3-b609-440f-9cbb-36dfbc125125}</author>
    <author>tc={2cb3490e-5a52-4882-9c76-7fa12a0f866c}</author>
    <author>tc={2e67c830-bc76-4dcd-8d1d-35ae0b3bc729}</author>
    <author>tc={2f425d65-247a-4371-98c1-14c7d46f4dc5}</author>
    <author>tc={31304351-e5e0-4019-9301-d3276d62ac59}</author>
    <author>tc={36ace2b1-ecbf-4c78-8b28-e592b3779ff3}</author>
    <author>tc={48a17e9b-4cdc-4427-abf0-7c11934263b5}</author>
    <author>tc={4cd53f97-da2f-480c-8789-8a00c3c073ce}</author>
    <author>tc={4d585cba-b563-4902-a70a-02226b19f15b}</author>
    <author>tc={58479916-490d-4c42-a636-462c7a5362d8}</author>
    <author>tc={5ca0d763-e986-4caf-be69-9c71fefcd3e3}</author>
    <author>tc={69bac964-870f-44e3-99de-0e7a259388eb}</author>
    <author>tc={75417135-d748-43fd-b029-b0a98269fd03}</author>
    <author>tc={7f6dc73b-c58c-4bfb-a8b3-7f261c87c760}</author>
    <author>tc={8fdf93e8-21ec-4025-b0fe-1e5a937ab479}</author>
    <author>tc={9c217a3b-fc5f-4993-ad3c-d00f7ba9c97e}</author>
    <author>tc={9c3156c1-5d41-4445-aa7b-f84e01931ff7}</author>
    <author>tc={a05f41b7-f43a-4c37-945d-df17bde68c72}</author>
    <author>tc={a9860c3f-155e-474f-ac79-46d1b88deca4}</author>
    <author>tc={af5ad556-991e-4901-92be-2cf8f3315c26}</author>
    <author>tc={b36b0f61-4dfc-45b8-bb95-b2a56145227e}</author>
    <author>tc={b57efb8c-933a-4710-98c6-b06bda314da1}</author>
    <author>tc={bcbed8b9-f19c-4bac-8676-a2d704f13d26}</author>
    <author>tc={be17d348-ac52-4741-9aad-0dbefcdd96fb}</author>
    <author>tc={c20a2489-73e3-446c-8733-2a48ed925f46}</author>
    <author>tc={cd340dfb-3db5-4a1c-9f09-87fcf4dde6eb}</author>
    <author>tc={d470bef8-3173-45a9-8720-8f230d6c4ae9}</author>
    <author>tc={d53a2713-8ae5-46a5-a7a4-04800004df93}</author>
    <author>tc={dd8f2832-215d-49c4-a2d7-da20728bac97}</author>
    <author>tc={e2282612-7192-4191-8c99-c8341c06d6d8}</author>
    <author>tc={e963ba2d-7f01-46fc-b548-880db6ad6d24}</author>
    <author>tc={ef055c4d-f234-4fbb-9a0a-aa0d335dfbe3}</author>
  </authors>
  <commentList>
    <comment authorId="0" xr:uid="{0a185610-93ef-4a91-b0aa-9937a9a143d2}" ref="U30">
      <text>
        <t xml:space="preserve">[Threaded comment]
 Your version of Excel allows you to read this threaded comment; however, any edits to it will get removed if the file is opened in a newer version of Excel. Learn more: https://go.microsoft.com/fwlink/?linkid=870924
Comment:
	Budgets between 100k and 700k, but looked at projects both below and above that
</t>
      </text>
    </comment>
    <comment authorId="1" xr:uid="{122e9327-7f2b-405e-ac40-59b76c30980a}" ref="F27">
      <text>
        <t xml:space="preserve">[Threaded comment]
 Your version of Excel allows you to read this threaded comment; however, any edits to it will get removed if the file is opened in a newer version of Excel. Learn more: https://go.microsoft.com/fwlink/?linkid=870924
Comment:
	Matt left DD in Feb 2026
</t>
      </text>
    </comment>
    <comment authorId="2" xr:uid="{142ce40f-d0c8-4dab-b813-f7ec3a700db8}" ref="F32">
      <text>
        <t xml:space="preserve">[Threaded comment]
 Your version of Excel allows you to read this threaded comment; however, any edits to it will get removed if the file is opened in a newer version of Excel. Learn more: https://go.microsoft.com/fwlink/?linkid=870924
Comment:
	or Kristin von der Wense kristin.vonderwense@daedalic.de
Reply:
	Thanks, added.
</t>
      </text>
    </comment>
    <comment authorId="3" xr:uid="{19f6cf95-d0ce-45d6-9046-d1681a03f883}" ref="A210">
      <text>
        <t xml:space="preserve">[Threaded comment]
 Your version of Excel allows you to read this threaded comment; however, any edits to it will get removed if the file is opened in a newer version of Excel. Learn more: https://go.microsoft.com/fwlink/?linkid=870924
Comment:
	Pixmain killed by Bytedance already.
Reply:
	Thanks. Will update.
</t>
      </text>
    </comment>
    <comment authorId="4" xr:uid="{27b146df-4be2-42c9-9256-54d9bfb32d5e}" ref="S6">
      <text>
        <t xml:space="preserve">[Threaded comment]
 Your version of Excel allows you to read this threaded comment; however, any edits to it will get removed if the file is opened in a newer version of Excel. Learn more: https://go.microsoft.com/fwlink/?linkid=870924
Comment:
	Indie*
Reply:
	Fixed. Tnx
</t>
      </text>
    </comment>
    <comment authorId="5" xr:uid="{2801fcda-16bb-42f5-8c3a-a1af5925671d}" ref="T92">
      <text>
        <t xml:space="preserve">[Threaded comment]
 Your version of Excel allows you to read this threaded comment; however, any edits to it will get removed if the file is opened in a newer version of Excel. Learn more: https://go.microsoft.com/fwlink/?linkid=870924
Comment:
	Legend of Keepers / Sandwalkers / Synergy / Banners of Ruin
</t>
      </text>
    </comment>
    <comment authorId="6" xr:uid="{2b6adec3-b609-440f-9cbb-36dfbc125125}" ref="U124">
      <text>
        <t xml:space="preserve">[Threaded comment]
 Your version of Excel allows you to read this threaded comment; however, any edits to it will get removed if the file is opened in a newer version of Excel. Learn more: https://go.microsoft.com/fwlink/?linkid=870924
Comment:
	Could you tell us how old this info is and where it's coming from? We are in touch with them and so far have no complaints and very transparent conversations.
Reply:
	Hi Leonard. This information was contributed by the gamedev community. I do not know who has entered this info, and can neither confirm nor refute the info.
If you're determined to continue with the publisher, I recommend you get in touch with the developers of the latest games they published. Go to the publisher's Gamalytic page, sort the games in order of publishing date, and get in touch with the most recent 3-4 devs.
There is no harm in doing some background check on your publishing partner. Maybe they had flaws in the past but now they've improved. Only way to find out is to ask the fellow devs.
Reply:
	Thanks for the clearification! I was just wondering what the process of updating this is in case it isn't true (anymore). If it comes from a single dev that had a bad experience maybe it shouldn't be the only comment there? Just asking bc I'd like to know how "reliable" the comments are for other publishers as well if the come from a single person kind of like a 1 review thing.
Reply:
	Part of the comments are made by myself, and part of them are made by the publishers themselves or other devs. I curate the comments every month. But yes, don't assume they're 100% correct. This is an open-source sheet and everyone can contribute to it.
Reply:
	Marked as resolved
Reply:
	Re-opened
</t>
      </text>
    </comment>
    <comment authorId="7" xr:uid="{2cb3490e-5a52-4882-9c76-7fa12a0f866c}" ref="A81">
      <text>
        <t xml:space="preserve">[Threaded comment]
 Your version of Excel allows you to read this threaded comment; however, any edits to it will get removed if the file is opened in a newer version of Excel. Learn more: https://go.microsoft.com/fwlink/?linkid=870924
Comment:
	Alex from Yogscast is the nicest, softest-spoken person on Earth. They don't look for new games until later in 2026 (Atleast not for action roguelikes)
</t>
      </text>
    </comment>
    <comment authorId="8" xr:uid="{2e67c830-bc76-4dcd-8d1d-35ae0b3bc729}" ref="Y1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9" xr:uid="{2f425d65-247a-4371-98c1-14c7d46f4dc5}" ref="F38">
      <text>
        <t xml:space="preserve">[Threaded comment]
 Your version of Excel allows you to read this threaded comment; however, any edits to it will get removed if the file is opened in a newer version of Excel. Learn more: https://go.microsoft.com/fwlink/?linkid=870924
Comment:
	not Jarvis anymore, he left the company ^^
Reply:
	Thanks! Will remove it.
</t>
      </text>
    </comment>
    <comment authorId="10" xr:uid="{31304351-e5e0-4019-9301-d3276d62ac59}" ref="F20">
      <text>
        <t xml:space="preserve">[Threaded comment]
 Your version of Excel allows you to read this threaded comment; however, any edits to it will get removed if the file is opened in a newer version of Excel. Learn more: https://go.microsoft.com/fwlink/?linkid=870924
Comment:
	Benjamin Ellis leads Everplay/Team17 scouting/cotent acquisition team:
https://www.linkedin.com/in/benjaminmjellis/
Reply:
	thanks. will update now
</t>
      </text>
    </comment>
    <comment authorId="11" xr:uid="{36ace2b1-ecbf-4c78-8b28-e592b3779ff3}" ref="Y1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2" xr:uid="{48a17e9b-4cdc-4427-abf0-7c11934263b5}" ref="A1">
      <text>
        <t xml:space="preserve">[Threaded comment]
 Your version of Excel allows you to read this threaded comment; however, any edits to it will get removed if the file is opened in a newer version of Excel. Learn more: https://go.microsoft.com/fwlink/?linkid=870924
Comment:
	Hello, you can include https://nogravitygames.com/ I see it's not listed.
Reply:
	Hi. NoGravityGames is a console-only publisher. This list is primarily focus on Steam.
Reply:
	Ahh, I'm not sure I understand; it seems they also publish on Steam, is that correct?
https://store.steampowered.com/publisher/nogravitygames
Reply:
	Oh sorry I thought they only do console. Sure no problem, I'll add them to the list. Thanks for the heads up
Reply:
	No problem!.
Reply:
	Marked as resolved
Reply:
	Hello again,
https://www.astrolabe-games.ca/
could be added to the list. sorry for my english.
Re-opened
</t>
      </text>
    </comment>
    <comment authorId="13" xr:uid="{4cd53f97-da2f-480c-8789-8a00c3c073ce}" ref="A195">
      <text>
        <t xml:space="preserve">[Threaded comment]
 Your version of Excel allows you to read this threaded comment; however, any edits to it will get removed if the file is opened in a newer version of Excel. Learn more: https://go.microsoft.com/fwlink/?linkid=870924
Comment:
	Defunct
Reply:
	This is quite fresh news. I'll give it a few more days to see what's going to happen.
</t>
      </text>
    </comment>
    <comment authorId="14" xr:uid="{4d585cba-b563-4902-a70a-02226b19f15b}" ref="U26">
      <text>
        <t xml:space="preserve">[Threaded comment]
 Your version of Excel allows you to read this threaded comment; however, any edits to it will get removed if the file is opened in a newer version of Excel. Learn more: https://go.microsoft.com/fwlink/?linkid=870924
Comment:
	They started publishing indie games through 505 Pulse:
https://505pulse.com/
Might be worth adding as a separate entity. I will talk to someone to learn more about that.
Contact email:
pitchyourgame@505pulse.com
Reply:
	oh very cool. I'll take a look too
</t>
      </text>
    </comment>
    <comment authorId="15" xr:uid="{58479916-490d-4c42-a636-462c7a5362d8}" ref="I126">
      <text>
        <t xml:space="preserve">[Threaded comment]
 Your version of Excel allows you to read this threaded comment; however, any edits to it will get removed if the file is opened in a newer version of Excel. Learn more: https://go.microsoft.com/fwlink/?linkid=870924
Comment:
	This is at 69 now
</t>
      </text>
    </comment>
    <comment authorId="16" xr:uid="{5ca0d763-e986-4caf-be69-9c71fefcd3e3}" ref="Q83">
      <text>
        <t xml:space="preserve">[Threaded comment]
 Your version of Excel allows you to read this threaded comment; however, any edits to it will get removed if the file is opened in a newer version of Excel. Learn more: https://go.microsoft.com/fwlink/?linkid=870924
Comment:
	Their top end is ~$250k
Reply:
	Good to know. will edit this.
</t>
      </text>
    </comment>
    <comment authorId="17" xr:uid="{69bac964-870f-44e3-99de-0e7a259388eb}" ref="F55">
      <text>
        <t xml:space="preserve">[Threaded comment]
 Your version of Excel allows you to read this threaded comment; however, any edits to it will get removed if the file is opened in a newer version of Excel. Learn more: https://go.microsoft.com/fwlink/?linkid=870924
Comment:
	Lance James / lance@digitalbandidos.com
Reply:
	Thanks. Done!
</t>
      </text>
    </comment>
    <comment authorId="18" xr:uid="{75417135-d748-43fd-b029-b0a98269fd03}" ref="E201">
      <text>
        <t xml:space="preserve">[Threaded comment]
 Your version of Excel allows you to read this threaded comment; however, any edits to it will get removed if the file is opened in a newer version of Excel. Learn more: https://go.microsoft.com/fwlink/?linkid=870924
Comment:
	They "are not accepting pitches at this time'. Feb 2025.
Reply:
	Thanks. It seems they have closed their publishing arm. I'll remove them from the list
</t>
      </text>
    </comment>
    <comment authorId="19" xr:uid="{7f6dc73b-c58c-4bfb-a8b3-7f261c87c760}" ref="E32">
      <text>
        <t xml:space="preserve">[Threaded comment]
 Your version of Excel allows you to read this threaded comment; however, any edits to it will get removed if the file is opened in a newer version of Excel. Learn more: https://go.microsoft.com/fwlink/?linkid=870924
Comment:
	Incorrect information, email address is bizdev@daedalic.de
Reply:
	Thank you! Fixed
</t>
      </text>
    </comment>
    <comment authorId="20" xr:uid="{8fdf93e8-21ec-4025-b0fe-1e5a937ab479}" ref="F58">
      <text>
        <t xml:space="preserve">[Threaded comment]
 Your version of Excel allows you to read this threaded comment; however, any edits to it will get removed if the file is opened in a newer version of Excel. Learn more: https://go.microsoft.com/fwlink/?linkid=870924
Comment:
	Just reached out to Trisha Lee, she is no longer with United Label
Reply:
	Thanks. Will remove it.
</t>
      </text>
    </comment>
    <comment authorId="21" xr:uid="{9c217a3b-fc5f-4993-ad3c-d00f7ba9c97e}" ref="U66">
      <text>
        <t xml:space="preserve">[Threaded comment]
 Your version of Excel allows you to read this threaded comment; however, any edits to it will get removed if the file is opened in a newer version of Excel. Learn more: https://go.microsoft.com/fwlink/?linkid=870924
Comment:
	May want to recommend using a dedicated email address to pitch them. They've started sending marketing spam to the address I used.
Reply:
	Good to know. Thanks for the heads up
</t>
      </text>
    </comment>
    <comment authorId="22" xr:uid="{9c3156c1-5d41-4445-aa7b-f84e01931ff7}" ref="A22">
      <text>
        <t xml:space="preserve">[Threaded comment]
 Your version of Excel allows you to read this threaded comment; however, any edits to it will get removed if the file is opened in a newer version of Excel. Learn more: https://go.microsoft.com/fwlink/?linkid=870924
Comment:
	Feel free to add me (Sam Osburn, samo@annapurna.com) as AI's main pitch contact.
Reply:
	Thank you. Done :)
</t>
      </text>
    </comment>
    <comment authorId="23" xr:uid="{a05f41b7-f43a-4c37-945d-df17bde68c72}" ref="E40">
      <text>
        <t xml:space="preserve">[Threaded comment]
 Your version of Excel allows you to read this threaded comment; however, any edits to it will get removed if the file is opened in a newer version of Excel. Learn more: https://go.microsoft.com/fwlink/?linkid=870924
Comment:
	website says pitch@indieark.com
Reply:
	Thanks. Fixed.
</t>
      </text>
    </comment>
    <comment authorId="24" xr:uid="{a9860c3f-155e-474f-ac79-46d1b88deca4}" ref="Y3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5" xr:uid="{af5ad556-991e-4901-92be-2cf8f3315c26}" ref="A194">
      <text>
        <t xml:space="preserve">[Threaded comment]
 Your version of Excel allows you to read this threaded comment; however, any edits to it will get removed if the file is opened in a newer version of Excel. Learn more: https://go.microsoft.com/fwlink/?linkid=870924
Comment:
	Defunct
Reply:
	Thanks. Will take care of it. Do you know if the rebranded Arc Games publishes third-party titles?
Reply:
	They do! I think, like a lot of publishers, they are not very actively signing right now.
Reply:
	Got it thanks!
</t>
      </text>
    </comment>
    <comment authorId="26" xr:uid="{b36b0f61-4dfc-45b8-bb95-b2a56145227e}" ref="A196">
      <text>
        <t xml:space="preserve">[Threaded comment]
 Your version of Excel allows you to read this threaded comment; however, any edits to it will get removed if the file is opened in a newer version of Excel. Learn more: https://go.microsoft.com/fwlink/?linkid=870924
Comment:
	Defunct
Reply:
	Thanks. I'll wait a bit longer until it's official, and then I'll remove it.
</t>
      </text>
    </comment>
    <comment authorId="27" xr:uid="{b57efb8c-933a-4710-98c6-b06bda314da1}" ref="F61">
      <text>
        <t xml:space="preserve">[Threaded comment]
 Your version of Excel allows you to read this threaded comment; however, any edits to it will get removed if the file is opened in a newer version of Excel. Learn more: https://go.microsoft.com/fwlink/?linkid=870924
Comment:
	She's not there anymore.
Reply:
	Correct, thanks!
</t>
      </text>
    </comment>
    <comment authorId="28" xr:uid="{bcbed8b9-f19c-4bac-8676-a2d704f13d26}" ref="F153">
      <text>
        <t xml:space="preserve">[Threaded comment]
 Your version of Excel allows you to read this threaded comment; however, any edits to it will get removed if the file is opened in a newer version of Excel. Learn more: https://go.microsoft.com/fwlink/?linkid=870924
Comment:
	You can also contact Ben Tucker:
https://www.linkedin.com/in/ben-tucker-164a49159/
Reply:
	thanks adding now.
Bro I don't know who you are but thank you so much for contributing :)
Reply:
	We talked on LinkedIn few weeks ago. Happy to help :)
Reply:
	Oh yes! Thanks again for helping :)
</t>
      </text>
    </comment>
    <comment authorId="29" xr:uid="{be17d348-ac52-4741-9aad-0dbefcdd96fb}" ref="F38">
      <text>
        <t xml:space="preserve">[Threaded comment]
 Your version of Excel allows you to read this threaded comment; however, any edits to it will get removed if the file is opened in a newer version of Excel. Learn more: https://go.microsoft.com/fwlink/?linkid=870924
Comment:
	He has his own company now! doesn't work here anymore
Reply:
	Thanks. You know who is the person in charge?
Reply:
	One of the emali adresses I have of them is of Leon Cliff. He replies to pitches as well, but I cannot say anything about his position at Curve leon.cliff@curvegames.com
Reply:
	He also left Curve about a month ago lol. I'll ask around to see who's in charge.
Reply:
	Yeah it is pretty recent, I saw that he will attend Nordic game with is new company, otherwise I wouldn't have known either
</t>
      </text>
    </comment>
    <comment authorId="30" xr:uid="{c20a2489-73e3-446c-8733-2a48ed925f46}" ref="Z1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1" xr:uid="{cd340dfb-3db5-4a1c-9f09-87fcf4dde6eb}" ref="R92">
      <text>
        <t xml:space="preserve">[Threaded comment]
 Your version of Excel allows you to read this threaded comment; however, any edits to it will get removed if the file is opened in a newer version of Excel. Learn more: https://go.microsoft.com/fwlink/?linkid=870924
Comment:
	It's strange we didn't answer. You should have an instant "No" as your game was too far from our lineup :) Maybe the mail arrives in spam?
Reply:
	Hi Johann, I updated the fields as you requested. I didn't find any emails from your team. My submission was on July 28, and you requested access to the deck on the same day. If there was a reply from your team, can you let me know the date please?
The email I used was seyed@unifiq.com
Reply:
	I've sent an email on August 5 2022 ha ha (Saying that the game is too far for our lineup).
But we had some issues with email mid / end 2022 (some of our emails were flagged with [SPAM] in front of the email due to DNS issue.
Reply:
	Ok I see, thanks for letting me know. I'll update the spreadsheet :)
</t>
      </text>
    </comment>
    <comment authorId="32" xr:uid="{d470bef8-3173-45a9-8720-8f230d6c4ae9}" ref="U27">
      <text>
        <t xml:space="preserve">[Threaded comment]
 Your version of Excel allows you to read this threaded comment; however, any edits to it will get removed if the file is opened in a newer version of Excel. Learn more: https://go.microsoft.com/fwlink/?linkid=870924
Comment:
	they are currently looking for game releases for 2025 and later!
Reply:
	Marked as resolved
Reply:
	Re-opened
</t>
      </text>
    </comment>
    <comment authorId="33" xr:uid="{d53a2713-8ae5-46a5-a7a4-04800004df93}" ref="F45">
      <text>
        <t xml:space="preserve">[Threaded comment]
 Your version of Excel allows you to read this threaded comment; however, any edits to it will get removed if the file is opened in a newer version of Excel. Learn more: https://go.microsoft.com/fwlink/?linkid=870924
Comment:
	Anton left Fulqrum in August 2026
Reply:
	Thanks!
</t>
      </text>
    </comment>
    <comment authorId="34" xr:uid="{dd8f2832-215d-49c4-a2d7-da20728bac97}" ref="W1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5" xr:uid="{e2282612-7192-4191-8c99-c8341c06d6d8}" ref="E92">
      <text>
        <t xml:space="preserve">[Threaded comment]
 Your version of Excel allows you to read this threaded comment; however, any edits to it will get removed if the file is opened in a newer version of Excel. Learn more: https://go.microsoft.com/fwlink/?linkid=870924
Comment:
	publishing@goblinzstudio.com
</t>
      </text>
    </comment>
    <comment authorId="36" xr:uid="{e963ba2d-7f01-46fc-b548-880db6ad6d24}" ref="U47">
      <text>
        <t xml:space="preserve">[Threaded comment]
 Your version of Excel allows you to read this threaded comment; however, any edits to it will get removed if the file is opened in a newer version of Excel. Learn more: https://go.microsoft.com/fwlink/?linkid=870924
Comment:
	As a group working with many independent developers, we do not expect equity in the companies we cooperate with. Our revenue share is set at a standard, industry-accepted level and reflects the scope of our publishing and development support. Our focus is on building fair, long-term partnerships based on trust and mutual benefit.
Reply:
	Thanks. I will edit this entry. May I ask if you work at Playway?
Reply:
	Yes - michal@playway.com or publish@playway.com
Reply:
	Thanks. I've remove the last part. If you want to add anything else to the current entry, please let me know.
Also for your info, majority of the info on publishers are community contributions, either by publishers themselves or the devs.
</t>
      </text>
    </comment>
    <comment authorId="37" xr:uid="{ef055c4d-f234-4fbb-9a0a-aa0d335dfbe3}" ref="F37">
      <text>
        <t xml:space="preserve">[Threaded comment]
 Your version of Excel allows you to read this threaded comment; however, any edits to it will get removed if the file is opened in a newer version of Excel. Learn more: https://go.microsoft.com/fwlink/?linkid=870924
Comment:
	Herb left tinyBuild in Dec 2023, works for Embark Studio now
Reply:
	ok thanks. will update now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tc={1405c111-ba2a-4a9c-a94b-811d84425ea6}</author>
    <author>tc={20e8e27a-e79b-406b-ba3a-675b36036b81}</author>
    <author>tc={41e768cc-e367-4788-9bf5-acd3af035190}</author>
    <author>tc={880cd5ed-9661-4393-845b-5815b5904440}</author>
  </authors>
  <commentList>
    <comment authorId="0" xr:uid="{1405c111-ba2a-4a9c-a94b-811d84425ea6}" ref="F25">
      <text>
        <t xml:space="preserve">[Threaded comment]
 Your version of Excel allows you to read this threaded comment; however, any edits to it will get removed if the file is opened in a newer version of Excel. Learn more: https://go.microsoft.com/fwlink/?linkid=870924
Comment:
	Not me anymore :p (i will tell you who will be the new game scout)
Reply:
	Thank you!
</t>
      </text>
    </comment>
    <comment authorId="1" xr:uid="{20e8e27a-e79b-406b-ba3a-675b36036b81}" ref="F35">
      <text>
        <t xml:space="preserve">[Threaded comment]
 Your version of Excel allows you to read this threaded comment; however, any edits to it will get removed if the file is opened in a newer version of Excel. Learn more: https://go.microsoft.com/fwlink/?linkid=870924
Comment:
	Wang will leave the company, contact will be changed from Oct
Reply:
	Thanks for updating this. I updated the other sheet too.
</t>
      </text>
    </comment>
    <comment authorId="2" xr:uid="{41e768cc-e367-4788-9bf5-acd3af035190}" ref="A196">
      <text>
        <t xml:space="preserve">[Threaded comment]
 Your version of Excel allows you to read this threaded comment; however, any edits to it will get removed if the file is opened in a newer version of Excel. Learn more: https://go.microsoft.com/fwlink/?linkid=870924
Comment:
	https://wearesecretmode.com/  Secret Mode missing.
Reply:
	Hi. Secret Mode is on the list. Is there an info that is missing?
</t>
      </text>
    </comment>
    <comment authorId="3" xr:uid="{880cd5ed-9661-4393-845b-5815b5904440}" ref="A226">
      <text>
        <t xml:space="preserve">[Threaded comment]
 Your version of Excel allows you to read this threaded comment; however, any edits to it will get removed if the file is opened in a newer version of Excel. Learn more: https://go.microsoft.com/fwlink/?linkid=870924
Comment:
	PID Games was closed last year (i was the Game Scout :P)
Reply:
	Thanks! Will update this.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tc={98e7f120-4c0f-4c80-a5fc-8c8d9c525a74}</author>
  </authors>
  <commentList>
    <comment authorId="0" xr:uid="{98e7f120-4c0f-4c80-a5fc-8c8d9c525a74}" ref="E11">
      <text>
        <t xml:space="preserve">[Threaded comment]
 Your version of Excel allows you to read this threaded comment; however, any edits to it will get removed if the file is opened in a newer version of Excel. Learn more: https://go.microsoft.com/fwlink/?linkid=870924
Comment:
	https://www.linkedin.com/in/krriyo/
Reply:
	Thanks. Will add
</t>
      </text>
    </comment>
  </commentList>
</comments>
</file>

<file path=xl/sharedStrings.xml><?xml version="1.0" encoding="utf-8"?>
<sst xmlns="http://schemas.openxmlformats.org/spreadsheetml/2006/main" count="7643" uniqueCount="2510">
  <si>
    <t>FIND A PUBLISHER</t>
  </si>
  <si>
    <t>SEYED'S PUBLISHER LIST</t>
  </si>
  <si>
    <t>Last updated 22-Oct-2026 · maintained by seyedhn</t>
  </si>
  <si>
    <t>Publisher</t>
  </si>
  <si>
    <t>WHAT IS THIS?</t>
  </si>
  <si>
    <t>Country</t>
  </si>
  <si>
    <t>• Publishers that fund premium indie games on PC and console. It started as my own list and is now shared with the community.</t>
  </si>
  <si>
    <t>Website</t>
  </si>
  <si>
    <t>Pitching Guide</t>
  </si>
  <si>
    <t>• It isn't exhaustive. Publishers that only do AAA or F2P, or that don't fund development, are left out.</t>
  </si>
  <si>
    <t>Pitch Submission</t>
  </si>
  <si>
    <t>Publishing Contact</t>
  </si>
  <si>
    <t>Steam Page</t>
  </si>
  <si>
    <t>START HERE</t>
  </si>
  <si>
    <t>Gamalytic Page</t>
  </si>
  <si>
    <t>Tab</t>
  </si>
  <si>
    <t>Steam Followers</t>
  </si>
  <si>
    <t>Games Published</t>
  </si>
  <si>
    <t>What it's for</t>
  </si>
  <si>
    <t>Pick genres and filters in the yellow cells; results update live from the curated list, sorted by median revenue. This sheet is shared, so everyone edits the same inputs: to search privately, use File → Make a copy.</t>
  </si>
  <si>
    <t>Who can edit</t>
  </si>
  <si>
    <t>First Game Release Date</t>
  </si>
  <si>
    <t>Last Game Release Date</t>
  </si>
  <si>
    <t>Lifetime Rev ($)</t>
  </si>
  <si>
    <t>Average Rev ($)</t>
  </si>
  <si>
    <t>Find a Publisher</t>
  </si>
  <si>
    <t>Median Rev ($)</t>
  </si>
  <si>
    <t>Class</t>
  </si>
  <si>
    <t>Budget</t>
  </si>
  <si>
    <t>Communication</t>
  </si>
  <si>
    <t>Top Steam Tags</t>
  </si>
  <si>
    <t>Best-Selling Titles</t>
  </si>
  <si>
    <t>Description</t>
  </si>
  <si>
    <t>Genres</t>
  </si>
  <si>
    <t>Filter publishers by genre, budget, country, communication, activity and track record. To search privately, use File → Make a copy.</t>
  </si>
  <si>
    <t>Filters only</t>
  </si>
  <si>
    <t>Publishers (curated)</t>
  </si>
  <si>
    <t>The checked reference list, grouped by budget and sorted by median revenue.</t>
  </si>
  <si>
    <t>Read-only</t>
  </si>
  <si>
    <t>HIGH BUDGET</t>
  </si>
  <si>
    <t>Publishers (open)</t>
  </si>
  <si>
    <t>Reset filters</t>
  </si>
  <si>
    <t>The community copy. Add new publishers or correct data here.</t>
  </si>
  <si>
    <t>Anyone</t>
  </si>
  <si>
    <t>Genre match</t>
  </si>
  <si>
    <t>Investors (curated)</t>
  </si>
  <si>
    <t>Any selected genre</t>
  </si>
  <si>
    <t>Investors and funds that back game projects or studios.</t>
  </si>
  <si>
    <t>Investors (open)</t>
  </si>
  <si>
    <t>Genre fit</t>
  </si>
  <si>
    <t>The community copy of the investor list.</t>
  </si>
  <si>
    <t>Any position</t>
  </si>
  <si>
    <t>Developer Resources</t>
  </si>
  <si>
    <t>Tools and guides for indie developers: festivals, marketing and more.</t>
  </si>
  <si>
    <t>HOW THE PUBLISHER LIST IS ORGANISED</t>
  </si>
  <si>
    <t>Any</t>
  </si>
  <si>
    <t>Paradox</t>
  </si>
  <si>
    <t>Section</t>
  </si>
  <si>
    <t>What it means</t>
  </si>
  <si>
    <t>High Budget</t>
  </si>
  <si>
    <t>Sweden</t>
  </si>
  <si>
    <t>https://www.paradoxinteractive.com/our-games/discover</t>
  </si>
  <si>
    <t>AA and AAA publishers. They usually fund $100K+ per project, often over $250K.</t>
  </si>
  <si>
    <t>Mid Budget</t>
  </si>
  <si>
    <t>Indie publishers whose median game earns $100K or more. They usually fund up to $250K.</t>
  </si>
  <si>
    <t>Low Budget</t>
  </si>
  <si>
    <t>Indie and hobbyist publishers whose median game earns under $100K, or with only 1–2 releases. Publishers with no sales data are at the bottom.</t>
  </si>
  <si>
    <t>Publishing-as-a-Service</t>
  </si>
  <si>
    <t>Offer publishing services (marketing, porting, QA and so on) rather than development funding.</t>
  </si>
  <si>
    <t>Dead</t>
  </si>
  <si>
    <t>No new release since 2024 or earlier, or closed. Kept for reference.</t>
  </si>
  <si>
    <t>Within each section, publishers are generally sorted by median revenue, highest first. I adjust the order by hand where it makes sense.</t>
  </si>
  <si>
    <t>Active</t>
  </si>
  <si>
    <t>COLUMNS</t>
  </si>
  <si>
    <t>Column</t>
  </si>
  <si>
    <t>Source</t>
  </si>
  <si>
    <t>Publisher name.</t>
  </si>
  <si>
    <t>—</t>
  </si>
  <si>
    <t>Where the publisher is based.</t>
  </si>
  <si>
    <t>Me</t>
  </si>
  <si>
    <t>Track record</t>
  </si>
  <si>
    <t>Official website.</t>
  </si>
  <si>
    <t>Their own guide to what and how to pitch.</t>
  </si>
  <si>
    <t>Where to send your pitch (form or email). Use this first.</t>
  </si>
  <si>
    <t>A named person to contact. See Pitching etiquette below.</t>
  </si>
  <si>
    <t>Community</t>
  </si>
  <si>
    <t>The publisher's page on Steam.</t>
  </si>
  <si>
    <t>Steam</t>
  </si>
  <si>
    <t>https://www.paradoxinteractive.com/contact/pitch-your-game-to-paradox</t>
  </si>
  <si>
    <t>The publisher's stats on Gamalytic.</t>
  </si>
  <si>
    <t>Gamalytic</t>
  </si>
  <si>
    <t>Followers of the publisher's Steam page.</t>
  </si>
  <si>
    <t>Number of games released on Steam.</t>
  </si>
  <si>
    <t>First / Last Game Release Date</t>
  </si>
  <si>
    <t>Month of their first and latest Steam release.</t>
  </si>
  <si>
    <t>Lifetime / Average / Median Rev ($)</t>
  </si>
  <si>
    <t>Estimated gross Steam revenue: all games combined, average per game, median per game. The median is the best guide to how a typical game of theirs does.</t>
  </si>
  <si>
    <t>Gamalytic's size class: Hobbyist, Indie, AA or AAA.</t>
  </si>
  <si>
    <t>Rough development funding per project. See the key below.</t>
  </si>
  <si>
    <t>How the publisher handles pitches, as reported by developers. See the key below.</t>
  </si>
  <si>
    <t>5–10 genre tags across their catalogue, strongest first.</t>
  </si>
  <si>
    <t>Steam / Gamalytic</t>
  </si>
  <si>
    <t>Their top-selling games.</t>
  </si>
  <si>
    <t>Short notes on the publisher.</t>
  </si>
  <si>
    <t>Revenue, games, class and release dates are courtesy of GAMALYTIC, who kindly provide API access. What the metrics mean: https://gamalytic.com/about</t>
  </si>
  <si>
    <t>Funding per project</t>
  </si>
  <si>
    <t>Denis Komatina</t>
  </si>
  <si>
    <t>$$$</t>
  </si>
  <si>
    <t>More than $250K</t>
  </si>
  <si>
    <t>https://store.steampowered.com/developer/paradoxinteractive</t>
  </si>
  <si>
    <t>$$</t>
  </si>
  <si>
    <t>About $100K–$250K</t>
  </si>
  <si>
    <t>$</t>
  </si>
  <si>
    <t>Less than $100K</t>
  </si>
  <si>
    <t>Many publishers span two levels, e.g. $$, $$$. These are rough estimates.</t>
  </si>
  <si>
    <t>How developers say their pitch was handled</t>
  </si>
  <si>
    <t>★★★</t>
  </si>
  <si>
    <t>Reviewed it and replied with a decision.</t>
  </si>
  <si>
    <t>★★</t>
  </si>
  <si>
    <t>Reviewed the pitch but never replied with a decision.</t>
  </si>
  <si>
    <t>★</t>
  </si>
  <si>
    <t>Didn't review the pitch.</t>
  </si>
  <si>
    <t>Reported by developers who pitched, so experiences vary. Had a different experience? Update it on the open tab.</t>
  </si>
  <si>
    <t>PITCHING ETIQUETTE</t>
  </si>
  <si>
    <t>https://gamalytic.com/publisher/Paradox%20Interactive</t>
  </si>
  <si>
    <t>• Submit through the official pitch form or email first. It's the safest route.</t>
  </si>
  <si>
    <t>• Avoid cold messages on LinkedIn or Twitter.</t>
  </si>
  <si>
    <t>• Before contacting a named person, check they still work there in a relevant role.</t>
  </si>
  <si>
    <t>CONTRIBUTE</t>
  </si>
  <si>
    <t>• Add or correct entries on the open tabs: Publishers (open) and Investors (open).</t>
  </si>
  <si>
    <t>• Please don't change the sheet's structure (columns, sections). For your own edits, use File → Make a copy.</t>
  </si>
  <si>
    <t>• I review the open tabs every couple of months and move verified changes into the curated tabs.</t>
  </si>
  <si>
    <t>• For immediate updates, leave a comment on the cell, send me an email, or message me on Discord.</t>
  </si>
  <si>
    <t>STAY UPDATED</t>
  </si>
  <si>
    <t>Patreon (free)</t>
  </si>
  <si>
    <t>News on new publishers, funds and investors. Be the first to know.</t>
  </si>
  <si>
    <t>664K</t>
  </si>
  <si>
    <t>77</t>
  </si>
  <si>
    <t>Dec 2008</t>
  </si>
  <si>
    <t>Sep 2026</t>
  </si>
  <si>
    <t>AAA</t>
  </si>
  <si>
    <t>$$, $$$</t>
  </si>
  <si>
    <t>Newsletter</t>
  </si>
  <si>
    <t>Get the gamedev posts I share on Reddit by email.</t>
  </si>
  <si>
    <t>Grand Strategy, Management, Sandbox, Economy, City Builder, 4X, Turn-Based Strategy, Real-Time with Pause, Resource Management</t>
  </si>
  <si>
    <t>Cities Skylines,Crusader King, Stellaris, Heart of Iron, Victoria</t>
  </si>
  <si>
    <t>Discord / Twitter / Reddit / Bluesky</t>
  </si>
  <si>
    <t>Highly focused on strategy, grand strategy and 4X games. They have also published building/simulation games. They have an indie label called Paradox Arc.</t>
  </si>
  <si>
    <t>seyedhn</t>
  </si>
  <si>
    <t>Email</t>
  </si>
  <si>
    <t>seyed@unifiq.com</t>
  </si>
  <si>
    <t>Coffee Stain</t>
  </si>
  <si>
    <t>https://www.coffeestainpublishing.com/</t>
  </si>
  <si>
    <t>-</t>
  </si>
  <si>
    <t>https://coffeestain.com/publishing</t>
  </si>
  <si>
    <t>Gustav Nisser</t>
  </si>
  <si>
    <t>https://store.steampowered.com/developer/coffeestain</t>
  </si>
  <si>
    <t>https://gamalytic.com/publisher/Coffee%20Stain%20Publishing</t>
  </si>
  <si>
    <t>119K</t>
  </si>
  <si>
    <t>19</t>
  </si>
  <si>
    <t>Apr 2011</t>
  </si>
  <si>
    <t>Co-op, Open World, Base Building, Open World Survival Craft, Crafting, FPS, Survival, Sandbox</t>
  </si>
  <si>
    <t>Valheim, Satisfactory, Goat Simulator, Deep Rock Galactic, Teardown</t>
  </si>
  <si>
    <t>Focus on: open ended systemic games that are fun solo and great coop. Have published different styles of games as well.</t>
  </si>
  <si>
    <t>Focus Entertainment</t>
  </si>
  <si>
    <t>France</t>
  </si>
  <si>
    <t>https://www.focus-entmt.com/en</t>
  </si>
  <si>
    <t>publishing@focusent.com</t>
  </si>
  <si>
    <r>
      <rPr>
        <rFont val="Calibri"/>
        <color rgb="FF1155CC"/>
        <sz val="10.0"/>
        <u/>
      </rPr>
      <t>Yves Le Yaouanq</t>
    </r>
    <r>
      <rPr>
        <rFont val="Calibri"/>
        <color rgb="FF000000"/>
        <sz val="10.0"/>
      </rPr>
      <t xml:space="preserve">, </t>
    </r>
    <r>
      <rPr>
        <rFont val="Calibri"/>
        <color rgb="FF1155CC"/>
        <sz val="10.0"/>
        <u/>
      </rPr>
      <t xml:space="preserve">Cecile Flechon, </t>
    </r>
    <r>
      <rPr>
        <rFont val="Calibri"/>
        <color rgb="FF000000"/>
        <sz val="10.0"/>
      </rPr>
      <t xml:space="preserve"> </t>
    </r>
    <r>
      <rPr>
        <rFont val="Calibri"/>
        <color rgb="FF1155CC"/>
        <sz val="10.0"/>
        <u/>
      </rPr>
      <t>Frank Meijer</t>
    </r>
  </si>
  <si>
    <t>https://store.steampowered.com/developer/Focus</t>
  </si>
  <si>
    <r>
      <rPr>
        <rFont val="Calibri"/>
        <color rgb="FF1155CC"/>
        <sz val="10.0"/>
        <u/>
      </rPr>
      <t>Yves Le Yaouanq</t>
    </r>
    <r>
      <rPr>
        <rFont val="Calibri"/>
        <color rgb="FF000000"/>
        <sz val="10.0"/>
      </rPr>
      <t xml:space="preserve">, </t>
    </r>
    <r>
      <rPr>
        <rFont val="Calibri"/>
        <color rgb="FF1155CC"/>
        <sz val="10.0"/>
        <u/>
      </rPr>
      <t xml:space="preserve">Cecile Flechon, </t>
    </r>
    <r>
      <rPr>
        <rFont val="Calibri"/>
        <color rgb="FF000000"/>
        <sz val="10.0"/>
      </rPr>
      <t xml:space="preserve"> </t>
    </r>
    <r>
      <rPr>
        <rFont val="Calibri"/>
        <color rgb="FF1155CC"/>
        <sz val="10.0"/>
        <u/>
      </rPr>
      <t>Frank Meijer</t>
    </r>
  </si>
  <si>
    <t>https://gamalytic.com/publisher/Focus%20Entertainment</t>
  </si>
  <si>
    <t>214K</t>
  </si>
  <si>
    <t>71</t>
  </si>
  <si>
    <t>Mar 2007</t>
  </si>
  <si>
    <t>Co-op, Open World, Action-Adventure, FPS, Shooter, Horror, Driving, Automobile Sim, Life Sim</t>
  </si>
  <si>
    <t>A Plague Tale, Space Marines, Boltgun, Dordogne, Chants of Sennaar</t>
  </si>
  <si>
    <t>They only publish $2M+ games, very leaning towards III, AA and AAA quality games.</t>
  </si>
  <si>
    <t>Hooded Horse</t>
  </si>
  <si>
    <t>USA</t>
  </si>
  <si>
    <t>https://hoodedhorse.com/</t>
  </si>
  <si>
    <t>https://hoodedhorse.com/developers/</t>
  </si>
  <si>
    <t>publishing@hoodedhorse.com</t>
  </si>
  <si>
    <t>James Gardiner</t>
  </si>
  <si>
    <t>https://store.steampowered.com/publisher/HoodedHorse</t>
  </si>
  <si>
    <t>https://gamalytic.com/publisher/Hooded%20Horse</t>
  </si>
  <si>
    <t>130K</t>
  </si>
  <si>
    <t>Mar 2017</t>
  </si>
  <si>
    <t>Oct 2026</t>
  </si>
  <si>
    <t>AA</t>
  </si>
  <si>
    <t>Grand Strategy, City Builder, Base Building, Management, Sandbox, Turn-Based Strategy, Economy, Colony Sim, 4X, Resource Management</t>
  </si>
  <si>
    <t>Manor Lords, Against the Storm, Heroes of Might and Magic: Olden Era, 9 Kings, MENACE</t>
  </si>
  <si>
    <t>Strictly publish strategy, simulation, and roguelike games. You can think of Hooded Horse as a Paradox alternative. They have had jawdropping success in a very short span of time. They offer financing and sometimes work with other parties to arrange funding.</t>
  </si>
  <si>
    <t>Kepler Interactive</t>
  </si>
  <si>
    <t>UK</t>
  </si>
  <si>
    <t>https://kepler-interactive.com/</t>
  </si>
  <si>
    <t>https://kepler-interactive.com/form</t>
  </si>
  <si>
    <t>?</t>
  </si>
  <si>
    <t>https://store.steampowered.com/publisher/kepler</t>
  </si>
  <si>
    <t>https://gamalytic.com/publisher/Kepler%20Interactive</t>
  </si>
  <si>
    <t>43K</t>
  </si>
  <si>
    <t>14</t>
  </si>
  <si>
    <t>Aug 2017</t>
  </si>
  <si>
    <t>Mar 2026</t>
  </si>
  <si>
    <t>Turn-Based Combat, JRPG, Football (Soccer), Action RPG, Martial Arts, Souls-like, Co-op, Beat 'em up, Driving, Party-Based RPG</t>
  </si>
  <si>
    <t>Clair Obscur: Expedition 33, Rematch, Sifu, Scorn</t>
  </si>
  <si>
    <t>Kowloon Night's page (a publisher formerly focused on indies) now also redirects to Kepler's. Seems to be pivoting more to AA or AAA production?</t>
  </si>
  <si>
    <t>Playstack</t>
  </si>
  <si>
    <t>https://playstack.com/</t>
  </si>
  <si>
    <t>https://playstack.com/#pitch</t>
  </si>
  <si>
    <t>Naman Budhwar</t>
  </si>
  <si>
    <t>https://store.steampowered.com/publisher/Playstack</t>
  </si>
  <si>
    <t>https://gamalytic.com/publisher/Playstack</t>
  </si>
  <si>
    <t>22K</t>
  </si>
  <si>
    <t>Nov 2019</t>
  </si>
  <si>
    <t>Roguelike, Roguelike Deckbuilder, Deckbuilding, Souls-like, Card Game, Survival, Co-op, Roguelite, Open World Survival Craft, Crafting</t>
  </si>
  <si>
    <t>Balatro, The Case of the Golden Idol, Mortal Shell, The Entropy Center</t>
  </si>
  <si>
    <t>11 bit studios</t>
  </si>
  <si>
    <t>Poland</t>
  </si>
  <si>
    <t>https://11bitstudios.com</t>
  </si>
  <si>
    <t>https://11bitstudios.com/publishing/</t>
  </si>
  <si>
    <t>https://11bitstudios.com/submit-your-game/</t>
  </si>
  <si>
    <t>Chris Wigley</t>
  </si>
  <si>
    <t>https://store.steampowered.com/developer/11bitstudios</t>
  </si>
  <si>
    <t>https://gamalytic.com/publisher/11%20bit%20studios</t>
  </si>
  <si>
    <t>1.1M</t>
  </si>
  <si>
    <t>21</t>
  </si>
  <si>
    <t>Survival, Resource Management, City Builder, Base Building, Management, Roguelike, Hack and Slash, Colony Sim, Roguelite, Action Roguelike</t>
  </si>
  <si>
    <t>Frostpunk, Children of Morta, This War of Mine, Moonlighter, Indika</t>
  </si>
  <si>
    <t>They're looking for meaningful, unique titles with impactful elements – be it in mechanical or narrative layer of the game. Not genre-driven. Usually with strong narrative/lore.</t>
  </si>
  <si>
    <t>Square Enix Collective</t>
  </si>
  <si>
    <t>UK, Japan</t>
  </si>
  <si>
    <t>https://collective.square-enix.com/</t>
  </si>
  <si>
    <t>https://collective.square-enix-games.com/en_GB/contact</t>
  </si>
  <si>
    <t>Csilla Budai</t>
  </si>
  <si>
    <t>https://store.steampowered.com/developer/squareenix</t>
  </si>
  <si>
    <t>https://gamalytic.com/publisher/Square%20Enix</t>
  </si>
  <si>
    <t>1.0M</t>
  </si>
  <si>
    <t>152</t>
  </si>
  <si>
    <t>JRPG, Open World, Action RPG, Party-Based RPG, Turn-Based Combat</t>
  </si>
  <si>
    <t>PowerWash, Circuit Superstars, Little Goody Two Shoes</t>
  </si>
  <si>
    <t>This is the indie publishing and investment arm of SE. They publish games across all budget ranges, and are genre agnostic.</t>
  </si>
  <si>
    <t>BiliBili</t>
  </si>
  <si>
    <t>China</t>
  </si>
  <si>
    <t>https://store.steampowered.com/publisher/bilibili</t>
  </si>
  <si>
    <t>chenyiliang01@bilibili.com</t>
  </si>
  <si>
    <t>https://gamalytic.com/publisher/bilibili</t>
  </si>
  <si>
    <t>142K</t>
  </si>
  <si>
    <t>May 2022</t>
  </si>
  <si>
    <t>Apr 2026</t>
  </si>
  <si>
    <t>Survival, Open World, Looter Shooter, Action Roguelike, Roguelite, Sandbox, Martial Arts, Extraction Shooter, Roguelike, Crafting</t>
  </si>
  <si>
    <t>Magicraft, The Matchless Kungfu</t>
  </si>
  <si>
    <t xml:space="preserve">- </t>
  </si>
  <si>
    <t>Behaviour Interactive</t>
  </si>
  <si>
    <t>Canada</t>
  </si>
  <si>
    <t>https://www.bhvr.com/</t>
  </si>
  <si>
    <t>BizDev@bhvr.com</t>
  </si>
  <si>
    <t>Orange Qi</t>
  </si>
  <si>
    <t>https://store.steampowered.com/curator/33367148</t>
  </si>
  <si>
    <t>https://gamalytic.com/publisher/Behaviour%20Interactive%20Inc.</t>
  </si>
  <si>
    <t>56K</t>
  </si>
  <si>
    <t>8</t>
  </si>
  <si>
    <t>Jun 2016</t>
  </si>
  <si>
    <t>Horror, Survival Horror, Co-op, Survival, Team-Based, Psychological Horror, Stealth</t>
  </si>
  <si>
    <t>Dead by Daylight, Meet Your Maker, Hooked on You</t>
  </si>
  <si>
    <t>They are especially interested in horror games.</t>
  </si>
  <si>
    <t>HypeTrain Digital</t>
  </si>
  <si>
    <t>Cyprus</t>
  </si>
  <si>
    <t>https://hypetraindigital.com/</t>
  </si>
  <si>
    <t>ib@hypetraindigital.com</t>
  </si>
  <si>
    <t>Ivan Bell</t>
  </si>
  <si>
    <t>https://store.steampowered.com/publisher/HypeTrainDigital</t>
  </si>
  <si>
    <t>https://gamalytic.com/publisher/HypeTrain%20Digital</t>
  </si>
  <si>
    <t>78K</t>
  </si>
  <si>
    <t>Nov 2015</t>
  </si>
  <si>
    <t>Survival, Open World Survival Craft, Roguelike, Co-op, Open World, Sandbox, Base Building, Crafting, Top-Down Shooter</t>
  </si>
  <si>
    <t>Stoneshard, Voidtrain, Breathedge</t>
  </si>
  <si>
    <t>Mostly interested in games with high replay value. HypeTrain provides detailed feedback on gameplay. Generally works in the $100-500k budget range.</t>
  </si>
  <si>
    <t>Mythwright</t>
  </si>
  <si>
    <t>https://mythwright.com/</t>
  </si>
  <si>
    <t>publishing@mythwright.com</t>
  </si>
  <si>
    <t>https://store.steampowered.com/publisher/mythwright</t>
  </si>
  <si>
    <t>https://gamalytic.com/publisher/Mythwright</t>
  </si>
  <si>
    <t>5K</t>
  </si>
  <si>
    <t>Apr 2015</t>
  </si>
  <si>
    <t>Aug 2026</t>
  </si>
  <si>
    <t>Base Building, Sandbox, City Builder, Survival, Management, Crafting, Open World Survival Craft, Open World, Colony Sim, Tower Defense</t>
  </si>
  <si>
    <t>Going Medieval, War for the Overworld</t>
  </si>
  <si>
    <t>Marvelous Europe</t>
  </si>
  <si>
    <t>www.marvelousgames.com</t>
  </si>
  <si>
    <t>https://marvelousgames.com/submit-game</t>
  </si>
  <si>
    <t>Sarah Burns</t>
  </si>
  <si>
    <t>https://store.steampowered.com/developer/MarvelousEurope</t>
  </si>
  <si>
    <t>https://gamalytic.com/publisher/Marvelous%20Europe</t>
  </si>
  <si>
    <t>28K</t>
  </si>
  <si>
    <t>26</t>
  </si>
  <si>
    <t>Aug 2016</t>
  </si>
  <si>
    <t>Jul 2026</t>
  </si>
  <si>
    <t>Farming Sim, Hack and Slash, Life Sim, JRPG, Dating Sim, Crafting, Beat 'em up, Creature Collector</t>
  </si>
  <si>
    <t>Story of Seasons, Rune Factory, Sakuna of Rice and Ruin, Potionomics, Cuisineer</t>
  </si>
  <si>
    <t>Subsidiary of Marvelous Inc in Japan. Publisher and developer for Story of Seasons, Rune Factory, Daemon X Machina series. Also publishes third party titles.</t>
  </si>
  <si>
    <t>My.Games</t>
  </si>
  <si>
    <t>Netherlands</t>
  </si>
  <si>
    <t>https://my.games</t>
  </si>
  <si>
    <t>https://about.my.games/publishing</t>
  </si>
  <si>
    <t>https://store.steampowered.com/publisher/mygames</t>
  </si>
  <si>
    <t>https://gamalytic.com/publisher/MY.GAMES</t>
  </si>
  <si>
    <t>13K</t>
  </si>
  <si>
    <t>Mar 2025</t>
  </si>
  <si>
    <t>Shooter, FPS, VR, Hacking, On-Rails Shooter</t>
  </si>
  <si>
    <t>Conqueror's Blade, Warface</t>
  </si>
  <si>
    <t>Chucklefish</t>
  </si>
  <si>
    <t>https://chucklefish.org/</t>
  </si>
  <si>
    <t>https://chucklefish.org/publishing-with-chucklefish/</t>
  </si>
  <si>
    <t>https://chucklefish.org/submit/</t>
  </si>
  <si>
    <t>Katy Ellis</t>
  </si>
  <si>
    <t>https://store.steampowered.com/developer/chucklefish</t>
  </si>
  <si>
    <t>https://gamalytic.com/publisher/Chucklefish</t>
  </si>
  <si>
    <t>146K</t>
  </si>
  <si>
    <t>Jul 2012</t>
  </si>
  <si>
    <t>Nov 2024</t>
  </si>
  <si>
    <t>Sandbox, Open World Survival Craft, Survival, Turn-Based Tactics, Crafting, Co-op, Turn-Based Strategy, Open World, Strategy RPG, Tactical RPG</t>
  </si>
  <si>
    <t>Starbound, Eastward, Wildfrost</t>
  </si>
  <si>
    <t>Team17</t>
  </si>
  <si>
    <t>https://www.team17.com/</t>
  </si>
  <si>
    <t>https://www.team17.com/submit-game/</t>
  </si>
  <si>
    <t>https://www.team17.com/submit-game/submit/</t>
  </si>
  <si>
    <t>Benjamin Ellis</t>
  </si>
  <si>
    <t>https://store.steampowered.com/developer/Team17</t>
  </si>
  <si>
    <t>https://gamalytic.com/publisher/Team17</t>
  </si>
  <si>
    <t>253K</t>
  </si>
  <si>
    <t>107</t>
  </si>
  <si>
    <t>Jun 2010</t>
  </si>
  <si>
    <t>Co-op, Shooter, FPS, Roguelite, Metroidvania, Action Roguelike, Roguelike, Survival, Crafting</t>
  </si>
  <si>
    <t>Overcooked, Hell Let Loose, Golf with your friends, Blasphomous, Dredge</t>
  </si>
  <si>
    <t>They have very high standards for games they publish. They strictly don't publish sandbox games</t>
  </si>
  <si>
    <t>Dotemu</t>
  </si>
  <si>
    <t>https://www.dotemu.com/</t>
  </si>
  <si>
    <t>https://www.dotemu.com/contact/</t>
  </si>
  <si>
    <r>
      <rPr>
        <rFont val="Calibri"/>
        <color rgb="FF1155CC"/>
        <sz val="10.0"/>
        <u/>
      </rPr>
      <t>Julien Chouvet</t>
    </r>
    <r>
      <rPr>
        <rFont val="Calibri"/>
        <sz val="10.0"/>
      </rPr>
      <t xml:space="preserve"> </t>
    </r>
    <r>
      <rPr>
        <rFont val="Calibri"/>
        <color rgb="FF1155CC"/>
        <sz val="10.0"/>
        <u/>
      </rPr>
      <t>Cyrille Imbert</t>
    </r>
  </si>
  <si>
    <t>https://store.steampowered.com/publisher/Dotemu</t>
  </si>
  <si>
    <t>https://gamalytic.com/publisher/Dotemu</t>
  </si>
  <si>
    <t>35K</t>
  </si>
  <si>
    <t>Dec 2012</t>
  </si>
  <si>
    <t>Beat 'em up, Arcade, Roguelite, Co-op, Fighting, Action-Adventure, Roguelike, FPS</t>
  </si>
  <si>
    <t>TMNT Shredder's Revenge, Streets of Rage 4, Pharaoh: A New Era, Wonder Boy: The Dragon's Trap</t>
  </si>
  <si>
    <t>Publisher specializing in modern releases of retro games and licences, they have an indie label (The Arcade Crew). For high budget they lean more towards highly replayable games, or game as a service</t>
  </si>
  <si>
    <t>Annapurna Interactive</t>
  </si>
  <si>
    <t>https://annapurnainteractive.com/en</t>
  </si>
  <si>
    <t>https://store.steampowered.com/publisher/annapurnainteractive</t>
  </si>
  <si>
    <t>https://gamalytic.com/publisher/Annapurna%20Interactive</t>
  </si>
  <si>
    <t>164K</t>
  </si>
  <si>
    <t>45</t>
  </si>
  <si>
    <t>Apr 2017</t>
  </si>
  <si>
    <t>Puzzle, Walking Simulator, Horror, 3D Platformer, Open World, Point &amp; Click</t>
  </si>
  <si>
    <t>Stray, Outer Wilds, Journey, Twelve Minutes</t>
  </si>
  <si>
    <t>NEOWIZ</t>
  </si>
  <si>
    <t>Korea</t>
  </si>
  <si>
    <t>https://www.neowiz.com/</t>
  </si>
  <si>
    <t>nwpublishing@neowiz.com</t>
  </si>
  <si>
    <t>Justin Carnahan</t>
  </si>
  <si>
    <t>https://store.steampowered.com/publisher/NEOWIZ</t>
  </si>
  <si>
    <t>https://gamalytic.com/publisher/NEOWIZ</t>
  </si>
  <si>
    <t>69K</t>
  </si>
  <si>
    <t>Jun 2018</t>
  </si>
  <si>
    <t>Sep 2025</t>
  </si>
  <si>
    <t>Action Roguelike, Souls-like, Roguelite, Rhythm, Action RPG, Roguelike, Hack and Slash, Platformer, Co-op, Dungeon Crawler</t>
  </si>
  <si>
    <t>Lies of P, DJMax Respect V, Skul The Hero Slayer, Sanabi</t>
  </si>
  <si>
    <t>Marvelous USA / XSEED Games</t>
  </si>
  <si>
    <t>https://www.xseedgames.com/</t>
  </si>
  <si>
    <t>https://www.xseedgames.com/pitch-us-your-game/</t>
  </si>
  <si>
    <t>https://store.steampowered.com/publisher/marveloususa</t>
  </si>
  <si>
    <t>https://gamalytic.com/publisher/XSEED%20Games</t>
  </si>
  <si>
    <t>105K</t>
  </si>
  <si>
    <t>62</t>
  </si>
  <si>
    <t>Sep 2012</t>
  </si>
  <si>
    <t>Dec 2025</t>
  </si>
  <si>
    <t>JRPG, Farming Sim, Hack and Slash, Action RPG, Dating Sim, Life Sim, Beat 'em up, Fighting, Crafting</t>
  </si>
  <si>
    <t>Kwalee</t>
  </si>
  <si>
    <t>https://www.kwalee.com/</t>
  </si>
  <si>
    <r>
      <rPr>
        <rFont val="Calibri"/>
        <color rgb="FF1155CC"/>
        <sz val="10.0"/>
        <u/>
      </rPr>
      <t>Julien Chouvet</t>
    </r>
    <r>
      <rPr>
        <rFont val="Calibri"/>
        <sz val="10.0"/>
      </rPr>
      <t xml:space="preserve"> </t>
    </r>
    <r>
      <rPr>
        <rFont val="Calibri"/>
        <color rgb="FF1155CC"/>
        <sz val="10.0"/>
        <u/>
      </rPr>
      <t>Cyrille Imbert</t>
    </r>
  </si>
  <si>
    <t>https://docs.google.com/presentation/d/1_wYa-BnT4yZfFOynQSyOXI4L97F_v-lUoqCN4Quz7Vw/edit#slide=id.g25a4797f419_0_94</t>
  </si>
  <si>
    <t>https://www.kwalee.com/campaign/submit-your-game</t>
  </si>
  <si>
    <t>Jack Griffin</t>
  </si>
  <si>
    <t>https://store.steampowered.com/publisher/Kwalee</t>
  </si>
  <si>
    <t>https://gamalytic.com/publisher/Kwalee</t>
  </si>
  <si>
    <t>4K</t>
  </si>
  <si>
    <t>Aug 2020</t>
  </si>
  <si>
    <t>Co-op, Horror, Sandbox, Investigation, Open World, FPS, Survival, Survival Horror, City Builder</t>
  </si>
  <si>
    <t>In a Sink: A co-op Escape Prologue, The Coin Game, Wildmender</t>
  </si>
  <si>
    <t>Previously focused towards Mobile Hyper Casual games, but moved into PC and Console in 2019. UK based but has offices around the world</t>
  </si>
  <si>
    <t>505 Games</t>
  </si>
  <si>
    <t>Italy</t>
  </si>
  <si>
    <t>https://505games.com/</t>
  </si>
  <si>
    <t>community@505games.com</t>
  </si>
  <si>
    <r>
      <rPr>
        <rFont val="Calibri"/>
        <color rgb="FF1155CC"/>
        <sz val="10.0"/>
        <u/>
      </rPr>
      <t>Giovanna Villani</t>
    </r>
    <r>
      <rPr>
        <rFont val="Calibri"/>
        <color rgb="FF000000"/>
        <sz val="10.0"/>
      </rPr>
      <t xml:space="preserve">, </t>
    </r>
    <r>
      <rPr>
        <rFont val="Calibri"/>
        <color rgb="FF1155CC"/>
        <sz val="10.0"/>
        <u/>
      </rPr>
      <t>Alessio Castaglia</t>
    </r>
  </si>
  <si>
    <t>https://store.steampowered.com/developer/505Games</t>
  </si>
  <si>
    <t>https://gamalytic.com/publisher/505%20Games</t>
  </si>
  <si>
    <t>161K</t>
  </si>
  <si>
    <t>64</t>
  </si>
  <si>
    <t>Sep 2013</t>
  </si>
  <si>
    <t>Automobile Sim, Open World, Driving, VR, Co-op, Hack and Slash, Survival, Action-Adventure, Crafting, Walking Simulator</t>
  </si>
  <si>
    <t>Ghostrunner, Death stranding, Assetto Corsa, Control</t>
  </si>
  <si>
    <t>They publish top quality AA &amp; AAA games, with $1M+ budgets</t>
  </si>
  <si>
    <t>Devolver</t>
  </si>
  <si>
    <t>UK, USA</t>
  </si>
  <si>
    <t>https://www.devolverdigital.com/</t>
  </si>
  <si>
    <t>https://pitch.devolverdigital.com/</t>
  </si>
  <si>
    <t>Juan de la Torre</t>
  </si>
  <si>
    <t>https://store.steampowered.com/developer/DevolverDigital</t>
  </si>
  <si>
    <t>https://gamalytic.com/publisher/Devolver%20Digital</t>
  </si>
  <si>
    <t>467K</t>
  </si>
  <si>
    <t>147</t>
  </si>
  <si>
    <t>Nov 2009</t>
  </si>
  <si>
    <t>FPS, Shooter, Co-op, Puzzle, Action Roguelike, Platformer, Roguelike, Roguelite, Hack and Slash, Dungeon Crawler</t>
  </si>
  <si>
    <t>Inscryption, Enter the Gungeon, Katana Zero, Hotline Miami Series</t>
  </si>
  <si>
    <t>They publish very specific types of games, and if your game is not fun, don't bother. Funding capped at 2M.</t>
  </si>
  <si>
    <t>Balor Games</t>
  </si>
  <si>
    <t>https://www.goodgamesgroup.com/</t>
  </si>
  <si>
    <t>Mark Nash</t>
  </si>
  <si>
    <t>https://store.steampowered.com/publisher/BalorGames</t>
  </si>
  <si>
    <t>https://gamalytic.com/publisher/Balor%20Games</t>
  </si>
  <si>
    <t>Investor</t>
  </si>
  <si>
    <t>107K</t>
  </si>
  <si>
    <t>Apr 2013</t>
  </si>
  <si>
    <t>Contact</t>
  </si>
  <si>
    <t>Co-op, Farming Sim, Roguelike, Action Roguelike, Crafting, Turn-Based Combat, Dungeon Crawler, Puzzle, Shooter, Life Sim</t>
  </si>
  <si>
    <t>Former leadership team of Humble Games. Currently managing the majority of the Humble Games catalog (see website for info). Launching a new Publishing Label in 2026. Taking pitches from $250k-$2M for completion funding of games. Provides funding for game development, services and marketing tailored to studio's needs. According to Jonny Merritt (Head of scouting) they have varied budget range but typically deal with the last 50% of project funding - so late in the development process</t>
  </si>
  <si>
    <t>Tripwire Interactive</t>
  </si>
  <si>
    <t>PROJECT INVESTMENT</t>
  </si>
  <si>
    <t>https://www.tripwireinteractive.com/</t>
  </si>
  <si>
    <t>https://www.tripwireinteractive.com/#/publishing</t>
  </si>
  <si>
    <t>Outersloth</t>
  </si>
  <si>
    <t>https://docs.google.com/forms/d/e/1FAIpQLSf8Tw-NGr5lUmjfpJ3h_FND5qVnYHe7uaE_BxHHdM-Od4CAPQ/viewform</t>
  </si>
  <si>
    <t>https://www.innersloth.com/outersloth/</t>
  </si>
  <si>
    <t>James Lamorticelli</t>
  </si>
  <si>
    <t>https://forms.clickup.com/8594055/f/868m7-40802/WUREECGJGOKAA2Q7EX</t>
  </si>
  <si>
    <t>https://store.steampowered.com/publisher/Tripwire</t>
  </si>
  <si>
    <t>https://gamalytic.com/publisher/Tripwire%20Interactive</t>
  </si>
  <si>
    <r>
      <t xml:space="preserve">Outersloth is </t>
    </r>
    <r>
      <rPr>
        <rFont val="Calibri"/>
        <color theme="1"/>
      </rPr>
      <t>for indie developers looking for funds to get their game off the ground or some extra money to finish it.</t>
    </r>
  </si>
  <si>
    <t>Almost Ready</t>
  </si>
  <si>
    <t>58K</t>
  </si>
  <si>
    <t>https://www.almostready.fund/</t>
  </si>
  <si>
    <t>Mar 2006</t>
  </si>
  <si>
    <t>Jul 2025</t>
  </si>
  <si>
    <t>FPS, Horror, Shooter, Co-op, Survival, Wargame, Hack and Slash, Team-Based</t>
  </si>
  <si>
    <t>Man Eater, Chivalry 2, Deceive Inc.</t>
  </si>
  <si>
    <t>Fireshine Games</t>
  </si>
  <si>
    <t>https://fireshinegames.co.uk/</t>
  </si>
  <si>
    <t>https://docs.google.com/forms/d/e/1FAIpQLSe0yxoMXfXyBAkN87epn0lq8C4m43pcCgEySTO_uUBgqQiFJw/viewform</t>
  </si>
  <si>
    <t>https://fireshinegames.co.uk/pitch/</t>
  </si>
  <si>
    <t>Bengin Bayrak</t>
  </si>
  <si>
    <r>
      <rPr>
        <rFont val="Calibri"/>
        <color rgb="FF1155CC"/>
        <u/>
      </rPr>
      <t>https://fireshinegames.co.uk/pitch-contact-form/</t>
    </r>
    <r>
      <rPr>
        <rFont val="Calibri"/>
        <color rgb="FF000000"/>
        <u/>
      </rPr>
      <t>, publishing@fireshinegames.co.uk</t>
    </r>
  </si>
  <si>
    <t>Fund projects that are within 6 months to launch. Invest up to $250K.</t>
  </si>
  <si>
    <r>
      <rPr>
        <rFont val="Calibri"/>
        <color rgb="FF1155CC"/>
        <u/>
      </rPr>
      <t>Atilla Bertiz</t>
    </r>
    <r>
      <rPr>
        <rFont val="Calibri"/>
        <color rgb="FF000000"/>
        <u/>
      </rPr>
      <t xml:space="preserve">, </t>
    </r>
    <r>
      <rPr>
        <rFont val="Calibri"/>
        <color rgb="FF1155CC"/>
        <u/>
      </rPr>
      <t>K. A. Pedersen</t>
    </r>
    <r>
      <rPr>
        <rFont val="Calibri"/>
        <color rgb="FF000000"/>
        <u/>
      </rPr>
      <t xml:space="preserve">, </t>
    </r>
    <r>
      <rPr>
        <rFont val="Calibri"/>
        <color rgb="FF1155CC"/>
        <u/>
      </rPr>
      <t>Kerryn Frean</t>
    </r>
  </si>
  <si>
    <t>Kowloon Nights</t>
  </si>
  <si>
    <t>Worldwide</t>
  </si>
  <si>
    <t>https://www.kowloonnights.com/</t>
  </si>
  <si>
    <t>https://store.steampowered.com/publisher/FireshineGames</t>
  </si>
  <si>
    <r>
      <rPr>
        <rFont val="Calibri"/>
        <color rgb="FF1155CC"/>
        <sz val="10.0"/>
        <u/>
      </rPr>
      <t>Giovanna Villani</t>
    </r>
    <r>
      <rPr>
        <rFont val="Calibri"/>
        <color rgb="FF000000"/>
        <sz val="10.0"/>
      </rPr>
      <t xml:space="preserve">, </t>
    </r>
    <r>
      <rPr>
        <rFont val="Calibri"/>
        <color rgb="FF1155CC"/>
        <sz val="10.0"/>
        <u/>
      </rPr>
      <t>Alessio Castaglia</t>
    </r>
  </si>
  <si>
    <t>https://www.kowloonnights.com/contact-us</t>
  </si>
  <si>
    <t>https://gamalytic.com/publisher/Fireshine%20Games</t>
  </si>
  <si>
    <t>15K</t>
  </si>
  <si>
    <t>Claudia Sng</t>
  </si>
  <si>
    <t>Jan 2021</t>
  </si>
  <si>
    <t>Open World, Sandbox, Co-op, Survival, Crafting, Open World Survival Craft, Base Building, Puzzle, Platformer</t>
  </si>
  <si>
    <t xml:space="preserve">Core Keeper, Mechwarrior 5, Shadows of Doubt </t>
  </si>
  <si>
    <t>Former name is "Sold Out" - publishing label of EG7. Budgets between 100k and 700k, but looked at projects both below and above that.</t>
  </si>
  <si>
    <t>Toplitz Productions</t>
  </si>
  <si>
    <t>Germany</t>
  </si>
  <si>
    <t>https://www.toplitz-productions.com/home.html</t>
  </si>
  <si>
    <t>They invest in small indie projects. I've heard very good things about them. Kowloon is part of the Kepler Interactive group.</t>
  </si>
  <si>
    <t>Landfall Games</t>
  </si>
  <si>
    <t>https://landfall.se/supported</t>
  </si>
  <si>
    <t>https://www.toplitz-productions.com/contact-933.html</t>
  </si>
  <si>
    <t>Kirsten-Lee Naidoo</t>
  </si>
  <si>
    <t>https://store.steampowered.com/developer/Toplitz</t>
  </si>
  <si>
    <t>Developers of hit titles such as TABS. They are now supporting indiedevs in the form of project investment.</t>
  </si>
  <si>
    <t>GameSeer</t>
  </si>
  <si>
    <t>https://www.game-seer.com/</t>
  </si>
  <si>
    <t>https://gamalytic.com/publisher/Toplitz%20Productions</t>
  </si>
  <si>
    <t>https://www.game-seer.com/pitch-us/</t>
  </si>
  <si>
    <t>14K</t>
  </si>
  <si>
    <t>Jan 2010</t>
  </si>
  <si>
    <t>Crafting, Open World, Survival, Base Building, Co-op, Sandbox, City Builder, Management, Life Sim, Immersive Sim</t>
  </si>
  <si>
    <t>Medieval Dynasty, Sengoku Dynasty, Farmers Dynasty</t>
  </si>
  <si>
    <t>Bertrand Vernizeau</t>
  </si>
  <si>
    <t xml:space="preserve">Big life simulator publisher, focuses on those style games. They have a few studios under their umbrella developing the games under the "dyansty" series. </t>
  </si>
  <si>
    <t>Daedalic Entertainment</t>
  </si>
  <si>
    <t>https://www.daedalic.com/</t>
  </si>
  <si>
    <t>Bright Gambit</t>
  </si>
  <si>
    <t>https://brightgambit.com/</t>
  </si>
  <si>
    <t>scouting@daedalic.com</t>
  </si>
  <si>
    <t>Jonas Hüsges</t>
  </si>
  <si>
    <t>https://brightgambit.com/contact/</t>
  </si>
  <si>
    <t>https://store.steampowered.com/publisher/daedalic</t>
  </si>
  <si>
    <r>
      <rPr>
        <rFont val="Calibri"/>
        <color rgb="FF1155CC"/>
        <u/>
      </rPr>
      <t>Tim Browne</t>
    </r>
    <r>
      <rPr>
        <rFont val="Calibri"/>
        <color rgb="FF1155CC"/>
        <u/>
      </rPr>
      <t xml:space="preserve">, </t>
    </r>
    <r>
      <rPr>
        <rFont val="Calibri"/>
        <color rgb="FF1155CC"/>
        <u/>
      </rPr>
      <t>Vlad Calu</t>
    </r>
    <r>
      <rPr>
        <rFont val="Calibri"/>
        <color rgb="FF1155CC"/>
        <u/>
      </rPr>
      <t xml:space="preserve"> (scout)</t>
    </r>
  </si>
  <si>
    <t>https://gamalytic.com/publisher/Daedalic%20Entertainment</t>
  </si>
  <si>
    <t>89K</t>
  </si>
  <si>
    <t>Jun 2012</t>
  </si>
  <si>
    <t>An investment initiative focusing on investing only in games, not looking for equity in your company. In addition there are no publishing claims, you maintain full creative control, day one revenue share and all this in a developer friendly results oriented approach.</t>
  </si>
  <si>
    <t>Point &amp; Click, Puzzle, Co-op, Survival, Horror, Stealth, Real Time Tactics, Management</t>
  </si>
  <si>
    <t>Barotrauma, Witch it, Unrailed, Crazy Machines 3</t>
  </si>
  <si>
    <t>Raw Fury</t>
  </si>
  <si>
    <t>https://rawfury.com/</t>
  </si>
  <si>
    <t>Joystick Ventures</t>
  </si>
  <si>
    <t>https://www.joystickventures.com/</t>
  </si>
  <si>
    <t>https://rawfury.com/talk/</t>
  </si>
  <si>
    <t>https://form.asana.com/?k=SF4rPk6Y5L-NFSrVml5JOg&amp;d=1123805143377851</t>
  </si>
  <si>
    <t>https://www.joystickventures.com/contact-us</t>
  </si>
  <si>
    <t>Johan Toresson</t>
  </si>
  <si>
    <t>Arturo Ivan</t>
  </si>
  <si>
    <t>https://store.steampowered.com/publisher/rawfury</t>
  </si>
  <si>
    <t>Wings Fund</t>
  </si>
  <si>
    <t>https://wingsfund.me/</t>
  </si>
  <si>
    <t>https://gamalytic.com/publisher/Raw%20Fury</t>
  </si>
  <si>
    <t>https://wingsfund.me/apply/</t>
  </si>
  <si>
    <t>81K</t>
  </si>
  <si>
    <t>Oct 2015</t>
  </si>
  <si>
    <t>They only invest in female and marginalised founders, talks the talk but with an agenda</t>
  </si>
  <si>
    <t>Roguelike, Tower Defense, Roguelite, Puzzle, Base Building, Point &amp; Click, Investigation, City Builder, Survival, Horror</t>
  </si>
  <si>
    <t>Townscraper, Dome Keeper, Per Aspera</t>
  </si>
  <si>
    <t>They have a very good Developers Resources folder on what they look for in games: https://rawfury.com/developer-resources/ Their publishing contract is public and not negotiable.</t>
  </si>
  <si>
    <t>Gamedev Fund</t>
  </si>
  <si>
    <t>Lithuania</t>
  </si>
  <si>
    <t>Game Dev Fund</t>
  </si>
  <si>
    <t>Panic</t>
  </si>
  <si>
    <t>https://panic.com/</t>
  </si>
  <si>
    <t>pitches@panic.com</t>
  </si>
  <si>
    <t>https://gamedevfund.vc/#apply</t>
  </si>
  <si>
    <r>
      <rPr>
        <rFont val="Calibri"/>
        <color rgb="FF1155CC"/>
        <sz val="10.0"/>
        <u/>
      </rPr>
      <t>Nick Suttner</t>
    </r>
    <r>
      <rPr>
        <rFont val="Calibri"/>
        <color rgb="FF000000"/>
        <sz val="10.0"/>
      </rPr>
      <t xml:space="preserve">; </t>
    </r>
    <r>
      <rPr>
        <rFont val="Calibri"/>
        <color rgb="FF1155CC"/>
        <sz val="10.0"/>
        <u/>
      </rPr>
      <t>Alyssa Harrison</t>
    </r>
  </si>
  <si>
    <t>Vytautas Dobilas</t>
  </si>
  <si>
    <t>https://store.steampowered.com/publisher/Panic</t>
  </si>
  <si>
    <t>EU only. Founded by video games industry veterans, Gamedev Fund is an early-stage investment fund aiming to help talented teams in shipping their games by providing knowledge, contacts, and funds. We invest in premium indie games for PC/consoles with a playable demo on hand.</t>
  </si>
  <si>
    <t>Indie Fund</t>
  </si>
  <si>
    <t>https://indie-fund.com/</t>
  </si>
  <si>
    <t>https://gamalytic.com/publisher/Panic</t>
  </si>
  <si>
    <t>https://indie-fund.com/apply</t>
  </si>
  <si>
    <t>17K</t>
  </si>
  <si>
    <t>Oct 2008</t>
  </si>
  <si>
    <t>Puzzle, Open World, Co-op, Walking Simulator, Sandbox, Stealth</t>
  </si>
  <si>
    <t>Firewatch, Untitled Goose Game</t>
  </si>
  <si>
    <t>Focus on artistic or weird games</t>
  </si>
  <si>
    <t>Secret Mode</t>
  </si>
  <si>
    <t>The website isn't up to date, but they confirmed that they accept applications</t>
  </si>
  <si>
    <t>https://wearesecretmode.com/</t>
  </si>
  <si>
    <t>Midgame Fund</t>
  </si>
  <si>
    <t>https://midgame.fund/investors</t>
  </si>
  <si>
    <t>https://wearesecretmode.com/publishing</t>
  </si>
  <si>
    <t>pitch@midgame.fund</t>
  </si>
  <si>
    <t>They only invest in Netherland-based studios up to $150K</t>
  </si>
  <si>
    <t>Weird Ghosts</t>
  </si>
  <si>
    <r>
      <rPr>
        <rFont val="Calibri"/>
        <color rgb="FF1155CC"/>
        <u/>
      </rPr>
      <t>https://weirdghosts.ca</t>
    </r>
    <r>
      <rPr>
        <rFont val="Calibri"/>
      </rPr>
      <t xml:space="preserve"> </t>
    </r>
  </si>
  <si>
    <t>Joshua Garrity</t>
  </si>
  <si>
    <t>https://store.steampowered.com/publisher/SecretMode</t>
  </si>
  <si>
    <t>https://weirdghosts.ca/apply</t>
  </si>
  <si>
    <r>
      <rPr>
        <rFont val="Calibri"/>
        <color rgb="FF1155CC"/>
        <u/>
      </rPr>
      <t>https://fireshinegames.co.uk/pitch-contact-form/</t>
    </r>
    <r>
      <rPr>
        <rFont val="Calibri"/>
        <color rgb="FF000000"/>
        <u/>
      </rPr>
      <t>, publishing@fireshinegames.co.uk</t>
    </r>
  </si>
  <si>
    <t>Eileen Holowka</t>
  </si>
  <si>
    <t>https://gamalytic.com/publisher/Secret%20Mode</t>
  </si>
  <si>
    <t>18K</t>
  </si>
  <si>
    <r>
      <rPr>
        <rFont val="Calibri"/>
        <color rgb="FF1155CC"/>
        <u/>
      </rPr>
      <t>Atilla Bertiz</t>
    </r>
    <r>
      <rPr>
        <rFont val="Calibri"/>
        <color rgb="FF000000"/>
        <u/>
      </rPr>
      <t xml:space="preserve">, </t>
    </r>
    <r>
      <rPr>
        <rFont val="Calibri"/>
        <color rgb="FF1155CC"/>
        <u/>
      </rPr>
      <t>K. A. Pedersen</t>
    </r>
    <r>
      <rPr>
        <rFont val="Calibri"/>
        <color rgb="FF000000"/>
        <u/>
      </rPr>
      <t xml:space="preserve">, </t>
    </r>
    <r>
      <rPr>
        <rFont val="Calibri"/>
        <color rgb="FF1155CC"/>
        <u/>
      </rPr>
      <t>Kerryn Frean</t>
    </r>
  </si>
  <si>
    <t>Canada only. Focused on underrepresented founders focused on studio development, not project funding. Investments are done through shared earnings agreements and grants.</t>
  </si>
  <si>
    <t>Dec 2016</t>
  </si>
  <si>
    <t>ICHIBA</t>
  </si>
  <si>
    <t>Luxembourg / France</t>
  </si>
  <si>
    <t>https://www.linkedin.com/company/ichiba-project-financing/</t>
  </si>
  <si>
    <t>Co-op, Horror, Psychological Horror, Puzzle, Platformer, Survival Horror, Puzzle Platformer, Escape Room, Cleaning</t>
  </si>
  <si>
    <t>Wobbledogs, A little to the left, Turbo golf racing, loddlenaut</t>
  </si>
  <si>
    <t xml:space="preserve">The indie publishing arm of Sumo group. </t>
  </si>
  <si>
    <t>Aerosoft GmbH</t>
  </si>
  <si>
    <t>aerosoft.com</t>
  </si>
  <si>
    <r>
      <rPr>
        <rFont val="Calibri"/>
        <color rgb="FF1155CC"/>
        <u/>
      </rPr>
      <t>scouting@agoragamingpartners.com</t>
    </r>
  </si>
  <si>
    <t>Maarten.Janello@aerosoft.de</t>
  </si>
  <si>
    <t>Maarten Janello</t>
  </si>
  <si>
    <t>Pontus Maehler</t>
  </si>
  <si>
    <t>https://store.steampowered.com/publisher/aerosoft</t>
  </si>
  <si>
    <t>Ichiba is a project financing initiative by PixCapital and Agora Gaming Partners, providing last-mile funding and strategic support to premium PC/console games approaching launch - without taking creative control or IP ownership.</t>
  </si>
  <si>
    <t>EQUITY INVESTMENT</t>
  </si>
  <si>
    <t>https://gamalytic.com/publisher/Aerosoft%20GmbH</t>
  </si>
  <si>
    <t>Blue Ocean Games</t>
  </si>
  <si>
    <t>https://blueoceangames.com/challenge/winners</t>
  </si>
  <si>
    <t>40K</t>
  </si>
  <si>
    <t>Apr 2014</t>
  </si>
  <si>
    <t>Driving, Automobile Sim, Open World, Management, Sandbox, Economy</t>
  </si>
  <si>
    <t>Fernbus Simulator, OMSI 2: Steam Edition, Truck &amp; Logistics Simulator, City Bus Manager</t>
  </si>
  <si>
    <t>Heavily focused on the Simulator genres. they started with aerospace simulation tech for training etc before moving into games. Lots of job simulator titles that involve vehicles</t>
  </si>
  <si>
    <t>Richard Li</t>
  </si>
  <si>
    <t>tinyBuild</t>
  </si>
  <si>
    <t>https://www.tinybuild.com/</t>
  </si>
  <si>
    <t>An early-stage fund with a focus on innovative game projects. Fast-track route to their funding pipeline through participating in their trailer competition Rising Tide Challenge</t>
  </si>
  <si>
    <t>The Games Angels</t>
  </si>
  <si>
    <t>https://thegamesangels.com/</t>
  </si>
  <si>
    <t>https://www.tinybuild.com/how-to-pitch-your-game</t>
  </si>
  <si>
    <t>https://thegamesangels.com/#aabc23a0-2980-43a8-a0ee-b7ec5e4a76df</t>
  </si>
  <si>
    <t>Nick Button-Brown</t>
  </si>
  <si>
    <t>pitches@tinybuild.com</t>
  </si>
  <si>
    <t>Tom Brien</t>
  </si>
  <si>
    <t>A group of angel investors who invest in games</t>
  </si>
  <si>
    <t>The Games Fund</t>
  </si>
  <si>
    <t>https://gamesfund.vc/</t>
  </si>
  <si>
    <t>https://store.steampowered.com/developer/tinybuild/</t>
  </si>
  <si>
    <t>apply@gamesfund.vc</t>
  </si>
  <si>
    <t>Andrei Podoprigora</t>
  </si>
  <si>
    <t>https://gamalytic.com/publisher/tinyBuild</t>
  </si>
  <si>
    <t>Games focused VC based in the US, with Europe as the key region. Pre-seed and Seed stage with checks up to $3m. PC/Console/Mobile. NOT interested in: Web3/NFT/Crypto/Gambling/Adult.</t>
  </si>
  <si>
    <t>1Up Fund</t>
  </si>
  <si>
    <t>196K</t>
  </si>
  <si>
    <t>115</t>
  </si>
  <si>
    <t>Dec 2013</t>
  </si>
  <si>
    <t>https://1upfund.com/</t>
  </si>
  <si>
    <t>Sandbox, Crafting, Management, Survival, Horror, PvP, Stealth, Roguelike, Base Building, Action-Adventure</t>
  </si>
  <si>
    <t>Hello Neighbour, Speedrunners, Streets of Rogue, Graveyard Keeper, Potion Craft</t>
  </si>
  <si>
    <t>They have high standards for games, and definitely make sure to read their pitch page before emailing them your pitch.</t>
  </si>
  <si>
    <t>Curve Games</t>
  </si>
  <si>
    <t>https://1upfund.com/contact-us/</t>
  </si>
  <si>
    <t>https://curvegames.com/</t>
  </si>
  <si>
    <t>Invest $500k of follow on investment into video game studios creating content.  Will only invest if there is a lead investor in place as part of a priced round.  They encourage studios targeting all platforms, audiences and genres to submit their information</t>
  </si>
  <si>
    <t>https://curvegames.com/contact/im-a-developer/</t>
  </si>
  <si>
    <t>Behold Ventures</t>
  </si>
  <si>
    <t>https://behold.vc/</t>
  </si>
  <si>
    <t>Bradley Crooks</t>
  </si>
  <si>
    <t>https://behold.vc/pitchus</t>
  </si>
  <si>
    <t>Martin Walfisz</t>
  </si>
  <si>
    <t>https://store.steampowered.com/publisher/curvedigital</t>
  </si>
  <si>
    <t>Early-stage game investors, only interested in Nordic and European countries</t>
  </si>
  <si>
    <t>Amplifier Invest</t>
  </si>
  <si>
    <t>https://www.amplifiergameinvest.com/</t>
  </si>
  <si>
    <t>https://gamalytic.com/publisher/Curve%20Games</t>
  </si>
  <si>
    <t>62K</t>
  </si>
  <si>
    <t>Nov 2012</t>
  </si>
  <si>
    <t>https://www.amplifiergameinvest.com/pitch-us/</t>
  </si>
  <si>
    <t>Co-op, Open World, Puzzle, Sandbox, Roguelike, Puzzle Platformer, Turn-Based Combat, Turn-Based Strategy, Party-Based RPG</t>
  </si>
  <si>
    <t>Human Fall Flat, The Ascent, Fall for the King, Autonauts</t>
  </si>
  <si>
    <t>They are now quite leaning on cute/casual art</t>
  </si>
  <si>
    <t>Slitherine</t>
  </si>
  <si>
    <t>https://www.slitherine.com/</t>
  </si>
  <si>
    <t>Tim Glaus</t>
  </si>
  <si>
    <t>support@slitherine.co.uk</t>
  </si>
  <si>
    <t>Part of the Embracer group. Their model is based on complete studio acquisition. They don't do equity investment.</t>
  </si>
  <si>
    <t>Alberto Casulini</t>
  </si>
  <si>
    <t>Glitch - Moonrise Fund</t>
  </si>
  <si>
    <t>https://heyglitch.com/moonrise</t>
  </si>
  <si>
    <r>
      <rPr>
        <rFont val="Calibri"/>
        <color rgb="FF1155CC"/>
        <sz val="10.0"/>
        <u/>
      </rPr>
      <t>Nick Suttner</t>
    </r>
    <r>
      <rPr>
        <rFont val="Calibri"/>
        <color rgb="FF000000"/>
        <sz val="10.0"/>
      </rPr>
      <t xml:space="preserve">; </t>
    </r>
    <r>
      <rPr>
        <rFont val="Calibri"/>
        <color rgb="FF1155CC"/>
        <sz val="10.0"/>
        <u/>
      </rPr>
      <t>Alyssa Harrison</t>
    </r>
  </si>
  <si>
    <t>https://store.steampowered.com/publisher/Slitherine</t>
  </si>
  <si>
    <t>https://docs.google.com/forms/d/1op6sFyTJ0x5uK2w4YHiWXH2UrG6iAj3aKl5RVCDxcWY/viewform?edit_requested=true</t>
  </si>
  <si>
    <t>https://gamalytic.com/publisher/Slitherine%20Ltd.</t>
  </si>
  <si>
    <t>Early stage equity investor. The developer need to establish or transfer their company in the USA, Canada or Australia. Not open to other countries for now.</t>
  </si>
  <si>
    <t>MGVC</t>
  </si>
  <si>
    <t>https://mgvc.com/</t>
  </si>
  <si>
    <t>46K</t>
  </si>
  <si>
    <t>Jun 2011</t>
  </si>
  <si>
    <t>https://mgvc.com/application</t>
  </si>
  <si>
    <t>Turn-Based Strategy, Wargame, Turn-Based Tactics, RTS, Grand Strategy, 4X, Real Time Tactics, PvP, Hex Grid, Turn-Based Combat</t>
  </si>
  <si>
    <t>Starship Troopers, Warhammer 40,000</t>
  </si>
  <si>
    <t>They only do war/tactical/simulation//strategy games</t>
  </si>
  <si>
    <t>IndieArk</t>
  </si>
  <si>
    <t>https://www.indieark.com/en/</t>
  </si>
  <si>
    <t>The VC arm of My.Games</t>
  </si>
  <si>
    <t>Narwhal</t>
  </si>
  <si>
    <t>https://narwhal.ax/</t>
  </si>
  <si>
    <t>pitch@indieark.com</t>
  </si>
  <si>
    <t>Kevin Ye</t>
  </si>
  <si>
    <t>https://noteforms.com/forms/narwhal-accelertor-applying-form-fzutca</t>
  </si>
  <si>
    <t>A games-focused accelerator. They fund $300K equity investment in game studios.</t>
  </si>
  <si>
    <t>https://store.steampowered.com/publisher/IndieArk</t>
  </si>
  <si>
    <t>Elbow Grease Games</t>
  </si>
  <si>
    <t>https://www.elbowgreasegames.com</t>
  </si>
  <si>
    <t>https://gamalytic.com/publisher/IndieArk</t>
  </si>
  <si>
    <t>John Graham</t>
  </si>
  <si>
    <t>John Graham, Humble founder</t>
  </si>
  <si>
    <t>COREBLAZER</t>
  </si>
  <si>
    <t>Jul 2020</t>
  </si>
  <si>
    <t>https://www.coreblazer.com/en-US</t>
  </si>
  <si>
    <t>Roguelike, Roguelite, Deckbuilding, Roguelike Deckbuilder, Management, Psychological Horror, Horror, Crafting, Sandbox, Auto Battler</t>
  </si>
  <si>
    <t>MiSide,Peglin, Travellers Rest, Backpack Hero, Trials of Fire, Pile Up!</t>
  </si>
  <si>
    <t>Specialized in Asia. Does not seem to do much in terms of influencer reach and does not do much post-launch. Looks like the typical launch with Steam and repeat with another game approach.</t>
  </si>
  <si>
    <t>PLAYISM</t>
  </si>
  <si>
    <t>Jin Wang</t>
  </si>
  <si>
    <t>Japan</t>
  </si>
  <si>
    <t>https://playism.com/en/</t>
  </si>
  <si>
    <t>The game investment arm of Hypergryph. Minority equity investments only. PC/Console preferred. Focused on Europe and North America.</t>
  </si>
  <si>
    <t>https://playism.com/en/contact/</t>
  </si>
  <si>
    <t>GOVERNMENT GRANTS</t>
  </si>
  <si>
    <t>https://store.steampowered.com/publisher/Playism</t>
  </si>
  <si>
    <t>Canada Media Fund</t>
  </si>
  <si>
    <t>https://cmf-fmc.ca/</t>
  </si>
  <si>
    <t>A Canadian government organization that funds Canadian film, television, and video game development</t>
  </si>
  <si>
    <t>UK Games Fund</t>
  </si>
  <si>
    <t>CODE</t>
  </si>
  <si>
    <t>New Zealand</t>
  </si>
  <si>
    <t>https://www.nz-code.nz/</t>
  </si>
  <si>
    <t>https://gamalytic.com/publisher/PLAYISM</t>
  </si>
  <si>
    <t>115K</t>
  </si>
  <si>
    <t>130</t>
  </si>
  <si>
    <t>A New Zealand government funded regional economic development organisation that provides funding opportunities to all levels of indie video game development.</t>
  </si>
  <si>
    <t>Visual Novel, Puzzle, Horror, Psychological Horror, Shooter, Hack and Slash, Platformer, FPS, Metroidvania</t>
  </si>
  <si>
    <t>Bright Memory: Infinite, VA-11 Hall-A: Cyberpunk Bartender Action, SIGNALIS, WORLD OF HORROR</t>
  </si>
  <si>
    <t>DEAD</t>
  </si>
  <si>
    <t>Japan's biggest indie publisher, focused on introducing indies to the Asian market, and helping Asian developers reach worldwide audiences. Part of AGM (oldest Japanese localization company), AUTOMATON (major gaming media site), and Graph PR (Asia PR and marketing brand)</t>
  </si>
  <si>
    <t>CubeGame</t>
  </si>
  <si>
    <t>https://5icube.com/index.html</t>
  </si>
  <si>
    <t>publishing@5icube.com</t>
  </si>
  <si>
    <t>Global Top Round</t>
  </si>
  <si>
    <t>https://www.globaltopround.com/</t>
  </si>
  <si>
    <t>Ziya Wei</t>
  </si>
  <si>
    <r>
      <rPr>
        <rFont val="Calibri"/>
        <color rgb="FF1155CC"/>
        <sz val="11.0"/>
        <u/>
      </rPr>
      <t>Max Kubler</t>
    </r>
    <r>
      <rPr>
        <rFont val="Calibri"/>
        <color rgb="FF000000"/>
        <sz val="11.0"/>
      </rPr>
      <t xml:space="preserve">, </t>
    </r>
    <r>
      <rPr>
        <rFont val="Calibri"/>
        <color rgb="FF1155CC"/>
        <sz val="11.0"/>
        <u/>
      </rPr>
      <t>Jan Halwe</t>
    </r>
  </si>
  <si>
    <t>https://store.steampowered.com/developer/CubeGame</t>
  </si>
  <si>
    <t>They run annual conferences for top 10 indies, organise workshops,, put investors in front of indies, and invest in them themselves. Great people. They also own G.Round. They stopped operations in April 2024.</t>
  </si>
  <si>
    <t>Nocturne games</t>
  </si>
  <si>
    <t>https://www.nocturne.games</t>
  </si>
  <si>
    <t>https://gamalytic.com/publisher/%E6%96%B9%E5%9D%97%E6%B8%B8%E6%88%8F%20(CubeGame)</t>
  </si>
  <si>
    <t>https://www.nocturne.games/apply</t>
  </si>
  <si>
    <t>27K</t>
  </si>
  <si>
    <t>Feb 2016</t>
  </si>
  <si>
    <t>Apparently they did not manage to recieve the funds they were expecting, and had to shut down within a year in October 2024.</t>
  </si>
  <si>
    <t>Jan 2026</t>
  </si>
  <si>
    <t>Astra Games</t>
  </si>
  <si>
    <t>https://www.astragames.org/</t>
  </si>
  <si>
    <t>Souls-like, Open World, Stealth, Martial Arts</t>
  </si>
  <si>
    <t>Sekiro: Shadows Die Twice, Sword and Fairy 7, The Swordsmen X</t>
  </si>
  <si>
    <t>They help games with funding, QA testing, localization, porting, marketing, licensing, and distribution inside mainland China.</t>
  </si>
  <si>
    <t>Gamirror Games</t>
  </si>
  <si>
    <t>https://www.gamirrorgames.com/</t>
  </si>
  <si>
    <t>https://airtable.com/shrbKz2axXKgb4pHd</t>
  </si>
  <si>
    <t>https://www.gamirrorgames.com/contact</t>
  </si>
  <si>
    <t>Peter Eykemans</t>
  </si>
  <si>
    <t>They are a philanthropic fund that invest in thinking games. They also run a fellowship program. Their investment size is $200K-$500K (open to higher amounts for the right project). They are now a publisher and do not invest in studios anymore.</t>
  </si>
  <si>
    <t>Uzuki Tachibana</t>
  </si>
  <si>
    <t>Mill Games</t>
  </si>
  <si>
    <t>https://mill-games.com/en/</t>
  </si>
  <si>
    <t>https://store.steampowered.com/publisher/gamirrorgames</t>
  </si>
  <si>
    <t>https://share.hsforms.com/13ZIZ801iRd-Osqo-uUmL5g5liw1</t>
  </si>
  <si>
    <t>Szymon Westfal</t>
  </si>
  <si>
    <t>https://gamalytic.com/publisher/Gamera%20Games</t>
  </si>
  <si>
    <t>They do both funding and publishing (via Movie Games). Although they say their focus is on Romania, they do look at games from across Europe.</t>
  </si>
  <si>
    <t>50K</t>
  </si>
  <si>
    <t>Jun 2017</t>
  </si>
  <si>
    <t>Foton Games</t>
  </si>
  <si>
    <t>https://foton.games/</t>
  </si>
  <si>
    <t>Horror, Psychological Horror, Puzzle, Dating Sim, Roguelite</t>
  </si>
  <si>
    <t>Dyson Sphere Program, Volcano Princess, Homicipher, Iconoclasts(China), TMNT Shredder's Revenge(China), RiME(China)</t>
  </si>
  <si>
    <t>They are known for Dyson Sphere Program, but have published games in different genres. Previously known as Gamera Games, rebranding with the name of Gamirror Games.</t>
  </si>
  <si>
    <t>2P Games</t>
  </si>
  <si>
    <t>https://2pgames.net/en/</t>
  </si>
  <si>
    <t>https://foton.games/pitch-us</t>
  </si>
  <si>
    <t>contact@2pgames.net</t>
  </si>
  <si>
    <t>Margarita Pino</t>
  </si>
  <si>
    <t>Steven Zeng</t>
  </si>
  <si>
    <t>https://store.steampowered.com/publisher/2pgames</t>
  </si>
  <si>
    <t>The Treasure Hunters</t>
  </si>
  <si>
    <t>http://treasurehuntersfanclub.com</t>
  </si>
  <si>
    <t>https://gamalytic.com/publisher/2P%20Games</t>
  </si>
  <si>
    <t>23K</t>
  </si>
  <si>
    <t>Mar 2018</t>
  </si>
  <si>
    <t>developers@treasurehuntersfanclub.com</t>
  </si>
  <si>
    <t>Spencer Hayes</t>
  </si>
  <si>
    <t>Roguelite, Visual Novel, Life Sim, Card Game, Turn-Based Strategy, Interactive Fiction, Action Roguelike, Dating Sim, Turn-Based Tactics, Roguelike</t>
  </si>
  <si>
    <t>Frozen Flame, Showa American Story, Immortal Life, Greedland</t>
  </si>
  <si>
    <t>Specialised in publishing and co-publishing PC/Console games in Asia and abroad. Marketing strategies, influencer and press contacts, localization, and porting</t>
  </si>
  <si>
    <t>Fulqrum Publishing</t>
  </si>
  <si>
    <t>Czech</t>
  </si>
  <si>
    <t>A game financing initiative by the people at Fellow Travellers</t>
  </si>
  <si>
    <t>https://www.fulqrumpublishing.com/</t>
  </si>
  <si>
    <t>Double Jump Capital</t>
  </si>
  <si>
    <t>https://www.doublejumpcapital.com/</t>
  </si>
  <si>
    <t>https://www.doublejumpcapital.com/apply</t>
  </si>
  <si>
    <t>pitch@fulqrumpublishing.com</t>
  </si>
  <si>
    <t>https://store.steampowered.com/franchise/FulqrumPublishing</t>
  </si>
  <si>
    <t>Brett Brown</t>
  </si>
  <si>
    <t>https://gamalytic.com/publisher/Fulqrum%20Publishing</t>
  </si>
  <si>
    <t>49K</t>
  </si>
  <si>
    <t>Altered Ventures</t>
  </si>
  <si>
    <t>Jun 2008</t>
  </si>
  <si>
    <t>Jun 2026</t>
  </si>
  <si>
    <t>https://www.venturecapital.game/</t>
  </si>
  <si>
    <t>RTS, FPS, Turn-Based Strategy, Shooter, Turn-Based Combat, Tactical RPG, Real Time Tactics, Horror, Hex Grid</t>
  </si>
  <si>
    <t>Forgive Me Father, Fell Seal, Men of War series</t>
  </si>
  <si>
    <t>Microprose</t>
  </si>
  <si>
    <t>Australia</t>
  </si>
  <si>
    <t>https://www.microprose.com</t>
  </si>
  <si>
    <t>info@hotlumpowell.com</t>
  </si>
  <si>
    <t>Mario Valle Reyes</t>
  </si>
  <si>
    <t>https://store.steampowered.com/publisher/microprose</t>
  </si>
  <si>
    <t>Velan Ventures</t>
  </si>
  <si>
    <t>https://velanventures.com/</t>
  </si>
  <si>
    <t>https://gamalytic.com/publisher/MicroProse%20Software</t>
  </si>
  <si>
    <t>info@valenventures.com</t>
  </si>
  <si>
    <t>VC fund for games</t>
  </si>
  <si>
    <t>33K</t>
  </si>
  <si>
    <t>Jul 2014</t>
  </si>
  <si>
    <t>Wargame, RTS, Real Time Tactics, FPS, Shooter, Flight, Management</t>
  </si>
  <si>
    <t>Ground Branch, Sea Power : Naval Combat in the Missile Age</t>
  </si>
  <si>
    <t>Brand purchased and revived to re-release old games and publish new indies (2018)</t>
  </si>
  <si>
    <t>PlayWay</t>
  </si>
  <si>
    <t>https://playway.com/en/</t>
  </si>
  <si>
    <t>https://playway.com/en/fordevelopers</t>
  </si>
  <si>
    <t>publish@playway.com</t>
  </si>
  <si>
    <t>https://store.steampowered.com/developer/playway</t>
  </si>
  <si>
    <t>https://gamalytic.com/publisher/PlayWay%20S.A.</t>
  </si>
  <si>
    <t>178K</t>
  </si>
  <si>
    <t>352</t>
  </si>
  <si>
    <t>Jan 2014</t>
  </si>
  <si>
    <t>Sandbox, Management, Immersive Sim, Open World, Automobile Sim, Driving, Economy, Life Sim, Cleaning, Co-op</t>
  </si>
  <si>
    <t>Car Mechanic Simulator, House Flipper, Cooking Simulator, Thief Simulator</t>
  </si>
  <si>
    <t>A group of more than 100 studios, and publishers, including CreativeForge Games, Ultimate Games, RockGame and many more. Focused on many genres, mostly on simulation, and strategy games. Reputed to demand high revenue shares and often equity in developers they work with.</t>
  </si>
  <si>
    <t>MID BUDGET</t>
  </si>
  <si>
    <t>RokaPlay</t>
  </si>
  <si>
    <t>https://www.rokaplay.com/home</t>
  </si>
  <si>
    <t>https://form.asana.com/?hash=bf71a1c626d56f46682e1c2fd3c288becaf9bd530a6b5e697186a0f2c7175ec5&amp;id=1182547895946643</t>
  </si>
  <si>
    <t>https://store.steampowered.com/publisher/rokaplay</t>
  </si>
  <si>
    <t>https://gamalytic.com/publisher/rokaplay</t>
  </si>
  <si>
    <t>Indie</t>
  </si>
  <si>
    <t>$, $$</t>
  </si>
  <si>
    <t>Crafting, Open World Survival Craft, Base Building, Co-op, Open World, Farming Sim, Sandbox, Puzzle</t>
  </si>
  <si>
    <t>SolarPunk, Super Dungeon Maker</t>
  </si>
  <si>
    <t>They are only interested in cosy, family-friendly games with that is a good fit for Switch porting</t>
  </si>
  <si>
    <t>Big Cheese Studio</t>
  </si>
  <si>
    <t>https://bigcheesestudio.com/index.php/en/home-eng/</t>
  </si>
  <si>
    <t>https://bigcheesestudio.com/index.php/en/contact/</t>
  </si>
  <si>
    <t>Mateusz Dudkowski</t>
  </si>
  <si>
    <t>https://store.steampowered.com/developer/bigcheesestudio</t>
  </si>
  <si>
    <t>https://gamalytic.com/publisher/Big%20Cheese%20Studio</t>
  </si>
  <si>
    <t>Jun 2019</t>
  </si>
  <si>
    <t>Cooking, Sandbox, Co-op, VR, Management, Crafting</t>
  </si>
  <si>
    <t>Cooking Simulator</t>
  </si>
  <si>
    <t>Developers of Cooking Simulator who have now rolled into publishing</t>
  </si>
  <si>
    <t>Sidekick Publishing</t>
  </si>
  <si>
    <t>https://sidekickpublishing.com/</t>
  </si>
  <si>
    <t>Melvin Frank</t>
  </si>
  <si>
    <t>https://store.steampowered.com/publisher/sidekick</t>
  </si>
  <si>
    <t>https://gamalytic.com/publisher/Sidekick%20Publishing</t>
  </si>
  <si>
    <t>Jul 2024</t>
  </si>
  <si>
    <t>Roguelike, Roguelite, Deckbuilding, Auto Battler, Roguelike Deckbuilder, Card Game, Action Roguelike, Turn-Based Strategy, Turn-Based Combat</t>
  </si>
  <si>
    <t>9 Kings, Deadly Days: Roadtrip, Dwarves: Glory, Death and Loot</t>
  </si>
  <si>
    <t>Indie Publisher with background as content creators and creative agency. primarly working with games with high streamability</t>
  </si>
  <si>
    <t>Offbrand Games</t>
  </si>
  <si>
    <t>https://offbrand.gg/</t>
  </si>
  <si>
    <t>https://offbrand.gg/devs/</t>
  </si>
  <si>
    <r>
      <rPr>
        <rFont val="Calibri"/>
        <color rgb="FF1155CC"/>
        <sz val="10.0"/>
        <u/>
      </rPr>
      <t>David Gorman</t>
    </r>
    <r>
      <rPr>
        <rFont val="Calibri"/>
        <sz val="10.0"/>
      </rPr>
      <t xml:space="preserve">, </t>
    </r>
    <r>
      <rPr>
        <rFont val="Calibri"/>
        <color rgb="FF1155CC"/>
        <sz val="10.0"/>
        <u/>
      </rPr>
      <t>Bryan Herren</t>
    </r>
  </si>
  <si>
    <t>https://store.steampowered.com/publisher/offbrandgames</t>
  </si>
  <si>
    <t>https://gamalytic.com/publisher/offbrand%20games</t>
  </si>
  <si>
    <t>Oct 2024</t>
  </si>
  <si>
    <t>Fighting, Roguelike, Creature Collector, Co-op, Party-Based RPG, JRPG, 2.5D, Dungeon Crawler, PvP</t>
  </si>
  <si>
    <t>Rivals of Aether II, Aethermancer</t>
  </si>
  <si>
    <t>Indie publisher founded by Ludwig Ahgren</t>
  </si>
  <si>
    <t>Digital Bandidos</t>
  </si>
  <si>
    <t>USA, UK</t>
  </si>
  <si>
    <t>https://digitalbandidos.com/</t>
  </si>
  <si>
    <t>https://digitalbandidos.com/submit-a-game/</t>
  </si>
  <si>
    <t>Lance James</t>
  </si>
  <si>
    <t>https://store.steampowered.com/curator/45135283</t>
  </si>
  <si>
    <t>https://gamalytic.com/publisher/Digital%20Bandidos</t>
  </si>
  <si>
    <t>Dec 2014</t>
  </si>
  <si>
    <t>May 2026</t>
  </si>
  <si>
    <t>Survival, Roguelite, Action Roguelike</t>
  </si>
  <si>
    <t>Town of Salem, Traitors of Salem, Froggy Hates Snow</t>
  </si>
  <si>
    <t>New publisher founded by Versus Evil veterans</t>
  </si>
  <si>
    <t>Spiral Up Games</t>
  </si>
  <si>
    <t>Singapore</t>
  </si>
  <si>
    <t>https://www.spiralupgames.com/</t>
  </si>
  <si>
    <t>https://docs.google.com/forms/d/e/1FAIpQLSdXiem_6fw-1FZIDa_xEPKlJ0o_LRPxzdYiXuExx7Aw2obXBA/viewform</t>
  </si>
  <si>
    <t>https://store.steampowered.com/publisher/spiralupgames</t>
  </si>
  <si>
    <t>https://gamalytic.com/publisher/Spiral%20Up%20Games</t>
  </si>
  <si>
    <t>6K</t>
  </si>
  <si>
    <t>Oct 2021</t>
  </si>
  <si>
    <t>Martial Arts, Open World, 2.5D, Turn-Based Combat, Roguelike, Strategy RPG, Card Game, Investigation, Roguelite</t>
  </si>
  <si>
    <t>Their main company is based in China.</t>
  </si>
  <si>
    <t>Excalibur Games</t>
  </si>
  <si>
    <t>https://excalibur-games.com/</t>
  </si>
  <si>
    <t>development@excalibur-publishing.com</t>
  </si>
  <si>
    <t>Steve Stopps</t>
  </si>
  <si>
    <r>
      <rPr>
        <rFont val="Calibri"/>
        <color rgb="FF1155CC"/>
        <sz val="10.0"/>
        <u/>
      </rPr>
      <t>David Gorman</t>
    </r>
    <r>
      <rPr>
        <rFont val="Calibri"/>
        <sz val="10.0"/>
      </rPr>
      <t xml:space="preserve">, </t>
    </r>
    <r>
      <rPr>
        <rFont val="Calibri"/>
        <color rgb="FF1155CC"/>
        <sz val="10.0"/>
        <u/>
      </rPr>
      <t>Bryan Herren</t>
    </r>
  </si>
  <si>
    <t>https://store.steampowered.com/publisher/excalibur-games</t>
  </si>
  <si>
    <t>https://gamalytic.com/publisher/Excalibur%20Games</t>
  </si>
  <si>
    <t>Nov 2016</t>
  </si>
  <si>
    <t>Nov 2023</t>
  </si>
  <si>
    <t>Open World, Co-op, Driving, Farming Sim, Sandbox, Job Simulator, Automobile Sim</t>
  </si>
  <si>
    <t>Ranch Sim, Flashing Lights, Jalopy</t>
  </si>
  <si>
    <t>They mostly do simulation games</t>
  </si>
  <si>
    <t>United Label</t>
  </si>
  <si>
    <t>https://www.unitedlabelgames.com</t>
  </si>
  <si>
    <t>https://forms.monday.com/forms/347d5f193a6463eb9f0a11a38599bf57?r=euc1</t>
  </si>
  <si>
    <t>https://store.steampowered.com/curator/35979300-United-Label</t>
  </si>
  <si>
    <t>https://gamalytic.com/publisher/United%20Label</t>
  </si>
  <si>
    <t>Jan 2025</t>
  </si>
  <si>
    <t>Action RPG, Souls-like, Action-Adventure, Puzzle, Hack and Slash</t>
  </si>
  <si>
    <t>Tails of Iron, Eldest Souls, Roki</t>
  </si>
  <si>
    <t xml:space="preserve">All genres, budgets up to 1M USD, but happy to bigger for the right project. </t>
  </si>
  <si>
    <t>Meta Publishing</t>
  </si>
  <si>
    <t>https://metapublishing.io/</t>
  </si>
  <si>
    <t>https://metapublishing.io/for-developers/</t>
  </si>
  <si>
    <t>team@metapublishing.io</t>
  </si>
  <si>
    <t>Ilya Grabelnikov</t>
  </si>
  <si>
    <t>https://store.steampowered.com/publisher/MetaPublishing</t>
  </si>
  <si>
    <t>https://gamalytic.com/publisher/META%20Publishing</t>
  </si>
  <si>
    <t>8K</t>
  </si>
  <si>
    <t>Sep 2015</t>
  </si>
  <si>
    <t>Feb 2026</t>
  </si>
  <si>
    <t>Puzzle, Co-op, CRPG, Turn-Based Combat, Puzzle Platformer, 3D Platformer, Sandbox, Tactical RPG, Resource Management</t>
  </si>
  <si>
    <t>Pathfinder, Biped, Train Valley</t>
  </si>
  <si>
    <t>concentrated on Action-Puzzle-Adventure/Life Sim games with a strong focus on cross-platform online COOP or PvP, something similar to the Human: Fall Flat</t>
  </si>
  <si>
    <t>Forklift Interactive</t>
  </si>
  <si>
    <t>USA, Spain</t>
  </si>
  <si>
    <t>https://www.forklift.gg/</t>
  </si>
  <si>
    <t>crew@forklift.gg</t>
  </si>
  <si>
    <t>https://store.steampowered.com/publisher/forklift</t>
  </si>
  <si>
    <t>https://gamalytic.com/publisher/Forklift%20Interactive</t>
  </si>
  <si>
    <t>1K</t>
  </si>
  <si>
    <t>May 2025</t>
  </si>
  <si>
    <t>Griffin Gaming Partners</t>
  </si>
  <si>
    <t>Sandbox, Automation, Immersive Sim, Management, Survival, City Builder, Base Building, Programming, Life Sim, Cleaning</t>
  </si>
  <si>
    <t>Desynced</t>
  </si>
  <si>
    <t>Ex-tinyBuild and ex-Adult Swim producers started a label with a clear focus on systems-driven games. Rarely provide dev funding, instead bringing solid marketing budgets for a reasonable rev share. If the game's great, they will help devs land an external dev funding.</t>
  </si>
  <si>
    <t>https://www.griffingp.com/</t>
  </si>
  <si>
    <t>Thunderful</t>
  </si>
  <si>
    <t>https://thunderfulgames.com/</t>
  </si>
  <si>
    <t>https://thunderfulgames.com/pitch-a-game/</t>
  </si>
  <si>
    <t>indie@griffingp.com</t>
  </si>
  <si>
    <t xml:space="preserve">Griffin is one of the world's leading venture funds focused exclusively on gaming. They recently announced their $100M fund to support indie devs. </t>
  </si>
  <si>
    <t>https://store.steampowered.com/publisher/thunderfulpublishing</t>
  </si>
  <si>
    <t>Outersloth | Innersloth - Creators of Among Us and The Henry Stickmin Collection!</t>
  </si>
  <si>
    <t>https://gamalytic.com/publisher/Thunderful%20Publishing</t>
  </si>
  <si>
    <t>25K</t>
  </si>
  <si>
    <t>24</t>
  </si>
  <si>
    <t>May 2019</t>
  </si>
  <si>
    <t>Puzzle, Action-Adventure, Puzzle Platformer, Platformer, 3D Platformer, Roguelite, Roguelike, Colony Sim, Survival, 2D Platformer</t>
  </si>
  <si>
    <t>Lego Bricktales, Viewfinder, SteamWorld Dig, Lonely Mountains Downhill</t>
  </si>
  <si>
    <t>They publish all genres, leaning towards iii and AA these days</t>
  </si>
  <si>
    <t>GameForge</t>
  </si>
  <si>
    <t>Outersloth is for indie developers looking for funds to get their game off the ground or some extra money to finish it.</t>
  </si>
  <si>
    <t>https://gameforge.com/en-GB/</t>
  </si>
  <si>
    <t>licensing@gameforge.com / raphael.kim@gameforge.com</t>
  </si>
  <si>
    <r>
      <rPr>
        <rFont val="Calibri"/>
        <color rgb="FF1155CC"/>
        <sz val="10.0"/>
        <u/>
      </rPr>
      <t>Peter Stein</t>
    </r>
    <r>
      <rPr>
        <rFont val="Calibri"/>
        <sz val="10.0"/>
      </rPr>
      <t xml:space="preserve">, </t>
    </r>
    <r>
      <rPr>
        <rFont val="Calibri"/>
        <color rgb="FF1155CC"/>
        <sz val="10.0"/>
        <u/>
      </rPr>
      <t>Raphael Kim(한국인 담당)</t>
    </r>
  </si>
  <si>
    <t>https://store.steampowered.com/publisher/Gameforge</t>
  </si>
  <si>
    <t>https://gamalytic.com/publisher/Gameforge%204D%20GmbH</t>
  </si>
  <si>
    <t>Sep 2017</t>
  </si>
  <si>
    <t>Roguelike, Choose Your Own Adventure, Resource Management, Procedural Generation, Precision Platformer, 2D Platformer, Collectathon</t>
  </si>
  <si>
    <t>Tera, Metin2, Nostale, Elsword, Crimson Dawn, TRIGON: SPACE STORY, I SEE RED</t>
  </si>
  <si>
    <t>They previously published a lot of F2P MMO's, but are now publishing premium and single-player games too.</t>
  </si>
  <si>
    <t>The Arcade Crew</t>
  </si>
  <si>
    <t>https://www.thearcadecrew.com/</t>
  </si>
  <si>
    <t>https://www.thearcadecrew.com/contact/</t>
  </si>
  <si>
    <r>
      <rPr>
        <rFont val="Calibri,Arial"/>
        <color rgb="FF1155CC"/>
        <u/>
      </rPr>
      <t>Julien Chouvet</t>
    </r>
    <r>
      <rPr>
        <rFont val="Calibri,Arial"/>
        <color rgb="FF1155CC"/>
        <u/>
      </rPr>
      <t xml:space="preserve"> </t>
    </r>
    <r>
      <rPr>
        <rFont val="Calibri,Arial"/>
        <color rgb="FF1155CC"/>
        <u/>
      </rPr>
      <t>Cyrille Imbert</t>
    </r>
  </si>
  <si>
    <t>https://store.steampowered.com/publisher/TheArcadeCrew</t>
  </si>
  <si>
    <t>https://gamalytic.com/publisher/The%20Arcade%20Crew</t>
  </si>
  <si>
    <t>7K</t>
  </si>
  <si>
    <t>Apr 2019</t>
  </si>
  <si>
    <t>Nov 2025</t>
  </si>
  <si>
    <t>Roguelite, Co-op, Roguelike, Metroidvania, FPS, Card Game, Action Roguelike, Turn-Based Tactics</t>
  </si>
  <si>
    <t>The Last Spell, Dark Devotion, Infernax</t>
  </si>
  <si>
    <t>The indie publishing label of Dotemu,  open to different genres but high replayability and deep mechanic systems are preferred. Funding up to $500K.</t>
  </si>
  <si>
    <t>Oro Interactive</t>
  </si>
  <si>
    <t>Belgium</t>
  </si>
  <si>
    <t>https://www.orointeractive.com/</t>
  </si>
  <si>
    <t>daniel@orointeractive.com</t>
  </si>
  <si>
    <t>Daniel Lyozov</t>
  </si>
  <si>
    <t>https://store.steampowered.com/publisher/orointeractive</t>
  </si>
  <si>
    <t>https://gamalytic.com/publisher/Oro%20Interactive</t>
  </si>
  <si>
    <t>Co-op, Horror, Party Game, Shop Keeper, Immersive Sim, Golf, Management, Resource Management, Psychological Horror</t>
  </si>
  <si>
    <t>Murky Divers, Easy Delivery Co, Daemonologie, Order 13</t>
  </si>
  <si>
    <t>Focus on catchy, creator-focused games. Small communicative team. Fair terms with revenue share from day one and hands off approach.</t>
  </si>
  <si>
    <t>Alawar</t>
  </si>
  <si>
    <t>https://alawar.com/</t>
  </si>
  <si>
    <t>https://alawar.com/pitch</t>
  </si>
  <si>
    <t>Alex Arsentiev</t>
  </si>
  <si>
    <t>https://store.steampowered.com/publisher/alawar</t>
  </si>
  <si>
    <t>https://gamalytic.com/publisher/Alawar</t>
  </si>
  <si>
    <t>Mar 2015</t>
  </si>
  <si>
    <r>
      <rPr>
        <rFont val="Calibri"/>
        <color rgb="FF1155CC"/>
        <sz val="10.0"/>
        <u/>
      </rPr>
      <t>Peter Stein</t>
    </r>
    <r>
      <rPr>
        <rFont val="Calibri"/>
        <sz val="10.0"/>
      </rPr>
      <t xml:space="preserve">, </t>
    </r>
    <r>
      <rPr>
        <rFont val="Calibri"/>
        <color rgb="FF1155CC"/>
        <sz val="10.0"/>
        <u/>
      </rPr>
      <t>Raphael Kim(한국인 담당)</t>
    </r>
  </si>
  <si>
    <t>Political Sim, Point &amp; Click, Roguelite, Management, Tower Defense, Roguelike, Procedural Generation, Mining, Bullet Hell</t>
  </si>
  <si>
    <t>Beholder, Wall World, Necrosmith</t>
  </si>
  <si>
    <t>Develops and publishes its own games on PC and consoles, giving the team a strong understanding of both development and publishing challenges. Open to third-party projects with a clear vision, strong execution, and heart.</t>
  </si>
  <si>
    <t>Crytivo</t>
  </si>
  <si>
    <t>https://crytivo.com/</t>
  </si>
  <si>
    <r>
      <rPr>
        <rFont val="Calibri"/>
        <color rgb="FF1155CC"/>
        <u/>
      </rPr>
      <t>Tim Browne</t>
    </r>
    <r>
      <rPr>
        <rFont val="Calibri"/>
        <color rgb="FF1155CC"/>
        <u/>
      </rPr>
      <t xml:space="preserve">, </t>
    </r>
    <r>
      <rPr>
        <rFont val="Calibri"/>
        <color rgb="FF1155CC"/>
        <u/>
      </rPr>
      <t>Vlad Calu</t>
    </r>
    <r>
      <rPr>
        <rFont val="Calibri"/>
        <color rgb="FF1155CC"/>
        <u/>
      </rPr>
      <t xml:space="preserve"> (scout)</t>
    </r>
  </si>
  <si>
    <t>https://crytivo.com/en/publishing</t>
  </si>
  <si>
    <t>https://store.steampowered.com/publisher/Crytivo</t>
  </si>
  <si>
    <t>https://gamalytic.com/publisher/Crytivo</t>
  </si>
  <si>
    <t>May 2021</t>
  </si>
  <si>
    <t>Sandbox, Management, City Builder, Colony Sim, Open World, Base Building, Survival, Resource Management, God Game, Economy</t>
  </si>
  <si>
    <t>The Universim, Trail Out</t>
  </si>
  <si>
    <t>Crytivo is experienced at running successful Kickstarter campaigns.</t>
  </si>
  <si>
    <t>Paradox Arc</t>
  </si>
  <si>
    <t>https://www.paradoxinteractive.com</t>
  </si>
  <si>
    <t>newgames@paradoxinteractive.com</t>
  </si>
  <si>
    <t>Denis Ilecic</t>
  </si>
  <si>
    <r>
      <rPr>
        <rFont val="Calibri,Arial"/>
        <color rgb="FF1155CC"/>
        <u/>
      </rPr>
      <t>Julien Chouvet</t>
    </r>
    <r>
      <rPr>
        <rFont val="Calibri,Arial"/>
        <color rgb="FF1155CC"/>
        <u/>
      </rPr>
      <t xml:space="preserve"> </t>
    </r>
    <r>
      <rPr>
        <rFont val="Calibri,Arial"/>
        <color rgb="FF1155CC"/>
        <u/>
      </rPr>
      <t>Cyrille Imbert</t>
    </r>
  </si>
  <si>
    <t>https://store.steampowered.com/publisher/ParadoxArc</t>
  </si>
  <si>
    <t>https://gamalytic.com/publisher/Paradox%20Arc</t>
  </si>
  <si>
    <t>2K</t>
  </si>
  <si>
    <t>Aug 2022</t>
  </si>
  <si>
    <t>Turn-Based Strategy, Colony Sim, Sandbox, Survival, Roguelike Deckbuilder, Card Game, Base Building, Roguelike, Crafting, City Builder</t>
  </si>
  <si>
    <t>Across the Obelisk, Mechabellum</t>
  </si>
  <si>
    <t>The indie publishing arm of Paradox. Paradox Arc is like an incubator where they try new and innovative IPs. Successful IPs are then pushed up to Paradox.</t>
  </si>
  <si>
    <t>Skystone</t>
  </si>
  <si>
    <t>http://skystone.games</t>
  </si>
  <si>
    <t>https://skystone.games/</t>
  </si>
  <si>
    <t>Bill Wang</t>
  </si>
  <si>
    <t>They invest in female and gender marginalised founders</t>
  </si>
  <si>
    <t>https://store.steampowered.com/publisher/skystone</t>
  </si>
  <si>
    <t>https://gamalytic.com/publisher/Skystone%20Games</t>
  </si>
  <si>
    <t>Co-op, Roguelike, Extraction Shooter, Roguelite, Souls-like, Deckbuilding, Survival, PvP, Card Game</t>
  </si>
  <si>
    <t>Tiny Bookshop, Undying</t>
  </si>
  <si>
    <t>A team of 10, led by David Brevik and Bill Wang. Stopped paying and broke its contract with an Indie studio and then demanding the investment back to give the IP back to the studio.
Shut down the game Boundary due to problems with devs</t>
  </si>
  <si>
    <t>Astra Logical</t>
  </si>
  <si>
    <t>https://astralogical.org/</t>
  </si>
  <si>
    <t>https://astralogical.org/pitch</t>
  </si>
  <si>
    <t>https://store.steampowered.com/publisher/AstraLogical</t>
  </si>
  <si>
    <t>https://gamalytic.com/publisher/Astra%20Logical</t>
  </si>
  <si>
    <t>Feb 2021</t>
  </si>
  <si>
    <t>City Builder, Sandbox, Economy, Management, Voxel, Base Building, Survival, RTS, Colony Sim</t>
  </si>
  <si>
    <t>Star Stuff</t>
  </si>
  <si>
    <t>No More Robots</t>
  </si>
  <si>
    <t>https://nomorerobots.io</t>
  </si>
  <si>
    <t>publishing@nomorerobots.io</t>
  </si>
  <si>
    <t>Stacey Satchell</t>
  </si>
  <si>
    <t>https://store.steampowered.com/publisher/nomorerobots</t>
  </si>
  <si>
    <r>
      <rPr>
        <rFont val="Calibri"/>
        <color rgb="FF1155CC"/>
        <u/>
      </rPr>
      <t>https://weirdghosts.ca</t>
    </r>
    <r>
      <rPr>
        <rFont val="Calibri"/>
      </rPr>
      <t xml:space="preserve"> </t>
    </r>
  </si>
  <si>
    <t>https://gamalytic.com/publisher/No%20More%20Robots</t>
  </si>
  <si>
    <t>Aug 2018</t>
  </si>
  <si>
    <t>Life Sim, Management, Sandbox, Point &amp; Click, Open World, City Builder, Resource Management</t>
  </si>
  <si>
    <t>Descenders, yes Your Grace, Let's Build a Zoo</t>
  </si>
  <si>
    <t>Excellent reputation in the industry.</t>
  </si>
  <si>
    <t>Smilegate</t>
  </si>
  <si>
    <t>https://www.smilegate.com/en/</t>
  </si>
  <si>
    <t>fredw@smilegate.com</t>
  </si>
  <si>
    <t>Fred White</t>
  </si>
  <si>
    <t>https://store.steampowered.com/search/?developer=Smilegate%20RPG</t>
  </si>
  <si>
    <t>scouting@agoragamingpartners.com</t>
  </si>
  <si>
    <t>https://gamalytic.com/publisher/Smilegate%20Entertainment</t>
  </si>
  <si>
    <t>Jul 2018</t>
  </si>
  <si>
    <t>Action RPG, Hack and Slash, PvP, Co-op, Open World, FPS, Shooter, Team-Based, Turn-Based Combat</t>
  </si>
  <si>
    <t>Lost Ark, Crossfire, Epic Seven, Outerplane</t>
  </si>
  <si>
    <t>20+ year-old company best known for “Lost Ark” (2nd highest peak CCU in Steam history), “Epic Seven” and “Crossfire” (670 million registered users). Now adding new games to their STOVE game store, the largest online store in Korea with over 1,600 games.</t>
  </si>
  <si>
    <t>Draknek New Voices</t>
  </si>
  <si>
    <t>Kitfox Games</t>
  </si>
  <si>
    <t>https://grants.draknek.org/</t>
  </si>
  <si>
    <t>https://www.kitfoxgames.com/en</t>
  </si>
  <si>
    <t>info@kitfoxgames.com</t>
  </si>
  <si>
    <t>https://docs.google.com/forms/d/e/1FAIpQLSduUZpwiB6dIjBoSqBBrDkdNIgXo52lFI475SC1BYsPgOf9sA/viewform</t>
  </si>
  <si>
    <t>Tanya X. Short</t>
  </si>
  <si>
    <t>https://store.steampowered.com/publisher/kitfoxgames</t>
  </si>
  <si>
    <t>Specifically for puzzle games</t>
  </si>
  <si>
    <t>Nightsight</t>
  </si>
  <si>
    <t>https://gamalytic.com/publisher/Kitfox%20Games</t>
  </si>
  <si>
    <t>https://www.nightsight.games/</t>
  </si>
  <si>
    <t>16K</t>
  </si>
  <si>
    <t>https://www.nightsight.games/submit-your-game</t>
  </si>
  <si>
    <t>Procedural Generation, Colony Sim, Open World, Sandbox, Roguelike, Base Building, Management, Survival, City Builder</t>
  </si>
  <si>
    <t>Dwarf Fortress, Boyfriend Dungeon, Moon Hunters, Six Ages</t>
  </si>
  <si>
    <t>They publish simulation/strategy game with complex mechanics</t>
  </si>
  <si>
    <t>Mad Mushroom</t>
  </si>
  <si>
    <t>https://www.madmushroom.gg/</t>
  </si>
  <si>
    <t>Michael Anderson</t>
  </si>
  <si>
    <t>https://www.madmushroom.gg/submit-your-game</t>
  </si>
  <si>
    <t>A new independent game financier and publisher with very flexible terms. Typical budget is under EUR 100k. Focus on games with depth, including engaging gameplay, rich storytelling or meaningful player choice. General preference for releases within 1 year.</t>
  </si>
  <si>
    <t>https://store.steampowered.com/publisher/madmushroommedia?snr=1_5_9__408</t>
  </si>
  <si>
    <t>https://gamalytic.com/publisher/Mad%20Mushroom</t>
  </si>
  <si>
    <t>Jun 2024</t>
  </si>
  <si>
    <t>Action RPG, Action Roguelike, Horror, Bullet Heaven, Roguelite, Roguelike, Bullet Hell</t>
  </si>
  <si>
    <t>Atomic Picnic, Conquest Dark</t>
  </si>
  <si>
    <t>New indie game publisher founded by OTK</t>
  </si>
  <si>
    <t>Critical Reflex</t>
  </si>
  <si>
    <t>https://www.criticalreflex.com/</t>
  </si>
  <si>
    <t xml:space="preserve">ts have varied in </t>
  </si>
  <si>
    <t>https://docs.google.com/forms/d/e/1FAIpQLScDZGJZZlYFa2ZBDcSR-PQ1-ajdwcDVpqePcrNBDXaTWke0xw/viewform</t>
  </si>
  <si>
    <t>Rita Lebedeva</t>
  </si>
  <si>
    <t>https://store.steampowered.com/curator/40619234</t>
  </si>
  <si>
    <t>https://gamalytic.com/publisher/CRITICAL%20REFLEX</t>
  </si>
  <si>
    <t>83K</t>
  </si>
  <si>
    <t>Sep 2021</t>
  </si>
  <si>
    <t>Horror, Psychological Horror, Gambling, Walking Simulator, Dungeon Crawler</t>
  </si>
  <si>
    <t>Buckshot Roulette, Lunacid, Mouthwashing, Arctic Eggs</t>
  </si>
  <si>
    <t>Interested in weird and unique concepts, they also like PSX aesthetics and horror games</t>
  </si>
  <si>
    <t>Metaroot</t>
  </si>
  <si>
    <t>Switzerland</t>
  </si>
  <si>
    <t>https://www.metaroot.ch/</t>
  </si>
  <si>
    <t>andri@metaroot.ch</t>
  </si>
  <si>
    <t>https://store.steampowered.com/franchise/Metaroot</t>
  </si>
  <si>
    <t>https://gamalytic.com/publisher/Metaroot</t>
  </si>
  <si>
    <t>Programming, Automation, Logic, Puzzle, Idler, Base Building, Open World Survival Craft, Farming Sim, Resource Management, Co-op</t>
  </si>
  <si>
    <t>Of Life and Land</t>
  </si>
  <si>
    <t>Swiss Indie Publisher focused on City Builders, Simulation Games and Brotatolikes.</t>
  </si>
  <si>
    <t>3D Realms</t>
  </si>
  <si>
    <t>Denmark</t>
  </si>
  <si>
    <t>https://3drealms.com/</t>
  </si>
  <si>
    <t>pitch@3drealms.com</t>
  </si>
  <si>
    <t>Justin Burnham</t>
  </si>
  <si>
    <t>https://store.steampowered.com/publisher/3DREALMS</t>
  </si>
  <si>
    <t>https://gamalytic.com/publisher/3D%20Realms</t>
  </si>
  <si>
    <t>20K</t>
  </si>
  <si>
    <t>16</t>
  </si>
  <si>
    <t>May 2014</t>
  </si>
  <si>
    <t>FPS, Shooter, RTS, Horror, Base Building, Action-Adventure</t>
  </si>
  <si>
    <t>Ghostrunner, Tempest Rising, Painkiller</t>
  </si>
  <si>
    <t>Rebooting publishing label in 2023 to build the biggest indie / AA action label for all genres. Redefining AAA - Action, Attitude, Adrenaline</t>
  </si>
  <si>
    <t>Gambit Digital</t>
  </si>
  <si>
    <t>https://gambitdigital.ca/</t>
  </si>
  <si>
    <t>yourmove@gambitdigital.ca</t>
  </si>
  <si>
    <t>Zac Antonaci</t>
  </si>
  <si>
    <t>https://store.steampowered.com/search/?publisher=Gambit%20Digital</t>
  </si>
  <si>
    <t>https://gamalytic.com/publisher/Gambit%20Digital</t>
  </si>
  <si>
    <t>Sep 2023</t>
  </si>
  <si>
    <t>Farming Sim, Co-op, Roguelike Deckbuilder, Economy, Auto Battler, Capitalism, Deckbuilding, Golf</t>
  </si>
  <si>
    <t>We’re a new kind of publisher: Fast, fearless, and built for what’s next. We support games we’re proud of with people we believe in. 
No suits, just impact.</t>
  </si>
  <si>
    <t>Twin Sails Interactive</t>
  </si>
  <si>
    <t>https://twin-sails.com/en/</t>
  </si>
  <si>
    <t>https://twin-sails.com/en/publish/</t>
  </si>
  <si>
    <t>Nicolas Godement</t>
  </si>
  <si>
    <t>https://store.steampowered.com/publisher/twinsailsinteractive</t>
  </si>
  <si>
    <t>https://gamalytic.com/publisher/Twin%20Sails%20Interactive</t>
  </si>
  <si>
    <t>26K</t>
  </si>
  <si>
    <t>25</t>
  </si>
  <si>
    <t>Board Game, Co-op, Tabletop, Turn-Based Strategy, Turn-Based Combat, Card Game, Tactical RPG, Party-Based RPG, Management</t>
  </si>
  <si>
    <t>Gloomhaven, Ember Knights, Survival Fountain of Youth</t>
  </si>
  <si>
    <t>Indie publisher focusing on bringing a complete support (production, game design and marketing) to all their projects.</t>
  </si>
  <si>
    <t>Tribute Games</t>
  </si>
  <si>
    <t>https://tributegames.com/</t>
  </si>
  <si>
    <t>publishing@tributegames.com</t>
  </si>
  <si>
    <t>Eric Lafontaine</t>
  </si>
  <si>
    <t>https://store.steampowered.com/publisher/tributegames</t>
  </si>
  <si>
    <t>https://gamalytic.com/publisher/Tribute%20Games%20Inc.</t>
  </si>
  <si>
    <t>Mar 2012</t>
  </si>
  <si>
    <t>Mar 2022</t>
  </si>
  <si>
    <t>Platformer, Co-op, 2D Platformer, Arcade, Crafting, Action Roguelike, Shooter, Beat 'em up, Roguelite</t>
  </si>
  <si>
    <t>Teenage Mutant Ninja Turtles, Mercenary Kings</t>
  </si>
  <si>
    <t>Kasedo Games</t>
  </si>
  <si>
    <t>https://www.kasedogames.com/</t>
  </si>
  <si>
    <t>https://www.kasedogames.com/pitch-to-us</t>
  </si>
  <si>
    <t>remote control productions (rcp)</t>
  </si>
  <si>
    <t>https://rcp.family/join/</t>
  </si>
  <si>
    <t>Timea Edvi</t>
  </si>
  <si>
    <t>join@r-control.de</t>
  </si>
  <si>
    <t>Hendrik Lesser</t>
  </si>
  <si>
    <t>https://store.steampowered.com/publisher/Kasedo</t>
  </si>
  <si>
    <t>https://gamalytic.com/publisher/Kasedo%20Games</t>
  </si>
  <si>
    <t>A long-term, studio-facing games production partner that takes minority stakes in selected developers while providing operational support, strategic guidance, business development, and access to industry partners and financing opportunities.</t>
  </si>
  <si>
    <t>Mar 2013</t>
  </si>
  <si>
    <t>Management, City Builder, Resource Management, Economy, Turn-Based Tactics, Turn-Based Combat, Base Building, Turn-Based Strategy, Survival, Sandbox</t>
  </si>
  <si>
    <t>Ixion, Project Highrise, Rise of Industry</t>
  </si>
  <si>
    <t>They only do simulation and strategy games. Indie publishing label of Kalypso</t>
  </si>
  <si>
    <t>Yogscast Games</t>
  </si>
  <si>
    <t>https://www.yogscast.games/</t>
  </si>
  <si>
    <r>
      <rPr>
        <rFont val="Calibri"/>
        <color rgb="FF1155CC"/>
        <u/>
      </rPr>
      <t>Simon Byron</t>
    </r>
    <r>
      <rPr>
        <rFont val="Calibri"/>
        <color rgb="FF000000"/>
        <u/>
      </rPr>
      <t>/Alex Turner</t>
    </r>
  </si>
  <si>
    <t>https://store.steampowered.com/developer/yogscastgames</t>
  </si>
  <si>
    <t>https://gamalytic.com/publisher/Yogscast%20Games</t>
  </si>
  <si>
    <t>149K</t>
  </si>
  <si>
    <t>May 2017</t>
  </si>
  <si>
    <t>Roguelite, Roguelike, Co-op, Management, Deckbuilding, Cooking, Card Game, Base Building, Procedural Generation</t>
  </si>
  <si>
    <t>PlateUp, Caveblazers, Aces &amp; Adventures</t>
  </si>
  <si>
    <t xml:space="preserve">We're currently at capacity and not looking to support any new titles in the short term (AS OF OCT 21 2025). The publishing arm of Yogscast. They have a big Steam following but have only recently started to publish indie games. They also run the TinyTeams festival on Steam. </t>
  </si>
  <si>
    <t>Alibi Games</t>
  </si>
  <si>
    <t>alibi.games</t>
  </si>
  <si>
    <t>New Zealand-only. A government-funded regional economic development organisation that provides funding opportunities to all levels of indie video game development.</t>
  </si>
  <si>
    <t>https://www.alibi.games/submit</t>
  </si>
  <si>
    <t>Emerging Game Fund</t>
  </si>
  <si>
    <t>https://www.screenaustralia.gov.au/fund/emerging-gamemakers-fund-2/</t>
  </si>
  <si>
    <t>Jarvis Crofts , James Willmott</t>
  </si>
  <si>
    <t>https://store.steampowered.com/publisher/AlibiGames</t>
  </si>
  <si>
    <t>https://screenaustraliafunding.smartygrants.com.au/Yj0uqW7tKD</t>
  </si>
  <si>
    <t>https://gamalytic.com/publisher/Alibi%20Games</t>
  </si>
  <si>
    <t>Jun 2025</t>
  </si>
  <si>
    <t>Auto Battler, Card Game, Psychological Horror, Asynchronous Multiplayer, Horror, PvP, Tactical RPG, Creature Collector, Roguelike</t>
  </si>
  <si>
    <t>Become the Moon, Egging On, Holder of Place</t>
  </si>
  <si>
    <t>A new indie publisher based in London focused on funding and marketing system driven and mechanically deep games</t>
  </si>
  <si>
    <t>Fellow Traveller</t>
  </si>
  <si>
    <t>https://www.fellowtraveller.games/</t>
  </si>
  <si>
    <t>Australia-only. They fund up to $30K. The program will last until 2026/27.</t>
  </si>
  <si>
    <t>https://www.fellowtraveller.games/developers</t>
  </si>
  <si>
    <t>developers@fellowtraveller.games</t>
  </si>
  <si>
    <r>
      <rPr>
        <rFont val="Calibri"/>
        <color rgb="FF1155CC"/>
        <sz val="10.0"/>
        <u/>
      </rPr>
      <t>Spencer Hayes</t>
    </r>
    <r>
      <rPr>
        <rFont val="Calibri"/>
        <sz val="10.0"/>
      </rPr>
      <t xml:space="preserve">, </t>
    </r>
    <r>
      <rPr>
        <rFont val="Calibri"/>
        <color rgb="FF1155CC"/>
        <sz val="10.0"/>
        <u/>
      </rPr>
      <t>Christopher Wulf</t>
    </r>
  </si>
  <si>
    <t>https://store.steampowered.com/publisher/fellowtraveller</t>
  </si>
  <si>
    <t>https://gamalytic.com/publisher/Fellow%20Traveller</t>
  </si>
  <si>
    <t>85K</t>
  </si>
  <si>
    <t>May 2015</t>
  </si>
  <si>
    <t>Visual Novel, Interactive Fiction, Point &amp; Click, Dice, Puzzle, Hacking, Programming, Tabletop, Typing</t>
  </si>
  <si>
    <t>Suzerain, Citizen Sleeper</t>
  </si>
  <si>
    <t>They publish games with rich narratives. Host of the Steam featured narrative event Ludonarracon.</t>
  </si>
  <si>
    <t>Serenity Forge</t>
  </si>
  <si>
    <t>https://serenityforge.com/</t>
  </si>
  <si>
    <r>
      <rPr>
        <rFont val="Calibri"/>
        <color rgb="FF1155CC"/>
        <sz val="11.0"/>
        <u/>
      </rPr>
      <t>Max Kubler</t>
    </r>
    <r>
      <rPr>
        <rFont val="Calibri"/>
        <color rgb="FF000000"/>
        <sz val="11.0"/>
      </rPr>
      <t xml:space="preserve">, </t>
    </r>
    <r>
      <rPr>
        <rFont val="Calibri"/>
        <color rgb="FF1155CC"/>
        <sz val="11.0"/>
        <u/>
      </rPr>
      <t>Jan Halwe</t>
    </r>
  </si>
  <si>
    <t>https://serenityforge.com/publishing</t>
  </si>
  <si>
    <t>https://serenity-forge.notion.site/1d58d6801c1880e18722e6ce28c4bc88</t>
  </si>
  <si>
    <t>Zhenghua Yang (Z)</t>
  </si>
  <si>
    <t>https://store.steampowered.com/publisher/serenityforge</t>
  </si>
  <si>
    <t>https://gamalytic.com/publisher/Serenity%20Forge</t>
  </si>
  <si>
    <t>Psychological Horror, Visual Novel, Interactive Fiction, Walking Simulator, Horror, Point &amp; Click, Dating Sim, JRPG, Choose Your Own Adventure</t>
  </si>
  <si>
    <t>Doki Doki, Slay the Princess, NEEDY STREAMER OVERLOAD, LISA, Death's Gambit, Long Gone Days</t>
  </si>
  <si>
    <t>Developer &amp; publisher focused on meaningful, narrative-driven, and emotionally impactful games. Also physically publish and distribute games globally across all retail, including Walmart, Target, Best Buy, GameStop, Amazon, GAME, EB Games, etc.</t>
  </si>
  <si>
    <t>Mooneye</t>
  </si>
  <si>
    <t>https://www.mooneyestudios.com</t>
  </si>
  <si>
    <r>
      <rPr>
        <rFont val="Calibri"/>
        <color rgb="FF1155CC"/>
        <u/>
      </rPr>
      <t>https://www.mooneyestudios.com/publishing</t>
    </r>
    <r>
      <rPr>
        <rFont val="Calibri"/>
        <color rgb="FF000000"/>
        <u/>
      </rPr>
      <t xml:space="preserve"> , </t>
    </r>
    <r>
      <rPr>
        <rFont val="Calibri"/>
        <color rgb="FF1155CC"/>
        <u/>
      </rPr>
      <t>https://www.mooneyestudios.com/news/lessonslearned/pitching-your-game-to-a-publisher/</t>
    </r>
  </si>
  <si>
    <t>publishing@mooneyestudios.com</t>
  </si>
  <si>
    <t>Sinikka Compart</t>
  </si>
  <si>
    <t>https://store.steampowered.com/publisher/mooneye</t>
  </si>
  <si>
    <t>https://gamalytic.com/publisher/Mooneye%20Studios</t>
  </si>
  <si>
    <t>3K</t>
  </si>
  <si>
    <t>Aug 2021</t>
  </si>
  <si>
    <t>Walking Simulator, Open World</t>
  </si>
  <si>
    <t>Lost Ember, Haven Park</t>
  </si>
  <si>
    <t>They publish casual and cozy games</t>
  </si>
  <si>
    <t>Shiro Unlimited</t>
  </si>
  <si>
    <t>https://shiro-unlimited.com/</t>
  </si>
  <si>
    <t>unlimited@shirogames.com</t>
  </si>
  <si>
    <t>Adrien Dugue</t>
  </si>
  <si>
    <t>https://store.steampowered.com/publisher/shiro-unlimited</t>
  </si>
  <si>
    <t>https://gamalytic.com/publisher/Shiro%20Unlimited</t>
  </si>
  <si>
    <t>May 2023</t>
  </si>
  <si>
    <t>Management, Base Building, Capitalism, Puzzle, Colony Sim, Crafting, Horror, Economy, Automation</t>
  </si>
  <si>
    <t>Wartales, Northgard, Decarnation, Evoland</t>
  </si>
  <si>
    <t>Development studio with good track record, is both a publisher and can help with production consulting, understand well the developers since they're a also studio.</t>
  </si>
  <si>
    <t>Nordcurrent Labs</t>
  </si>
  <si>
    <t>http://www.nordcurrent.com/</t>
  </si>
  <si>
    <t>labs@nordcurrent.com</t>
  </si>
  <si>
    <t>Arunas Mieliauskas</t>
  </si>
  <si>
    <t>https://store.steampowered.com/publisher/NordcurrentLabs</t>
  </si>
  <si>
    <t>https://gamalytic.com/publisher/Nordcurrent%20Labs</t>
  </si>
  <si>
    <t>Action-Adventure, Action RPG, Real Time Tactics, Stealth, Puzzle, Survival, Open World, Turn-Based Strategy, JRPG</t>
  </si>
  <si>
    <t>Ocean's Heart, Decision: Red Daze</t>
  </si>
  <si>
    <t>They have been very successful in mobile. PC is not their strength.</t>
  </si>
  <si>
    <t>Iceberg Interactive</t>
  </si>
  <si>
    <t>https://www.iceberg-games.com/</t>
  </si>
  <si>
    <t>https://www.iceberg-games.com/fordevelopers/</t>
  </si>
  <si>
    <t>development@iceberg-games.com</t>
  </si>
  <si>
    <t>Raymond Snippe</t>
  </si>
  <si>
    <t>https://store.steampowered.com/publisher/iceberg</t>
  </si>
  <si>
    <t>https://gamalytic.com/publisher/Iceberg%20Interactive</t>
  </si>
  <si>
    <r>
      <rPr>
        <rFont val="Calibri"/>
        <color rgb="FF1155CC"/>
        <u/>
      </rPr>
      <t>Simon Byron</t>
    </r>
    <r>
      <rPr>
        <rFont val="Calibri"/>
        <color rgb="FF000000"/>
        <u/>
      </rPr>
      <t>/Alex Turner</t>
    </r>
  </si>
  <si>
    <t>Puzzle, Management, Sandbox, 4X, Turn-Based Strategy, PvP, Economy, Point &amp; Click, Co-op, FPS</t>
  </si>
  <si>
    <t>Blazing Sails, Railroad Corporation</t>
  </si>
  <si>
    <t>Around since 2009, mainly PC but occasional console. Do many genres.</t>
  </si>
  <si>
    <t>Firesquid</t>
  </si>
  <si>
    <t>https://www.firesquid.fr/</t>
  </si>
  <si>
    <t>https://www.firesquid.fr/publishing/</t>
  </si>
  <si>
    <r>
      <rPr>
        <rFont val="Calibri"/>
      </rPr>
      <t>https://forms.gle/KbsYdYxqyoKUjg7i9</t>
    </r>
  </si>
  <si>
    <t>Mangotronics Fund</t>
  </si>
  <si>
    <t>https://mastodon.gamedev.place/@mangotronics/113674734435808102</t>
  </si>
  <si>
    <r>
      <rPr>
        <rFont val="Calibri"/>
        <color rgb="FF1155CC"/>
        <u/>
      </rPr>
      <t>Antoine Pham-minh</t>
    </r>
    <r>
      <rPr>
        <rFont val="Calibri"/>
        <color rgb="FF000000"/>
        <u/>
      </rPr>
      <t xml:space="preserve">, </t>
    </r>
    <r>
      <rPr>
        <rFont val="Calibri"/>
        <color rgb="FF1155CC"/>
        <u/>
      </rPr>
      <t>Simon Bachelier</t>
    </r>
  </si>
  <si>
    <t>https://docs.google.com/forms/d/e/1FAIpQLSeS4s-5gHABEgggaHeyYJPa8j-c2jsj0iT8IMZgdPCegkVsQQ/closedform</t>
  </si>
  <si>
    <t>https://store.steampowered.com/publisher/firesquid</t>
  </si>
  <si>
    <t>Micro-grant fund that ran in January 2025. Run by a publisher that is unclear whether the fund will return in 2027.</t>
  </si>
  <si>
    <t>https://gamalytic.com/publisher/Firesquid</t>
  </si>
  <si>
    <t>Mar 2024</t>
  </si>
  <si>
    <t>Management, Resource Management, City Builder, God Game, Turn-Based Tactics, Colony Sim, Puzzle, Base Building, Turn-Based Strategy, Sandbox</t>
  </si>
  <si>
    <t>Blade Prince, USC: Counterforce</t>
  </si>
  <si>
    <t>Strategy game focused publisher. Co-Host of the featured Steam strategy convention TactiCon alongside fellow strategy publisher Hooded Horse.</t>
  </si>
  <si>
    <t>H2 Interactive</t>
  </si>
  <si>
    <t>http://www.h2int.com/</t>
  </si>
  <si>
    <t>https://store.steampowered.com/publisher/h2interactive</t>
  </si>
  <si>
    <t>https://gamalytic.com/publisher/H2%20Interactive%20Co.,%20Ltd.</t>
  </si>
  <si>
    <t>Dec 2015</t>
  </si>
  <si>
    <t>Survival, Open World, Open World Survival Craft, Co-op, Crafting, Base Building</t>
  </si>
  <si>
    <t>BlazBlue, Re-Volt</t>
  </si>
  <si>
    <t>Global publishing on Steam &amp; Co-publishing (All Asia, incl. Mainland China) on Steam &amp; Global publishing (specialized in Asia, excl. Mainland China) on PS4/PS5/Switch &amp; Direct Games (The 1st/biggest D2C PC key distribution channel in Korea)</t>
  </si>
  <si>
    <t>Pretty Soon</t>
  </si>
  <si>
    <t>https://www.prettysoon.games/</t>
  </si>
  <si>
    <t>https://docs.google.com/presentation/d/1cPGGyCFQXaeOEAhcDcwL_16CHzMX0qru_YIumn7hhss/edit#slide=id.g31a65f9177f_0_0</t>
  </si>
  <si>
    <r>
      <rPr>
        <rFont val="Calibri"/>
        <color rgb="FF1155CC"/>
        <sz val="10.0"/>
        <u/>
      </rPr>
      <t>Spencer Hayes</t>
    </r>
    <r>
      <rPr>
        <rFont val="Calibri"/>
        <sz val="10.0"/>
      </rPr>
      <t xml:space="preserve">, </t>
    </r>
    <r>
      <rPr>
        <rFont val="Calibri"/>
        <color rgb="FF1155CC"/>
        <sz val="10.0"/>
        <u/>
      </rPr>
      <t>Christopher Wulf</t>
    </r>
  </si>
  <si>
    <t>publishing@prettysoon.games</t>
  </si>
  <si>
    <t>Kris Masternak</t>
  </si>
  <si>
    <t>https://store.steampowered.com/publisher/prettysoon</t>
  </si>
  <si>
    <t>https://gamalytic.com/publisher/Pretty%20Soon</t>
  </si>
  <si>
    <t>Sep 2019</t>
  </si>
  <si>
    <t>Sandbox, Roguelike Deckbuilder, Deckbuilding, Roguelike, Automation, Crafting, Incremental, City Builder, Fishing, Management</t>
  </si>
  <si>
    <t>Havendock, Backpack Hero, Werewolf</t>
  </si>
  <si>
    <t>Low budget publisher</t>
  </si>
  <si>
    <t>Goblinz Publishing</t>
  </si>
  <si>
    <t>https://goblinzstudio.com/</t>
  </si>
  <si>
    <t>https://goblinzstudio.com/publishing/</t>
  </si>
  <si>
    <t>publishing@goblinzstudio.com</t>
  </si>
  <si>
    <t>Johann Verbroucht</t>
  </si>
  <si>
    <t>https://store.steampowered.com/dev/goblinz_publishing</t>
  </si>
  <si>
    <t>https://gamalytic.com/publisher/Goblinz%20Publishing</t>
  </si>
  <si>
    <t>122K</t>
  </si>
  <si>
    <t>Sep 2016</t>
  </si>
  <si>
    <t>Roguelike, Turn-Based Strategy, Management, Dungeon Crawler, Roguelite, City Builder, Roguelike Deckbuilder, Deckbuilding, Turn-Based Tactics, Turn-Based Combat</t>
  </si>
  <si>
    <t>Terraformers, Hero's Hour, Legend of Keepers, Banners of Ruin, Synergy, Sandwalkers</t>
  </si>
  <si>
    <t>Developer &amp; Publisher specialized in Strategy, management and card-builder games.</t>
  </si>
  <si>
    <t>Playtonic</t>
  </si>
  <si>
    <t>https://www.playtonicgames.com/</t>
  </si>
  <si>
    <t>oli.smith@playtonicgames.com</t>
  </si>
  <si>
    <t>Oliver Smith</t>
  </si>
  <si>
    <t>https://store.steampowered.com/publisher/PlaytonicFriends</t>
  </si>
  <si>
    <r>
      <rPr>
        <rFont val="Calibri"/>
        <color rgb="FF1155CC"/>
        <u/>
      </rPr>
      <t>https://www.mooneyestudios.com/publishing</t>
    </r>
    <r>
      <rPr>
        <rFont val="Calibri"/>
        <color rgb="FF000000"/>
        <u/>
      </rPr>
      <t xml:space="preserve"> , </t>
    </r>
    <r>
      <rPr>
        <rFont val="Calibri"/>
        <color rgb="FF1155CC"/>
        <u/>
      </rPr>
      <t>https://www.mooneyestudios.com/news/lessonslearned/pitching-your-game-to-a-publisher/</t>
    </r>
  </si>
  <si>
    <t>https://gamalytic.com/publisher/Playtonic%20Friends</t>
  </si>
  <si>
    <t>Oct 2025</t>
  </si>
  <si>
    <t>Platformer, 3D Platformer, Collectathon, 2.5D, Puzzle, Arcade, Precision Platformer, Action-Adventure</t>
  </si>
  <si>
    <t>Lil Gator Game, Demon Turf</t>
  </si>
  <si>
    <t>A small and new publisher. Developers of Yooka Laylee</t>
  </si>
  <si>
    <t>Top Hat Studios</t>
  </si>
  <si>
    <t>https://tophat.studio</t>
  </si>
  <si>
    <t>https://tophat.studio/publishing.html</t>
  </si>
  <si>
    <t>publishing@tophatentertainment.us</t>
  </si>
  <si>
    <t>https://store.steampowered.com/publisher/tophatstudios/</t>
  </si>
  <si>
    <t>https://gamalytic.com/publisher/Top%20Hat%20Studios,%20Inc.</t>
  </si>
  <si>
    <t>12K</t>
  </si>
  <si>
    <t>Jan 2019</t>
  </si>
  <si>
    <t>Action-Adventure, Platformer, Metroidvania, Survival Horror, Horror, Action RPG, Parkour, Dungeon Crawler, 2D Platformer, Creature Collector</t>
  </si>
  <si>
    <t>Frogun, The Citadel</t>
  </si>
  <si>
    <t>They've published a lot of games that were crowdfunded on Kickstarter. Publishing a lot of games so they may not have enough to focus on you.</t>
  </si>
  <si>
    <t>Super Rare Originals</t>
  </si>
  <si>
    <t>https://www.superrareoriginals.com/</t>
  </si>
  <si>
    <t>publishmygame@superraregames.com</t>
  </si>
  <si>
    <t>George Perkins</t>
  </si>
  <si>
    <t>https://store.steampowered.com/publisher/SUPERRAREGAMES</t>
  </si>
  <si>
    <t>https://gamalytic.com/publisher/Super%20Rare%20Originals</t>
  </si>
  <si>
    <t>Feb 2022</t>
  </si>
  <si>
    <t>Action Roguelike, Top-Down Shooter, Roguelite, Platformer, Shooter, Bullet Hell, Collectathon, Open World, 3D Platformer</t>
  </si>
  <si>
    <t>Otxo, Old Ruin</t>
  </si>
  <si>
    <t>The new indie publishing arm of Super Rare Games</t>
  </si>
  <si>
    <t>Dangen Entertainment</t>
  </si>
  <si>
    <t>https://dangenentertainment.com/</t>
  </si>
  <si>
    <t>https://pitch.dangenentertainment.com/?_xm=13900.283328865470775310</t>
  </si>
  <si>
    <t>contact@dangenentertainment.com</t>
  </si>
  <si>
    <t>Dan Stern</t>
  </si>
  <si>
    <t>https://store.steampowered.com/publisher/dangen</t>
  </si>
  <si>
    <t>https://gamalytic.com/publisher/DANGEN%20Entertainment</t>
  </si>
  <si>
    <t>Metroidvania, Action RPG, JRPG, Puzzle, Platformer, Party-Based RPG, Roguelite, Hack and Slash, Turn-Based Combat, Horror</t>
  </si>
  <si>
    <t>Bug Fables, Lost Ruins</t>
  </si>
  <si>
    <t>They also offer grant funding to indie devs. Check their website. (Note from visitor: 500k usd budget is waaaaay to much for them but they assesed the pitch and would love to sign if the budget was about 2x/3x less)</t>
  </si>
  <si>
    <t>Games Operators</t>
  </si>
  <si>
    <t>http://www.gameops.pl/en/about-us/</t>
  </si>
  <si>
    <t>producers@gameops.pl</t>
  </si>
  <si>
    <t>Konrad Chmielewski</t>
  </si>
  <si>
    <t>https://store.steampowered.com/publisher/gameops</t>
  </si>
  <si>
    <t>https://gamalytic.com/publisher/Games%20Operators</t>
  </si>
  <si>
    <r>
      <rPr>
        <rFont val="Calibri"/>
      </rPr>
      <t>https://forms.gle/KbsYdYxqyoKUjg7i9</t>
    </r>
  </si>
  <si>
    <t>531K</t>
  </si>
  <si>
    <t>Feb 2017</t>
  </si>
  <si>
    <t>Management, Sandbox, Base Building, City Builder, Survival, RTS, Time Management, Open World, Real Time Tactics</t>
  </si>
  <si>
    <t>911 operator, Radio commander</t>
  </si>
  <si>
    <t>They've done plenty of simulation and strategy games. Affiliated with the publisher Playway.</t>
  </si>
  <si>
    <t>Wales Interactive</t>
  </si>
  <si>
    <r>
      <rPr>
        <rFont val="Calibri"/>
        <color rgb="FF1155CC"/>
        <u/>
      </rPr>
      <t>Antoine Pham-minh</t>
    </r>
    <r>
      <rPr>
        <rFont val="Calibri"/>
        <color rgb="FF000000"/>
        <u/>
      </rPr>
      <t xml:space="preserve">, </t>
    </r>
    <r>
      <rPr>
        <rFont val="Calibri"/>
        <color rgb="FF1155CC"/>
        <u/>
      </rPr>
      <t>Simon Bachelier</t>
    </r>
  </si>
  <si>
    <t>https://www.walesinteractive.com/</t>
  </si>
  <si>
    <t>https://www.walesinteractive.com/contact</t>
  </si>
  <si>
    <t>David Banner</t>
  </si>
  <si>
    <t>https://store.steampowered.com/publisher/WalesInteractive</t>
  </si>
  <si>
    <t>https://gamalytic.com/publisher/Wales%20Interactive</t>
  </si>
  <si>
    <t>Oct 2013</t>
  </si>
  <si>
    <t>Choose Your Own Adventure, Interactive Fiction, Horror, Psychological Horror, Visual Novel</t>
  </si>
  <si>
    <t>Maid of Sker, Late Shift, Sker Ritual, The Complex, Five Dates, The Bunker</t>
  </si>
  <si>
    <t>This is an indie Developer and Publisher. They specialize in survival horror, narrative games and interactive movies.</t>
  </si>
  <si>
    <t>Deck13</t>
  </si>
  <si>
    <t>https://spotlight.deck13.com/</t>
  </si>
  <si>
    <t>https://spotlight.deck13.com/contact-us/</t>
  </si>
  <si>
    <t>Phil Pradel</t>
  </si>
  <si>
    <t>https://store.steampowered.com/publisher/DECK13</t>
  </si>
  <si>
    <t>https://gamalytic.com/publisher/Deck13</t>
  </si>
  <si>
    <t>Jan 2015</t>
  </si>
  <si>
    <t>Action RPG, Puzzle, Turn-Based Combat, JRPG, Open World, Souls-like, City Builder</t>
  </si>
  <si>
    <t>The Surge, Crosscode</t>
  </si>
  <si>
    <t>The publishing arm of Deck13 Interactive. Sep 2025: "Currently we‘re full and not taking any additional Projects"</t>
  </si>
  <si>
    <t>Armor Games Studio</t>
  </si>
  <si>
    <t>https://armorgamesstudios.com</t>
  </si>
  <si>
    <t>https://armorgamesstudios.com/publishing</t>
  </si>
  <si>
    <t>pitch@armorgames.com</t>
  </si>
  <si>
    <t>https://store.steampowered.com/publisher/armorgamesstudios</t>
  </si>
  <si>
    <t>https://gamalytic.com/publisher/Armor%20Games%20Studios</t>
  </si>
  <si>
    <t>Survival, Platformer, Turn-Based Combat, Puzzle, Crafting, Tower Defense, Economy, Point &amp; Click, Life Sim, Roguelite</t>
  </si>
  <si>
    <t>Bear &amp; Breakfast, The Last Stand</t>
  </si>
  <si>
    <t>The high end of their budget range is $300k</t>
  </si>
  <si>
    <t>Exothermic</t>
  </si>
  <si>
    <t>https://exothermic.co/</t>
  </si>
  <si>
    <t>Megan Carriker</t>
  </si>
  <si>
    <t>https://store.steampowered.com/publisher/Exothermic</t>
  </si>
  <si>
    <t>https://gamalytic.com/publisher/Exothermic</t>
  </si>
  <si>
    <t>Sci-fi</t>
  </si>
  <si>
    <t>They support sci-fi games and gamers</t>
  </si>
  <si>
    <t>Maximum Entertainment</t>
  </si>
  <si>
    <t>https://maximument.com/</t>
  </si>
  <si>
    <t>https://maximument.com/publishing/</t>
  </si>
  <si>
    <t>Thierry Genre</t>
  </si>
  <si>
    <t>https://store.steampowered.com/developer/maximumentertainment</t>
  </si>
  <si>
    <t>https://gamalytic.com/publisher/Maximum%20Entertainment</t>
  </si>
  <si>
    <t>11K</t>
  </si>
  <si>
    <t>Sep 2018</t>
  </si>
  <si>
    <t>Puzzle, Hack and Slash, Action-Adventure, 2D Platformer, Co-op, Platformer, Action RPG, Shooter, Metroidvania</t>
  </si>
  <si>
    <t>Super Animal Royale, Afterimage</t>
  </si>
  <si>
    <t>Modus and Maximum Games are essentially the same company under different branding.</t>
  </si>
  <si>
    <t>Blumhouse Games</t>
  </si>
  <si>
    <t>https://www.blumhouse.com/games</t>
  </si>
  <si>
    <t>https://store.steampowered.com/publisher/blumhousegames</t>
  </si>
  <si>
    <t>https://gamalytic.com/publisher/Blumhouse%20Games</t>
  </si>
  <si>
    <t>9K</t>
  </si>
  <si>
    <t>Horror, FPS, Puzzle, Action-Adventure, Shooter, Survival Horror, Psychological Horror, Stealth</t>
  </si>
  <si>
    <t>Looking for your new favorite horror game? Blumhouse Games slate is packed with every flavor of scares.</t>
  </si>
  <si>
    <t>Neverland Entertainment</t>
  </si>
  <si>
    <t>https://www.nlentmt.com/</t>
  </si>
  <si>
    <t>https://store.steampowered.com/publisher/Neverland</t>
  </si>
  <si>
    <t>https://gamalytic.com/publisher/Neverland%20Entertainment</t>
  </si>
  <si>
    <t>Jul 2022</t>
  </si>
  <si>
    <t>Psychological Horror, Metroidvania, Action-Adventure, Bullet Hell, Puzzle, Visual Novel, 2D Platformer, Platformer, Escape Room, Typing</t>
  </si>
  <si>
    <t>Astral Party, TEVI, Copycat</t>
  </si>
  <si>
    <t>Neverland Entertainment is a production company focus on high quality game produce and publishing for global market. Covering PC, Console and mobile platform, we have different studios to work on different game titles with different categories of game play and experience.</t>
  </si>
  <si>
    <t>DreadXP</t>
  </si>
  <si>
    <t>https://www.dreadxp.com/</t>
  </si>
  <si>
    <t>pitches@dreadxp.com</t>
  </si>
  <si>
    <t>Henry Hoare</t>
  </si>
  <si>
    <t>https://store.steampowered.com/publisher/DreadXP</t>
  </si>
  <si>
    <t>https://gamalytic.com/publisher/DreadXP</t>
  </si>
  <si>
    <t>May 2020</t>
  </si>
  <si>
    <t>Horror, Survival Horror, Puzzle, Psychological Horror, FPS</t>
  </si>
  <si>
    <t>Sucker For Love: First Date, Mortuary Assistant, Amanda ojd Adventurer</t>
  </si>
  <si>
    <t>Publishes indie horror games. Developer run publisher - majority of staff are game developers themselves. Got started in 2020 with a recurring series of anthology games (Dread X Collection) where they pay developers to create game-jam-style game around a central theme. Good way to get foot in the door and get paid.</t>
  </si>
  <si>
    <t>Headup</t>
  </si>
  <si>
    <t>https://twitter.com/HeadupGames</t>
  </si>
  <si>
    <t>info@headupgames.com</t>
  </si>
  <si>
    <t>Julia Kenny</t>
  </si>
  <si>
    <t>https://store.steampowered.com/publisher/Headup</t>
  </si>
  <si>
    <t>https://gamalytic.com/publisher/Headup%20Publishing</t>
  </si>
  <si>
    <t>Puzzle, Logic, Survival, Crafting, Sandbox, Co-op, 3D Platformer, Action-Adventure, Roguelike</t>
  </si>
  <si>
    <t>Bridge Constructor Portal, Pumpkin Jack, Dead Age, Tinkertown</t>
  </si>
  <si>
    <t>Looking for physics, sandbox or social games. Owned by Thunderful, but running a separate indie-focused publishing unit. Bad revenue share (50/50 split) for marketing only deals. They only do minimal marketing most of the time. They will do in-house console porting at "no extra cost" (50/50 split) if they think the title fits. Their revenue breakdown is rather intransparent.</t>
  </si>
  <si>
    <t>LOW BUDGET</t>
  </si>
  <si>
    <t>Isolated Games</t>
  </si>
  <si>
    <t>Spain</t>
  </si>
  <si>
    <t>https://www.isolatedgames.com/</t>
  </si>
  <si>
    <t>andres.ruiz@isolatedgames.com</t>
  </si>
  <si>
    <t>Andres Ruiz</t>
  </si>
  <si>
    <t>https://store.steampowered.com/developer/isolatedgames</t>
  </si>
  <si>
    <t>https://gamalytic.com/publisher/Isolated%20Games</t>
  </si>
  <si>
    <t>Life Sim, Management, Farming Sim, Crafting, Immersive Sim, Collectathon, Resource Management, Space Sim</t>
  </si>
  <si>
    <t>Travellers Rest, Between the Stars</t>
  </si>
  <si>
    <t>Besides being a publisher, we are also developers. We want to help small teams with our experience and resources</t>
  </si>
  <si>
    <t>TARK</t>
  </si>
  <si>
    <t>Turkey</t>
  </si>
  <si>
    <t>https://tarkgames.com/</t>
  </si>
  <si>
    <t>https://tarkgames.com/developers</t>
  </si>
  <si>
    <r>
      <rPr>
        <rFont val="Calibri"/>
        <color rgb="FF1155CC"/>
        <u/>
      </rPr>
      <t>Ibrahim Yildirim</t>
    </r>
    <r>
      <rPr>
        <rFont val="Calibri"/>
        <color rgb="FF000000"/>
        <u/>
      </rPr>
      <t xml:space="preserve">, </t>
    </r>
    <r>
      <rPr>
        <rFont val="Calibri"/>
        <color rgb="FF1155CC"/>
        <u/>
      </rPr>
      <t>Ilker Ergen</t>
    </r>
  </si>
  <si>
    <r>
      <rPr>
        <rFont val="Calibri"/>
        <color rgb="FF1155CC"/>
        <u/>
      </rPr>
      <t>Ibrahim Yildirim</t>
    </r>
    <r>
      <rPr>
        <rFont val="Calibri"/>
        <color rgb="FF000000"/>
        <u/>
      </rPr>
      <t xml:space="preserve">, </t>
    </r>
    <r>
      <rPr>
        <rFont val="Calibri"/>
        <color rgb="FF1155CC"/>
        <u/>
      </rPr>
      <t>Ilker Ergen</t>
    </r>
  </si>
  <si>
    <t>https://store.steampowered.com/publisher/tark</t>
  </si>
  <si>
    <t>https://gamalytic.com/publisher/TARK</t>
  </si>
  <si>
    <t>Co-op, Team-Based, Puzzle, Party Game, Time Management</t>
  </si>
  <si>
    <t>N/A (new label)</t>
  </si>
  <si>
    <t>They are a new publisher-investor hybrid already backing 10+ upcoming games. Provide early funding and hands-on go-to-market support. Focus on small teams (solo/duo/trio) working with freelancers.</t>
  </si>
  <si>
    <t>Envar Publishing</t>
  </si>
  <si>
    <t>https://www.envarstudio.com/</t>
  </si>
  <si>
    <t>https://www.envarstudio.com/publishing</t>
  </si>
  <si>
    <t>Liam O'Neill</t>
  </si>
  <si>
    <t>https://store.steampowered.com/search/?publisher=Envar%20Publishing</t>
  </si>
  <si>
    <t>https://gamalytic.com/publisher/Envar%20Publishing</t>
  </si>
  <si>
    <t>Open World Survival Craft, Survival, Crafting, Co-op, Open World, Base Building, Sandbox</t>
  </si>
  <si>
    <t>Elda Entertainment</t>
  </si>
  <si>
    <t>https://www.elda-entertainment.com/</t>
  </si>
  <si>
    <t>contact@elda-entertainment.com</t>
  </si>
  <si>
    <r>
      <rPr>
        <rFont val="Calibri"/>
        <color rgb="FF1155CC"/>
        <sz val="10.0"/>
        <u/>
      </rPr>
      <t>Robin Cederholm</t>
    </r>
    <r>
      <rPr>
        <rFont val="Calibri"/>
        <sz val="10.0"/>
      </rPr>
      <t xml:space="preserve">, </t>
    </r>
    <r>
      <rPr>
        <rFont val="Calibri"/>
        <color rgb="FF1155CC"/>
        <sz val="10.0"/>
        <u/>
      </rPr>
      <t>Sandra Neudinger</t>
    </r>
  </si>
  <si>
    <t>https://store.steampowered.com/search/?publisher=Elda%20Entertainment</t>
  </si>
  <si>
    <t>https://gamalytic.com/publisher/Elda%20Entertainment</t>
  </si>
  <si>
    <t>City Builder, Management, Economy, Resource Management, Grand Strategy, Political Sim</t>
  </si>
  <si>
    <t>Kaiserpunk</t>
  </si>
  <si>
    <t xml:space="preserve">Dedicated publishing for the management game audience. Co-pub, publishing as a service and publishing consulting. Focused on mangement games. Cities: Skylines and Paradox veterans. </t>
  </si>
  <si>
    <t>NAGA</t>
  </si>
  <si>
    <t>https://www.naga-publishing.com</t>
  </si>
  <si>
    <t>contact@naga-agency.com</t>
  </si>
  <si>
    <t>Ewan Charlot</t>
  </si>
  <si>
    <t>https://store.steampowered.com/curator/45630690</t>
  </si>
  <si>
    <t>https://gamalytic.com/publisher/NAGA</t>
  </si>
  <si>
    <t>Roguelite, Co-op, Collectathon, Puzzle, Bullet Heaven, Tower Defense, Bullet Hell, Twin Stick Shooter, Top-Down Shooter, Hack and Slash</t>
  </si>
  <si>
    <t>Rekindled Trails, Kritter: Defend Together</t>
  </si>
  <si>
    <t>Marketing &amp; Distribution focused CoPublisher, allowing flexible partnerships including with other Publishers or CoInvestors. Marketing funding only.</t>
  </si>
  <si>
    <t>Ancient Forge</t>
  </si>
  <si>
    <t>https://ancientforgestudio.com/</t>
  </si>
  <si>
    <t>contact@ancientforgestudio.com</t>
  </si>
  <si>
    <t>Dushan Chaciej</t>
  </si>
  <si>
    <t>https://store.steampowered.com/developer/ancientforge</t>
  </si>
  <si>
    <t>https://gamalytic.com/publisher/Ancient%20Forge</t>
  </si>
  <si>
    <t>Dec 2024</t>
  </si>
  <si>
    <t>Tactical RPG, Turn-Based Tactics, Sandbox, PvP, Strategy RPG, Party-Based RPG, Turn-Based Strategy</t>
  </si>
  <si>
    <t>The Tenants</t>
  </si>
  <si>
    <t>Silver Lining Interactive</t>
  </si>
  <si>
    <t>https://www.silverliningint.com/</t>
  </si>
  <si>
    <t>https://www.silverliningint.com/pitch-your-game</t>
  </si>
  <si>
    <t>submissions@silverliningint.com</t>
  </si>
  <si>
    <t>Thomas Griffiths</t>
  </si>
  <si>
    <t>https://store.steampowered.com/curator/45287187</t>
  </si>
  <si>
    <t>https://gamalytic.com/publisher/Silver%20Lining%20Interactive</t>
  </si>
  <si>
    <t>Puzzle, Platformer, Management, Walking Simulator, Puzzle Platformer, Capitalism, 3D Platformer, Souls-like, Economy, Action Roguelike</t>
  </si>
  <si>
    <t xml:space="preserve">Caravan Sandwitch, Metal Slug Tactics, </t>
  </si>
  <si>
    <t>New publisher by previous Merge Games Director and team. Recently they acquired most of the merge games catalogue.</t>
  </si>
  <si>
    <t>Aquila interactive</t>
  </si>
  <si>
    <t>https://aquilainteractive.io/</t>
  </si>
  <si>
    <t>Vilius Lampickas</t>
  </si>
  <si>
    <t>https://store.steampowered.com/publisher/AquilaInteractive</t>
  </si>
  <si>
    <t>https://gamalytic.com/publisher/Aquila%20Interactive</t>
  </si>
  <si>
    <t>Management, Economy, Capitalism, City Builder, Resource Management, Tower Defense, Roguelite</t>
  </si>
  <si>
    <t>Focus on strategy, management, tactical games</t>
  </si>
  <si>
    <t>Dear Villagers</t>
  </si>
  <si>
    <t>https://dearvillagers.com/</t>
  </si>
  <si>
    <t>https://dearvillagers.com/pitch-your-game-form/</t>
  </si>
  <si>
    <r>
      <rPr>
        <rFont val="Calibri"/>
        <color rgb="FF1155CC"/>
        <u/>
      </rPr>
      <t>Gwenaëlle Wozniak</t>
    </r>
    <r>
      <rPr>
        <rFont val="Calibri"/>
      </rPr>
      <t xml:space="preserve">, </t>
    </r>
    <r>
      <rPr>
        <rFont val="Calibri"/>
        <color rgb="FF1155CC"/>
        <u/>
      </rPr>
      <t>Stanislas Jun Peyrat</t>
    </r>
  </si>
  <si>
    <t>https://store.steampowered.com/publisher/Dear-Villagers</t>
  </si>
  <si>
    <t>https://gamalytic.com/publisher/Dear%20Villagers</t>
  </si>
  <si>
    <t>19K</t>
  </si>
  <si>
    <t>75</t>
  </si>
  <si>
    <t>Mar 2016</t>
  </si>
  <si>
    <t>Action-Adventure, Platformer, Roguelite, Sandbox, Dungeon Crawler, 2D Platformer, Turn-Based Tactics, Puzzle, Visual Novel</t>
  </si>
  <si>
    <t>Fabledom, Forgotten City, Dungeon of Naheulbeuk, Edge of Eternity</t>
  </si>
  <si>
    <t>Publishing label from Plug In Digital with a focus on memorable single player experiences</t>
  </si>
  <si>
    <t>Wired Productions</t>
  </si>
  <si>
    <t>https://wiredproductions.com/</t>
  </si>
  <si>
    <r>
      <rPr>
        <rFont val="Calibri"/>
        <color rgb="FF1155CC"/>
        <u/>
      </rPr>
      <t>Ibrahim Yildirim</t>
    </r>
    <r>
      <rPr>
        <rFont val="Calibri"/>
        <color rgb="FF000000"/>
        <u/>
      </rPr>
      <t xml:space="preserve">, </t>
    </r>
    <r>
      <rPr>
        <rFont val="Calibri"/>
        <color rgb="FF1155CC"/>
        <u/>
      </rPr>
      <t>Ilker Ergen</t>
    </r>
  </si>
  <si>
    <t>https://wiredproductions.com/contact/</t>
  </si>
  <si>
    <r>
      <rPr>
        <rFont val="Calibri"/>
        <color rgb="FF1155CC"/>
        <u/>
      </rPr>
      <t>Ibrahim Yildirim</t>
    </r>
    <r>
      <rPr>
        <rFont val="Calibri"/>
        <color rgb="FF000000"/>
        <u/>
      </rPr>
      <t xml:space="preserve">, </t>
    </r>
    <r>
      <rPr>
        <rFont val="Calibri"/>
        <color rgb="FF1155CC"/>
        <u/>
      </rPr>
      <t>Ilker Ergen</t>
    </r>
  </si>
  <si>
    <t>Kevin Leathers</t>
  </si>
  <si>
    <t>https://store.steampowered.com/publisher/WIRED</t>
  </si>
  <si>
    <t>https://gamalytic.com/publisher/Wired%20Productions</t>
  </si>
  <si>
    <t>Horror, Psychological Horror, Arcade, Management, Sandbox, Walking Simulator, City Builder, Driving, Automobile Sim</t>
  </si>
  <si>
    <t>Deliver us the Moon, GRIP, Martha Is Dead, KARMA: The Dark World, Arcade Paradise</t>
  </si>
  <si>
    <t>With a focus on  mature / horror story-driven, music based themes or gameplay and PC management titles. Their maximum is £500K</t>
  </si>
  <si>
    <t>Herocraft</t>
  </si>
  <si>
    <t>Russia</t>
  </si>
  <si>
    <t>https://www.herocraft.com/</t>
  </si>
  <si>
    <t>https://www.herocraft.com/release/pc/</t>
  </si>
  <si>
    <t>Vasiliy Tedeev</t>
  </si>
  <si>
    <t>https://store.steampowered.com/publisher/HeroCraft_PC</t>
  </si>
  <si>
    <t>https://gamalytic.com/publisher/HeroCraft%20PC</t>
  </si>
  <si>
    <r>
      <rPr>
        <rFont val="Calibri"/>
        <color rgb="FF1155CC"/>
        <sz val="10.0"/>
        <u/>
      </rPr>
      <t>Robin Cederholm</t>
    </r>
    <r>
      <rPr>
        <rFont val="Calibri"/>
        <sz val="10.0"/>
      </rPr>
      <t xml:space="preserve">, </t>
    </r>
    <r>
      <rPr>
        <rFont val="Calibri"/>
        <color rgb="FF1155CC"/>
        <sz val="10.0"/>
        <u/>
      </rPr>
      <t>Sandra Neudinger</t>
    </r>
  </si>
  <si>
    <t>Management, Action RPG, Open World, Base Building, Colony Sim, Turn-Based Strategy, Football (Soccer), Crafting, Point &amp; Click, Co-op</t>
  </si>
  <si>
    <t>Tempest, Anvil Saga</t>
  </si>
  <si>
    <t>Double Eleven</t>
  </si>
  <si>
    <t>https://double11.com</t>
  </si>
  <si>
    <t>https://double11.com/contact-us</t>
  </si>
  <si>
    <t>Kristen Cummins</t>
  </si>
  <si>
    <t>https://store.steampowered.com/curator/41245051-Double-Eleven-Official/</t>
  </si>
  <si>
    <t>https://gamalytic.com/publisher/Double%20Eleven</t>
  </si>
  <si>
    <t>Aug 2013</t>
  </si>
  <si>
    <t>Co-op, Twin Stick Shooter, Tower Defense, Puzzle, Shooter, Action RPG, Open World, Roguelike, Hack and Slash</t>
  </si>
  <si>
    <t>Pixeljunk, Songbringer</t>
  </si>
  <si>
    <t>Developer first, and have now started publishing.</t>
  </si>
  <si>
    <t>Crunching Koalas</t>
  </si>
  <si>
    <t>http://crunchingkoalas.com/</t>
  </si>
  <si>
    <t>publishing@crunchingkoalas.com</t>
  </si>
  <si>
    <t>https://store.steampowered.com/publisher/CrunchingKoalas</t>
  </si>
  <si>
    <t>https://gamalytic.com/publisher/Crunching%20Koalas</t>
  </si>
  <si>
    <t>Platformer, Souls-like, Puzzle, Interactive Fiction, Stealth, Action RPG, Hack and Slash, Turn-Based Combat, Action-Adventure, Turn-Based Tactics</t>
  </si>
  <si>
    <t>Butcher, Once upon a Jester</t>
  </si>
  <si>
    <t>Low-budget publisher that tend to publish small games</t>
  </si>
  <si>
    <t>PQube</t>
  </si>
  <si>
    <t>https://pqube.co.uk/</t>
  </si>
  <si>
    <t>https://pqube.co.uk/submit-a-game/</t>
  </si>
  <si>
    <t>Ariel Pai</t>
  </si>
  <si>
    <t>https://store.steampowered.com/publisher/PQube</t>
  </si>
  <si>
    <t>https://gamalytic.com/publisher/PQube</t>
  </si>
  <si>
    <t>Visual Novel, Dating Sim, Puzzle, JRPG, Survival Horror, Horror, Psychological Horror, On-Rails Shooter, Shooter, FPS</t>
  </si>
  <si>
    <t>Gal*Gun, White Day, Tormented Souls, Potion Permit, Discounty</t>
  </si>
  <si>
    <t>They publish a lot of small indie titles. There were news of them applying for a diversity grant on behalf of developers and not giving it to them. Typically capping investment in new partners at 200K $</t>
  </si>
  <si>
    <t>Assemble Entertainment</t>
  </si>
  <si>
    <t>https://lnk.bio/AssembleEntertainment</t>
  </si>
  <si>
    <t>pitch@assembleteam.com</t>
  </si>
  <si>
    <t>Jerome Zenker</t>
  </si>
  <si>
    <t>https://store.steampowered.com/publisher/AssembleEntertainment</t>
  </si>
  <si>
    <t>https://gamalytic.com/publisher/Assemble%20Entertainment</t>
  </si>
  <si>
    <t>Feb 2009</t>
  </si>
  <si>
    <t>Point &amp; Click, City Builder, Puzzle, Survival, Platformer, Colony Sim, Interactive Fiction, Management, Base Building, Sandbox</t>
  </si>
  <si>
    <t>Far: Lone Sails, Endzone, Roadwarden</t>
  </si>
  <si>
    <t xml:space="preserve">Talked to several (ex-)devs after being apporached by Assemble: Common denominator was that they offer little money and poor shares (can confirm), do only minimal marketing and produce amateurish trailers in-house (e.g. they created a story driven "mystery" trailer for a fast paced arcade shooter). Devs had to do their own marketing and produce their own trailers as they weren't happy with Publishers efforts. Lawyers had to be called in before all contractual obligations were met. </t>
  </si>
  <si>
    <t>Pantaloon</t>
  </si>
  <si>
    <t>https://www.pantaloon.io/games</t>
  </si>
  <si>
    <t>pitch@pantaloon.io</t>
  </si>
  <si>
    <t>Jamin Smith</t>
  </si>
  <si>
    <t>https://store.steampowered.com/publisher/Pantaloon?action=follow</t>
  </si>
  <si>
    <t>Jun 2022</t>
  </si>
  <si>
    <t>Occlude</t>
  </si>
  <si>
    <t xml:space="preserve">Pantaloon’s mission is simple: to offer a pedestal to the bold and bizarre, and create a home for misfits. </t>
  </si>
  <si>
    <t>Mystic Forge</t>
  </si>
  <si>
    <r>
      <rPr>
        <rFont val="Calibri"/>
        <color rgb="FF1155CC"/>
        <u/>
      </rPr>
      <t>https://www.mysticforge.com/</t>
    </r>
    <r>
      <rPr>
        <rFont val="Calibri"/>
      </rPr>
      <t xml:space="preserve"> </t>
    </r>
  </si>
  <si>
    <t>pitch@mysticforge.com</t>
  </si>
  <si>
    <r>
      <rPr>
        <rFont val="Calibri"/>
        <color rgb="FF1155CC"/>
        <u/>
      </rPr>
      <t>Joris B. Kok</t>
    </r>
    <r>
      <rPr>
        <rFont val="Calibri"/>
      </rPr>
      <t xml:space="preserve"> </t>
    </r>
    <r>
      <rPr>
        <rFont val="Calibri"/>
        <color rgb="FF1155CC"/>
        <u/>
      </rPr>
      <t>Randy Greenback</t>
    </r>
  </si>
  <si>
    <t>https://store.steampowered.com/developer/MysticForge</t>
  </si>
  <si>
    <t>https://gamalytic.com/publisher/Mystic%20Forge</t>
  </si>
  <si>
    <t>Roguelike Deckbuilder, Roguelike, Dice, Card Game, Deckbuilding, Roguelite, Procedural Generation, Auto Battler, Base Building</t>
  </si>
  <si>
    <t>Mystic Forge is a new boutique indie game publisher specializing in strategy, simulation, and RPG games for PC. Inspired by the legendary blacksmiths of lore, Mystic Forge is dedicated to bringing ideas to life through passion, creativity, and a bit of magic. Founded by seasoned industry veterans who bring with them a wealth of experience and a proven track record of creating and launching successful games, Mystic Forge aims to make a significant impact in the indie gaming landscape.</t>
  </si>
  <si>
    <t>Untold Tales</t>
  </si>
  <si>
    <t>https://untoldtales.games/</t>
  </si>
  <si>
    <r>
      <rPr>
        <rFont val="Calibri"/>
        <color rgb="FF1155CC"/>
        <u/>
      </rPr>
      <t>Gwenaëlle Wozniak</t>
    </r>
    <r>
      <rPr>
        <rFont val="Calibri"/>
      </rPr>
      <t xml:space="preserve">, </t>
    </r>
    <r>
      <rPr>
        <rFont val="Calibri"/>
        <color rgb="FF1155CC"/>
        <u/>
      </rPr>
      <t>Stanislas Jun Peyrat</t>
    </r>
  </si>
  <si>
    <t>publisher@untoldtales.games</t>
  </si>
  <si>
    <t>Pawel Skaba</t>
  </si>
  <si>
    <t>https://store.steampowered.com/publisher/untoldtales</t>
  </si>
  <si>
    <t>https://gamalytic.com/publisher/Untold%20Tales</t>
  </si>
  <si>
    <t>Jun 2014</t>
  </si>
  <si>
    <t>Co-op, Puzzle, Arcade, Puzzle Platformer, Open World, Economy, Top-Down Shooter, Resource Management, Base Building</t>
  </si>
  <si>
    <t>Bang-on Balls: Chronicles, Everdream Valley, THE CUB, Golf Club Nostalgia, BOTI: Byteland Overclocked</t>
  </si>
  <si>
    <t xml:space="preserve">We are Untold Tales, an indie game publisher that aims to deliver fun and entertaining games that are built around interesting stories. The type of experiences that deliver remarkable joy and narrative to players, be it on PC and consoles. We are one-stop-shop offering financing, publishing, marketing, QA/LQA/CQA, porting, localization-support etc. </t>
  </si>
  <si>
    <t>Erabit</t>
  </si>
  <si>
    <t>Singapore, China, USA</t>
  </si>
  <si>
    <t>http://erabitstudios.com/</t>
  </si>
  <si>
    <t>hello@erabitstudios.com</t>
  </si>
  <si>
    <t>Daisy Suo</t>
  </si>
  <si>
    <r>
      <rPr>
        <rFont val="Calibri"/>
        <color rgb="FF1155CC"/>
        <sz val="10.0"/>
        <u/>
      </rPr>
      <t>https://store.steampowered.com/publisher/Erabit/</t>
    </r>
    <r>
      <rPr>
        <rFont val="Calibri"/>
        <sz val="10.0"/>
      </rPr>
      <t>/</t>
    </r>
  </si>
  <si>
    <t>https://gamalytic.com/publisher/Erabit</t>
  </si>
  <si>
    <t>Feb 2015</t>
  </si>
  <si>
    <t>Roguelike, Roguelite, Immersive Sim, Action Roguelike, Tower Defense, Top-Down Shooter, Management, Visual Novel, Deckbuilding, Shop Keeper</t>
  </si>
  <si>
    <t>Brotato, 20 Minutes Till Dawn</t>
  </si>
  <si>
    <t>Dedicated to supporting solo developers and small teams in bringing their game ideas to life. Well established in Asia and have expertise in Greater China Publishing and Porting</t>
  </si>
  <si>
    <t>Akupara Games</t>
  </si>
  <si>
    <t>https://www.akuparagames.com/</t>
  </si>
  <si>
    <t>https://www.akuparagames.com/contact-us/</t>
  </si>
  <si>
    <r>
      <rPr>
        <rFont val="Calibri"/>
        <color rgb="FF1155CC"/>
        <u/>
      </rPr>
      <t>David Logan</t>
    </r>
    <r>
      <rPr>
        <rFont val="Calibri"/>
        <color rgb="FF000000"/>
        <u/>
      </rPr>
      <t>/Alejandra Gudiel</t>
    </r>
  </si>
  <si>
    <t>https://store.steampowered.com/publisher/akuparagames</t>
  </si>
  <si>
    <t>https://gamalytic.com/publisher/Akupara%20Games</t>
  </si>
  <si>
    <t>Platformer, Survival, Point &amp; Click, Puzzle, Action-Adventure, Metroidvania, Roguelike Deckbuilder, Open World, Card Game</t>
  </si>
  <si>
    <t>Rain World, Behind the Frame, The Darkside detective</t>
  </si>
  <si>
    <t>Generally fund games in the $100k range, $200k max. Currently focused on narrative and horror games</t>
  </si>
  <si>
    <t>Outright Games</t>
  </si>
  <si>
    <t>https://outrightgames.com/</t>
  </si>
  <si>
    <t>https://outrightgames.com/contact/</t>
  </si>
  <si>
    <t>Dan McCreadie</t>
  </si>
  <si>
    <t>https://store.steampowered.com/publisher/outrightgames</t>
  </si>
  <si>
    <t>https://gamalytic.com/publisher/Outright%20Games%20Ltd.</t>
  </si>
  <si>
    <t>Nov 2017</t>
  </si>
  <si>
    <t>Action-Adventure, Platformer, 3D Platformer, Co-op, Sandbox, Open World, Driving</t>
  </si>
  <si>
    <t>My Friend Peppa Pig, Transformers, Paw patrol</t>
  </si>
  <si>
    <t>They were developers who have started looking into publishing. They solely focus on family-friendly games.</t>
  </si>
  <si>
    <t>101XP</t>
  </si>
  <si>
    <t>https://en.101xp.com/</t>
  </si>
  <si>
    <t>https://corp.101xp.com/publishing</t>
  </si>
  <si>
    <t>Vasiliy Vasilchenko</t>
  </si>
  <si>
    <t>https://store.steampowered.com/publisher/101xp</t>
  </si>
  <si>
    <t>https://gamalytic.com/publisher/101XP</t>
  </si>
  <si>
    <t>Oct 2017</t>
  </si>
  <si>
    <t>Visual Novel, Choose Your Own Adventure, Interactive Fiction, Text-Based, Life Sim, Political Sim, Survival, Management, Action-Adventure, Action Roguelike</t>
  </si>
  <si>
    <t>FatalZone, The Life and Suffering of Sir Brante, For the People, The Darkest Tales</t>
  </si>
  <si>
    <t>They publish very different games but have the team that can learn any genre very well. They provide publishing, marketing, localization, QA, influencers and streamers support, PR, analytics and more. Reach out to the link or directly to v.vasilchenko@corp.101xp.com (note that you came from this doc)</t>
  </si>
  <si>
    <t>Anshar Publishing</t>
  </si>
  <si>
    <t>http://ansharpublishing.com</t>
  </si>
  <si>
    <t>office@ansharpublishing.com</t>
  </si>
  <si>
    <t>https://www.linkedin.com/in/jakub-kwinta</t>
  </si>
  <si>
    <t>https://store.steampowered.com/publisher/AnsharPublishing</t>
  </si>
  <si>
    <t>https://gamalytic.com/publisher/Anshar%20Publishing</t>
  </si>
  <si>
    <t>Hack and Slash, Cleaning, Turn-Based Combat, Action RPG, Roguelite, Roguelike, Arcade, Flight</t>
  </si>
  <si>
    <t>Gamedec, Zoria: Age of Shattering</t>
  </si>
  <si>
    <t xml:space="preserve">Indie Games publisher for all platforms and regions, focused on systemic narrative games. </t>
  </si>
  <si>
    <t>1312 Interactive</t>
  </si>
  <si>
    <t>India</t>
  </si>
  <si>
    <t>https://1312interactive.com/</t>
  </si>
  <si>
    <t>ravi@1312interactive.com</t>
  </si>
  <si>
    <t>https://store.steampowered.com/curator/45877783</t>
  </si>
  <si>
    <t>https://gamalytic.com/publisher/1312%20Interactive</t>
  </si>
  <si>
    <t>Whitethorn Games</t>
  </si>
  <si>
    <t>https://whitethorngames.com/</t>
  </si>
  <si>
    <t>hello@whitethorngames.com</t>
  </si>
  <si>
    <t>Brian Wilson</t>
  </si>
  <si>
    <t>https://store.steampowered.com/publisher/whitethorngames</t>
  </si>
  <si>
    <t>https://gamalytic.com/publisher/Whitethorn%20Games</t>
  </si>
  <si>
    <t>Open World, Walking Simulator, Puzzle, Immersive Sim, Sandbox, Management, Choose Your Own Adventure, Platformer</t>
  </si>
  <si>
    <t>Wytchwood, Apico, Lake</t>
  </si>
  <si>
    <t>Cozy game publisher with a focus on transparency</t>
  </si>
  <si>
    <t>NoodleCake</t>
  </si>
  <si>
    <t>https://noodlecake.com/</t>
  </si>
  <si>
    <t>https://noodlecake.com/publishing/</t>
  </si>
  <si>
    <t>publishing@noodlecake.com</t>
  </si>
  <si>
    <r>
      <rPr>
        <rFont val="Calibri"/>
        <color rgb="FF1155CC"/>
        <sz val="10.0"/>
        <u/>
      </rPr>
      <t>Bo Dong</t>
    </r>
    <r>
      <rPr>
        <rFont val="Calibri"/>
        <sz val="10.0"/>
      </rPr>
      <t xml:space="preserve">, </t>
    </r>
    <r>
      <rPr>
        <rFont val="Calibri"/>
        <color rgb="FF1155CC"/>
        <sz val="10.0"/>
        <u/>
      </rPr>
      <t>Kay-Lynne Fehr</t>
    </r>
    <r>
      <rPr>
        <rFont val="Calibri"/>
        <sz val="10.0"/>
      </rPr>
      <t xml:space="preserve">, </t>
    </r>
    <r>
      <rPr>
        <rFont val="Calibri"/>
        <color rgb="FF1155CC"/>
        <sz val="10.0"/>
        <u/>
      </rPr>
      <t>Ryan Holowaty</t>
    </r>
  </si>
  <si>
    <t>https://store.steampowered.com/publisher/NOODLECAKE</t>
  </si>
  <si>
    <t>https://gamalytic.com/publisher/Noodlecake</t>
  </si>
  <si>
    <t>Rhythm, Co-op, Looter Shooter, Crafting, Dungeon Crawler, Survival, Action-Adventure, Procedural Generation, Immersive Sim</t>
  </si>
  <si>
    <t>Alto's Adventure, Soundfall, Nuts</t>
  </si>
  <si>
    <t>They also do mobile publishing. PC is not their strength</t>
  </si>
  <si>
    <r>
      <rPr>
        <rFont val="Calibri"/>
        <color rgb="FF1155CC"/>
        <u/>
      </rPr>
      <t>https://www.mysticforge.com/</t>
    </r>
    <r>
      <rPr>
        <rFont val="Calibri"/>
      </rPr>
      <t xml:space="preserve"> </t>
    </r>
  </si>
  <si>
    <t>Microids</t>
  </si>
  <si>
    <t>https://www.microids.com/</t>
  </si>
  <si>
    <t>https://www.microids.com/contact/</t>
  </si>
  <si>
    <r>
      <rPr>
        <rFont val="Calibri"/>
        <color rgb="FF1155CC"/>
        <u/>
      </rPr>
      <t>Joris B. Kok</t>
    </r>
    <r>
      <rPr>
        <rFont val="Calibri"/>
      </rPr>
      <t xml:space="preserve"> </t>
    </r>
    <r>
      <rPr>
        <rFont val="Calibri"/>
        <color rgb="FF1155CC"/>
        <u/>
      </rPr>
      <t>Randy Greenback</t>
    </r>
  </si>
  <si>
    <t>Alain Milly</t>
  </si>
  <si>
    <t>https://store.steampowered.com/publisher/microids</t>
  </si>
  <si>
    <t>https://gamalytic.com/publisher/Microids</t>
  </si>
  <si>
    <t>May 2011</t>
  </si>
  <si>
    <t>Point &amp; Click, Puzzle, Arcade, PvP, Action-Adventure, Hidden Object, Platformer, Visual Novel, Investigation</t>
  </si>
  <si>
    <t>Home Design 3D, Syberia</t>
  </si>
  <si>
    <t>First Break Labs</t>
  </si>
  <si>
    <t>https://firstbreaklabs.com/</t>
  </si>
  <si>
    <t>contact@firstbreaklabs.com</t>
  </si>
  <si>
    <t>Alfonso Cubias</t>
  </si>
  <si>
    <t>https://store.steampowered.com/developer/FirstBreakLabs</t>
  </si>
  <si>
    <t>https://gamalytic.com/publisher/First%20Break%20Labs</t>
  </si>
  <si>
    <t>Action Roguelike, Co-op, Bullet Heaven, Twin Stick Shooter, Hack and Slash, Bullet Hell, Turn-Based Tactics, Arcade, Roguelite, Wargame</t>
  </si>
  <si>
    <t>Graffiti Games</t>
  </si>
  <si>
    <t>https://www.graffitigames.com/</t>
  </si>
  <si>
    <t>https://www.graffitigames.com/contact/pitch-your-game</t>
  </si>
  <si>
    <t>Andy Messner</t>
  </si>
  <si>
    <t>https://store.steampowered.com/publisher/graffiti</t>
  </si>
  <si>
    <r>
      <rPr>
        <rFont val="Calibri"/>
        <color rgb="FF1155CC"/>
        <sz val="10.0"/>
        <u/>
      </rPr>
      <t>https://store.steampowered.com/publisher/Erabit/</t>
    </r>
    <r>
      <rPr>
        <rFont val="Calibri"/>
        <sz val="10.0"/>
      </rPr>
      <t>/</t>
    </r>
  </si>
  <si>
    <t>https://gamalytic.com/publisher/Graffiti%20Games</t>
  </si>
  <si>
    <t>Oct 2018</t>
  </si>
  <si>
    <t>Platformer, Metroidvania, 3D Platformer, Puzzle, Action-Adventure, Psychological Horror, Hack and Slash, Parkour, Precision Platformer, Action RPG</t>
  </si>
  <si>
    <t>Turnip boy commits tax evasion, Elderand, Cyberhook</t>
  </si>
  <si>
    <t>Ultimate Games S.A</t>
  </si>
  <si>
    <t>https://ultimate-games.com/</t>
  </si>
  <si>
    <t>https://ultimate-games.com/kontakt/</t>
  </si>
  <si>
    <t>https://store.steampowered.com/publisher/ultimategames</t>
  </si>
  <si>
    <t>https://gamalytic.com/publisher/Ultimate%20Games%20S.A.</t>
  </si>
  <si>
    <t>Jun 2015</t>
  </si>
  <si>
    <r>
      <rPr>
        <rFont val="Calibri"/>
        <color rgb="FF1155CC"/>
        <u/>
      </rPr>
      <t>David Logan</t>
    </r>
    <r>
      <rPr>
        <rFont val="Calibri"/>
        <color rgb="FF000000"/>
        <u/>
      </rPr>
      <t>/Alejandra Gudiel</t>
    </r>
  </si>
  <si>
    <t>Immersive Sim, Fishing, Life Sim, Co-op, Time Management, FPS, Economy</t>
  </si>
  <si>
    <t>Ultimate Fishing Simulator, Electrician Simulator, Priest Simulator</t>
  </si>
  <si>
    <t>They mostly publish fishing/hunting games or other types of simulations</t>
  </si>
  <si>
    <t>SOEDESCO</t>
  </si>
  <si>
    <t>https://www.soedesco.com/</t>
  </si>
  <si>
    <t>https://www.soedesco.com/contact</t>
  </si>
  <si>
    <t>https://store.steampowered.com/publisher/soedesco</t>
  </si>
  <si>
    <t>https://gamalytic.com/publisher/SOEDESCO</t>
  </si>
  <si>
    <t>Aug 2015</t>
  </si>
  <si>
    <t>Horror, Open World, Puzzle, Farming Sim, Psychological Horror, Action-Adventure, Turn-Based Combat, JRPG, Collectathon</t>
  </si>
  <si>
    <t>Perennial Order, Kaze and The Wild Masks, Monster Crown, Wuppo: Definitive Edition</t>
  </si>
  <si>
    <t>Netherlands based, bad communication. Helps with porting, localization, QA, events. Open to many genres.</t>
  </si>
  <si>
    <t>ARTE</t>
  </si>
  <si>
    <t>France, USA</t>
  </si>
  <si>
    <t>https://arte.tv/videogames</t>
  </si>
  <si>
    <t>https://projets.arte.tv/en</t>
  </si>
  <si>
    <t>arte-experience@artefrance.fr</t>
  </si>
  <si>
    <t>Adrien Larouzee</t>
  </si>
  <si>
    <t>https://store.steampowered.com/publisher/Arte</t>
  </si>
  <si>
    <t>https://gamalytic.com/publisher/ARTE%20France</t>
  </si>
  <si>
    <t>Feb 2010</t>
  </si>
  <si>
    <t>Puzzle, Interactive Fiction, Point &amp; Click, Text-Based, Choose Your Own Adventure, Platformer, Puzzle Platformer, Visual Novel, Hidden Object, Logic</t>
  </si>
  <si>
    <t>A Fisherman's Tale, Type:Rider, Vectronom, Gloomy Eyes, To Hell with the Ugly, Homo Machina...</t>
  </si>
  <si>
    <t xml:space="preserve">[Submissions by e-mail or post will no longer be considered.] Digital Cultural Network (arte.tv) - support european "author games" - new PC/Console strategy after years of mobile games. Looking for accessible games with strong art direction and original gameplay </t>
  </si>
  <si>
    <t>Troglobytes Games</t>
  </si>
  <si>
    <t>https://troglobytesgames.com/</t>
  </si>
  <si>
    <t>saverio@troglobytesgames.com</t>
  </si>
  <si>
    <t>Saverio Caporusso</t>
  </si>
  <si>
    <t>https://store.steampowered.com/developer/Troglobytes</t>
  </si>
  <si>
    <t>https://gamalytic.com/publisher/Troglobytes%20Games</t>
  </si>
  <si>
    <t>Apr 2024</t>
  </si>
  <si>
    <t>Incremental, Economy, Mining, Arcade</t>
  </si>
  <si>
    <t>Ravenous Devils</t>
  </si>
  <si>
    <t>Indie Publisher focused on ready-to-market games but also porting PC games to all console Platforms. Marketing, Localization and distribution.</t>
  </si>
  <si>
    <t>RockGame</t>
  </si>
  <si>
    <t>https://rockgame.pl/</t>
  </si>
  <si>
    <t>contact@rockgame.pl / daniel@rockgame.pl</t>
  </si>
  <si>
    <t>Daniel Kulaszewicz</t>
  </si>
  <si>
    <t>https://store.steampowered.com/publisher/RockGame</t>
  </si>
  <si>
    <t>https://gamalytic.com/publisher/RockGame%20S.A.</t>
  </si>
  <si>
    <t>Apr 2020</t>
  </si>
  <si>
    <t>Management, Economy, Sandbox, Resource Management, City Builder, Crafting, Open World, Survival, Life Sim, Base Building</t>
  </si>
  <si>
    <t>Urbek City Builder, Cafe Owner Simulator, Scrapnaut, Technicity, Destructure Among Debris</t>
  </si>
  <si>
    <t>indie.io</t>
  </si>
  <si>
    <t>https://www.indie.io</t>
  </si>
  <si>
    <t>https://www.indie.io/signup</t>
  </si>
  <si>
    <r>
      <rPr>
        <rFont val="Calibri"/>
        <color rgb="FF1155CC"/>
        <u/>
      </rPr>
      <t>Donovan Duncan</t>
    </r>
    <r>
      <rPr>
        <rFont val="Calibri"/>
      </rPr>
      <t xml:space="preserve">, </t>
    </r>
    <r>
      <rPr>
        <rFont val="Calibri"/>
        <color rgb="FF1155CC"/>
        <u/>
      </rPr>
      <t>Ben Robinson</t>
    </r>
  </si>
  <si>
    <t>https://store.steampowered.com/franchise/indieio</t>
  </si>
  <si>
    <t>https://gamalytic.com/publisher/indie.io</t>
  </si>
  <si>
    <t>32K</t>
  </si>
  <si>
    <t>Survival, Base Building, Management, Open World, Sandbox, Roguelite, JRPG, Crafting, Turn-Based Combat, Action RPG</t>
  </si>
  <si>
    <t>Symphony of War, Coromon, HumanitZ, Echoes of the Plum Grove, Airborne Kingdom</t>
  </si>
  <si>
    <t>Formerly Freedom Games. They release games at a much faster rate than other publishers, and most released games have low numbers of reviews/sales.</t>
  </si>
  <si>
    <t>Blowfish Studios</t>
  </si>
  <si>
    <t>https://www.blowfishstudios.com/</t>
  </si>
  <si>
    <t>publishing@blowfishstudios.com</t>
  </si>
  <si>
    <t>https://store.steampowered.com/publisher/blowfishstudios</t>
  </si>
  <si>
    <t>https://gamalytic.com/publisher/Blowfish%20Studios</t>
  </si>
  <si>
    <t>Point &amp; Click, Puzzle, FPS, Shooter, Survival, Sandbox, Action-Adventure, Space Sim, Strategy RPG, Action RPG</t>
  </si>
  <si>
    <t>Nine Witches, Katie in Mewmewland</t>
  </si>
  <si>
    <t>GrabTheGames</t>
  </si>
  <si>
    <t>https://www.grabthegames.com/</t>
  </si>
  <si>
    <t>Rafal@GrabTheGames.com</t>
  </si>
  <si>
    <t>https://store.steampowered.com/publisher/GrabTheGames</t>
  </si>
  <si>
    <t>https://gamalytic.com/publisher/GrabTheGames</t>
  </si>
  <si>
    <r>
      <rPr>
        <rFont val="Calibri"/>
        <color rgb="FF1155CC"/>
        <sz val="10.0"/>
        <u/>
      </rPr>
      <t>Bo Dong</t>
    </r>
    <r>
      <rPr>
        <rFont val="Calibri"/>
        <sz val="10.0"/>
      </rPr>
      <t xml:space="preserve">, </t>
    </r>
    <r>
      <rPr>
        <rFont val="Calibri"/>
        <color rgb="FF1155CC"/>
        <sz val="10.0"/>
        <u/>
      </rPr>
      <t>Kay-Lynne Fehr</t>
    </r>
    <r>
      <rPr>
        <rFont val="Calibri"/>
        <sz val="10.0"/>
      </rPr>
      <t xml:space="preserve">, </t>
    </r>
    <r>
      <rPr>
        <rFont val="Calibri"/>
        <color rgb="FF1155CC"/>
        <sz val="10.0"/>
        <u/>
      </rPr>
      <t>Ryan Holowaty</t>
    </r>
  </si>
  <si>
    <t>37K</t>
  </si>
  <si>
    <t>Management, Co-op, Base Building, Sandbox, Puzzle, Roguelite, Resource Management, Cooking, Crafting</t>
  </si>
  <si>
    <t>Oxygen, Gladiator Guild Manager, Garbage</t>
  </si>
  <si>
    <t>Used to do giveaways, now they are a publisher for PC games. They also have partners to port and publish games to consoles. Seems it doesn't have genre preference.</t>
  </si>
  <si>
    <t>Nuntius Games</t>
  </si>
  <si>
    <t>Brazil</t>
  </si>
  <si>
    <t>https://nuntiusgames.com/</t>
  </si>
  <si>
    <t>pitch@nuntiusgames.com</t>
  </si>
  <si>
    <t>https://store.steampowered.com/publisher/nuntiusgames/</t>
  </si>
  <si>
    <t>https://gamalytic.com/publisher/Nuntius%20Games</t>
  </si>
  <si>
    <t>Nov 2020</t>
  </si>
  <si>
    <t>Co-op, Hack and Slash, Action Roguelike, Bullet Heaven, Bullet Hell, Horror, Survival Horror, Psychological Horror, Creature Collector, Roguelite</t>
  </si>
  <si>
    <t>Focused on Brazilian games</t>
  </si>
  <si>
    <t>Forever Entertainment</t>
  </si>
  <si>
    <t>https://forever-entertainment.com</t>
  </si>
  <si>
    <t>office@forever-entertainment.com</t>
  </si>
  <si>
    <t>Dominika Chylińska</t>
  </si>
  <si>
    <t>https://store.steampowered.com/publisher/foreverentert</t>
  </si>
  <si>
    <t>https://gamalytic.com/publisher/Forever%20Entertainment%20S.%20A.</t>
  </si>
  <si>
    <t>Arcade, Puzzle, Horror, On-Rails Shooter, Point &amp; Click, Shooter, Turn-Based Tactics, Turn-Based Strategy, Management</t>
  </si>
  <si>
    <t>Timberman, Blacksmith Hit</t>
  </si>
  <si>
    <t>Toge Productions</t>
  </si>
  <si>
    <t>Indonesia</t>
  </si>
  <si>
    <t>https://www.togeproductions.com</t>
  </si>
  <si>
    <t>https://docs.google.com/presentation/d/1bWWQTIaMJ1Rc39ttsoz7sgeWPY7MmlzuVHGw22VTRPg/edit#slide=id.p</t>
  </si>
  <si>
    <t>info@togeproductions.com</t>
  </si>
  <si>
    <t>Kris Antoni Hadiputra</t>
  </si>
  <si>
    <t>https://store.steampowered.com/publisher/togeproductions</t>
  </si>
  <si>
    <t>https://gamalytic.com/publisher/Toge%20Productions</t>
  </si>
  <si>
    <t>Visual Novel, Interactive Fiction, Puzzle, Hidden Object, Horror, Action Roguelike, Point &amp; Click</t>
  </si>
  <si>
    <t>Coffee Talk, A Space for the Unbound</t>
  </si>
  <si>
    <t>They have published many pixel graphics games. They also have a Toge Game Fund Initiative where they give grants of $10K.</t>
  </si>
  <si>
    <t>Judatone Studios</t>
  </si>
  <si>
    <t>https://judatone.com/</t>
  </si>
  <si>
    <t>INFO@JUDATONESTUDIOS.COM</t>
  </si>
  <si>
    <t>Antonio Assenza</t>
  </si>
  <si>
    <t>https://store.steampowered.com/search/?publisher=Judatone+Studios</t>
  </si>
  <si>
    <t>https://gamalytic.com/publisher/Judatone%20Studios</t>
  </si>
  <si>
    <t>Co-op, Horror, Puzzle, Procedural Generation, 2.5D, Psychological Horror, Automation</t>
  </si>
  <si>
    <t>Mashina, Nova Patria, Last Pirates Die Togeter</t>
  </si>
  <si>
    <t>New indie publisher focused on solo-developers and small indie teams for games releasing in the next 12 months on PC. Lead by former tinyBuild veteran. Not offering dev funding.</t>
  </si>
  <si>
    <t>Selecta Play</t>
  </si>
  <si>
    <t>https://selecta-play.com/en/</t>
  </si>
  <si>
    <t>publishing@selecta-play.com</t>
  </si>
  <si>
    <t>Javier Puertas</t>
  </si>
  <si>
    <t>https://store.steampowered.com/publisher/SelectaPlay</t>
  </si>
  <si>
    <t>https://gamalytic.com/publisher/Selecta%20Play</t>
  </si>
  <si>
    <t>Psychological Horror, Walking Simulator, Puzzle, Action-Adventure, Horror, Platformer, 2D Platformer, Beat 'em up, Arcade, Metroidvania</t>
  </si>
  <si>
    <t>Terrifier, Luto, Morkull</t>
  </si>
  <si>
    <t xml:space="preserve">All genres. Budget less than $250k. Also porting for consoles. </t>
  </si>
  <si>
    <t>Pineapple Works</t>
  </si>
  <si>
    <t>https://pineapple.works/</t>
  </si>
  <si>
    <t>Wojtek Kubiak</t>
  </si>
  <si>
    <t>https://store.steampowered.com/developer/pineappleworks</t>
  </si>
  <si>
    <t>https://gamalytic.com/publisher/Pineapple%20Works</t>
  </si>
  <si>
    <t>Apr 2023</t>
  </si>
  <si>
    <t>Tactical RPG, Dungeon Crawler, Sandbox, Action RPG, Roguelike, Open World, Gambling, Psychological Horror, Card Game</t>
  </si>
  <si>
    <t>Sealed Bite, Dreamed Away, Greek Tragedy, Death and Taxes, Of Blades and Tails, Dance of Cards</t>
  </si>
  <si>
    <t>Specializes in crowdfunding and console porting. Does not do direct "money in exchange for revenue" deals. Not accepting new pitches until at least Jan 2026.</t>
  </si>
  <si>
    <t>Green Man Gaming</t>
  </si>
  <si>
    <t>https://www.greenmangaming.com/</t>
  </si>
  <si>
    <t xml:space="preserve">alex.cook@greenmangaming.com </t>
  </si>
  <si>
    <t>Ben Tucker</t>
  </si>
  <si>
    <t>https://store.steampowered.com/publisher/GMG</t>
  </si>
  <si>
    <t>https://gamalytic.com/publisher/Green%20Man%20Gaming%20Publishing</t>
  </si>
  <si>
    <t>Oct 2023</t>
  </si>
  <si>
    <t>Immersive Sim, Automobile Sim, Open World, Driving, Puzzle, Sandbox, Survival, Flight</t>
  </si>
  <si>
    <t>Model Builder, Kainga</t>
  </si>
  <si>
    <t xml:space="preserve">They have a store front, but also publish indies. Little succes, and complaints have been raised by their developers on Reddit about the treatement they recieved. There has been an overhaul of the Publishing division and after a fallow couple of years, they plan to be publishing in 2026 and beyond
</t>
  </si>
  <si>
    <t>Dionous Games</t>
  </si>
  <si>
    <t>https://www.dionous.com</t>
  </si>
  <si>
    <t>https://www.dionous.com/game-pitches/</t>
  </si>
  <si>
    <t>Chris Tikkos</t>
  </si>
  <si>
    <t>https://store.steampowered.com/developer/dionous</t>
  </si>
  <si>
    <t>https://gamalytic.com/publisher/Dionous%20Games</t>
  </si>
  <si>
    <t>Point &amp; Click, Puzzle</t>
  </si>
  <si>
    <t>Not Another Weekend, Watch Over Christmas</t>
  </si>
  <si>
    <t>Mainly focused on narrative / puzzle and point and click adventure games. They can also publish to all consoles and mobiles. They are specializing on Visionaire Studio game engine.</t>
  </si>
  <si>
    <t>Catness Game Studios</t>
  </si>
  <si>
    <t>https://catnessgames.com/</t>
  </si>
  <si>
    <t>info@catnessgames.com</t>
  </si>
  <si>
    <t>https://store.steampowered.com/publisher/catnessgames</t>
  </si>
  <si>
    <t>https://gamalytic.com/publisher/Catness%20Game%20Studios</t>
  </si>
  <si>
    <t>Feb 2025</t>
  </si>
  <si>
    <t>Puzzle, Platformer, 2.5D, Horror, Puzzle Platformer</t>
  </si>
  <si>
    <t>One Last Breath, The Savior's Gang</t>
  </si>
  <si>
    <t xml:space="preserve">We are focused on creating, porting, and publishing Unreal Engine games. </t>
  </si>
  <si>
    <t>Tiny Dragon Games</t>
  </si>
  <si>
    <t>https://www.tinydragongames.com/</t>
  </si>
  <si>
    <t>https://www.tinydragongames.com/services</t>
  </si>
  <si>
    <t>Sean Phillips</t>
  </si>
  <si>
    <t>https://store.steampowered.com/publisher/tinydragon</t>
  </si>
  <si>
    <t>https://gamalytic.com/publisher/Tiny%20Dragon</t>
  </si>
  <si>
    <t>Apr 2025</t>
  </si>
  <si>
    <t>Golf, PvP, Flight, Bullet Hell, Open World, Turn-Based Strategy, Deckbuilding</t>
  </si>
  <si>
    <t>They offer revenue share structure, no funds for development</t>
  </si>
  <si>
    <t>Bonus Stage Publishing</t>
  </si>
  <si>
    <t>Finland</t>
  </si>
  <si>
    <t>https://www.bonusstage.co/</t>
  </si>
  <si>
    <t>https://www.bonusstage.co/developers</t>
  </si>
  <si>
    <t>https://store.steampowered.com/publisher/bonusstage</t>
  </si>
  <si>
    <r>
      <rPr>
        <rFont val="Calibri"/>
        <color rgb="FF1155CC"/>
        <u/>
      </rPr>
      <t>Donovan Duncan</t>
    </r>
    <r>
      <rPr>
        <rFont val="Calibri"/>
      </rPr>
      <t xml:space="preserve">, </t>
    </r>
    <r>
      <rPr>
        <rFont val="Calibri"/>
        <color rgb="FF1155CC"/>
        <u/>
      </rPr>
      <t>Ben Robinson</t>
    </r>
  </si>
  <si>
    <t>https://gamalytic.com/publisher/Bonus%20Stage%20Publishing</t>
  </si>
  <si>
    <t>Jun 2020</t>
  </si>
  <si>
    <t>Motorbike, Driving, Sandbox, Hack and Slash, Fighting, 2D Platformer, Golf</t>
  </si>
  <si>
    <t>Sledders, Sunblaze, Dreams in the Witch House</t>
  </si>
  <si>
    <t xml:space="preserve">All genres. Budget less than $250k. 30/70% revenue share deal if no development funding. Also porting for consoles. </t>
  </si>
  <si>
    <t>QUByte Interactive</t>
  </si>
  <si>
    <t>https://www.qubyteinteractive.com/site/</t>
  </si>
  <si>
    <t>https://store.steampowered.com/publisher/qubyte</t>
  </si>
  <si>
    <t>https://gamalytic.com/publisher/QUByte%20Interactive</t>
  </si>
  <si>
    <t>Arcade, Beat 'em up, Fighting, Team-Based, PvP, Platformer, Hack and Slash, Creature Collector</t>
  </si>
  <si>
    <t>Focused on Latin American games and bringing classics to the new generation</t>
  </si>
  <si>
    <t>JanduSoft</t>
  </si>
  <si>
    <t>https://www.jandusoft.com</t>
  </si>
  <si>
    <t>https://www.jandusoft.com/pitchusyourgame/</t>
  </si>
  <si>
    <t>Jose A. Andujar</t>
  </si>
  <si>
    <t>https://store.steampowered.com/publisher/jandusoft</t>
  </si>
  <si>
    <t>https://gamalytic.com/publisher/JanduSoft</t>
  </si>
  <si>
    <t>Platformer, Horror, Psychological Horror, 2D Platformer, Farming Sim, Souls-like, Arcade, Crafting, Puzzle</t>
  </si>
  <si>
    <t>The Last Case of John Morley Abathor, Farlands, Evil Inside, Aureole - Wings of hope</t>
  </si>
  <si>
    <t>Publisher for all platforms. Steam / PS4 / PS5 / NS / XB / XBSX and all regions (EU/NA/JP/Asia) (excluding China)</t>
  </si>
  <si>
    <t>No Gravity</t>
  </si>
  <si>
    <t>www.nogravitygames.com</t>
  </si>
  <si>
    <t>submit@nogravitygames.com</t>
  </si>
  <si>
    <t>https://www.linkedin.com/in/aleksierzega/</t>
  </si>
  <si>
    <t>https://store.steampowered.com/publisher/nogravitygames</t>
  </si>
  <si>
    <t>https://gamalytic.com/publisher/No%20Gravity%20Games</t>
  </si>
  <si>
    <t>Horror, Turn-Based Tactics, Stealth, JRPG, Psychological Horror, Procedural Generation, Puzzle Platformer, 2D Platformer, Platformer</t>
  </si>
  <si>
    <t>Alder's Blood, Chronicles of Nyanya, Apparition</t>
  </si>
  <si>
    <t>Publisher for all platforms, indie, focused on Nintendo Switch. Has serious communication problems; several developers didn’t receive their revenue share, ignores messages, and I recommend avoiding them, or ask signed developers for their feedback first.</t>
  </si>
  <si>
    <t>Static City Games</t>
  </si>
  <si>
    <t>https://staticcitygames.com</t>
  </si>
  <si>
    <t>coffee@staticcitygames.com</t>
  </si>
  <si>
    <t>Josh Krassenstein</t>
  </si>
  <si>
    <t>https://store.steampowered.com/dev/staticcitygames</t>
  </si>
  <si>
    <t>https://gamalytic.com/publisher/Static%20City%20Games</t>
  </si>
  <si>
    <t>Bullet Hell, Arcade, Shooter, Life Sim, Action Roguelike, Economy, Top-Down Shooter, Roguelite</t>
  </si>
  <si>
    <t>Chronicle: Unit Eight</t>
  </si>
  <si>
    <t xml:space="preserve">They published 3 games so far and have a large IP in progress. </t>
  </si>
  <si>
    <t>GIGATANK 3000</t>
  </si>
  <si>
    <t>https://gigatank3000.com/</t>
  </si>
  <si>
    <t>https://gigatank3000.com/publishing/</t>
  </si>
  <si>
    <t>publish@gigatank3000.com</t>
  </si>
  <si>
    <t>Antonio Delgado</t>
  </si>
  <si>
    <t>https://store.steampowered.com/publisher/GIGATANK3000</t>
  </si>
  <si>
    <t>https://gamalytic.com/publisher/GIGATANK%203000</t>
  </si>
  <si>
    <t>Co-op, Automation, Idler, Auto Battler, Dungeon Crawler, Action Roguelike, Looter Shooter, Action RPG</t>
  </si>
  <si>
    <t>Wyvia, Kaiju Catastrophe</t>
  </si>
  <si>
    <t>New publisher. Focuses on indie games.</t>
  </si>
  <si>
    <t>Practical Media</t>
  </si>
  <si>
    <t>https://practicalmedia.com</t>
  </si>
  <si>
    <t>https://practicalmedia.com/contact</t>
  </si>
  <si>
    <t>Joseph Ng</t>
  </si>
  <si>
    <t>https://store.steampowered.com/publisher/practicalmedia</t>
  </si>
  <si>
    <t>https://gamalytic.com/publisher/Practical%20Media</t>
  </si>
  <si>
    <t>Hobbyist</t>
  </si>
  <si>
    <t>Precision Platformer, 2D Platformer, Puzzle Platformer, Puzzle, Competitive, Platformer, Arcade</t>
  </si>
  <si>
    <t>Publishing with honor. New publisher for true indie games, accepting unannounced, announced and even released games.</t>
  </si>
  <si>
    <t>PerfectGen</t>
  </si>
  <si>
    <t>Tunisia</t>
  </si>
  <si>
    <t>https://www.pg-publishing.com/</t>
  </si>
  <si>
    <t>https://docs.google.com/forms/d/e/1FAIpQLSfptLb2VsdkmVH1T1eq_kTgzs2uFUtAIp3zRo5caQzcy4CYfQ/viewform</t>
  </si>
  <si>
    <r>
      <rPr>
        <rFont val="Calibri"/>
        <color rgb="FF000000"/>
      </rPr>
      <t>contact@pg-publishing.com</t>
    </r>
  </si>
  <si>
    <t>https://store.steampowered.com/search/?developer=Perfect%20Gen</t>
  </si>
  <si>
    <t>https://gamalytic.com/publisher/Perfect%20Gen</t>
  </si>
  <si>
    <t>Co-op, Cooking, Management, Party Game, Arcade, Farming Sim, Life Sim, PvP</t>
  </si>
  <si>
    <t>Kitchen Wars</t>
  </si>
  <si>
    <t>A newly founded indie Publisher for Steam games with possibility to port on Switch</t>
  </si>
  <si>
    <t>Entalto Studios</t>
  </si>
  <si>
    <t>https://www.entaltostudios.com/</t>
  </si>
  <si>
    <t>https://www.entaltostudios.com/contact</t>
  </si>
  <si>
    <t>Enrique Martínez Romero</t>
  </si>
  <si>
    <t>https://store.steampowered.com/publisher/EntaltoStudios/</t>
  </si>
  <si>
    <t>https://gamalytic.com/publisher/Entalto%20Publishing</t>
  </si>
  <si>
    <t>Dec 2022</t>
  </si>
  <si>
    <t>Fighting, Hack and Slash, PvP, Arcade, Puzzle</t>
  </si>
  <si>
    <t>Manitas Kitchen, Neonhat, Grabitoons!</t>
  </si>
  <si>
    <t>Announced its first published title during wholesome direct.</t>
  </si>
  <si>
    <t>Farmear Games</t>
  </si>
  <si>
    <t>Argentina</t>
  </si>
  <si>
    <t>https://www.farmeargames.com/</t>
  </si>
  <si>
    <t>https://www.linkedin.com/in/diegofreijo/</t>
  </si>
  <si>
    <t>https://store.steampowered.com/publisher/Farmear%20Games</t>
  </si>
  <si>
    <t>https://gamalytic.com/publisher/Farmear%20Games</t>
  </si>
  <si>
    <t>Micro-publisher, specialized in helping new gamedevs with marketing, PS5 and VR porting and some funding</t>
  </si>
  <si>
    <t>Dark Product</t>
  </si>
  <si>
    <t>https://www.darkproduct.com/</t>
  </si>
  <si>
    <t xml:space="preserve">office@darkproduct.com </t>
  </si>
  <si>
    <t>Scott Millard</t>
  </si>
  <si>
    <t>Console Publisher</t>
  </si>
  <si>
    <t>Sep 2024</t>
  </si>
  <si>
    <t xml:space="preserve">Ratshaker, The Axis Unseen, Loan Shark </t>
  </si>
  <si>
    <t xml:space="preserve">A publisher focused on Dark experiences that can translate to console founded by Scott Millard, formerly Namco Bandai, Atari, Feardemic </t>
  </si>
  <si>
    <t>Alchemy Games</t>
  </si>
  <si>
    <t>https://www.alchemy.games/</t>
  </si>
  <si>
    <t>For Developers | Alchemy Games</t>
  </si>
  <si>
    <t>sales@alchemy.games</t>
  </si>
  <si>
    <t>Eduardo Menezes</t>
  </si>
  <si>
    <t>Jay and Silent Bob: Chronic Blunt Punch; Mind Over Magnet, Cryptical Path, Hell is Other Demons ...</t>
  </si>
  <si>
    <t>Console publisher and porting experts. Founded by Indie industry veterans with +13 years of experience in the market.</t>
  </si>
  <si>
    <t>Germany, Australia</t>
  </si>
  <si>
    <t>Agora Gaming Partners Asia</t>
  </si>
  <si>
    <t>Thailand</t>
  </si>
  <si>
    <t>https://www.agoragamingpartners.com/</t>
  </si>
  <si>
    <t>Scouting@AgoraGamingPartners.com</t>
  </si>
  <si>
    <t>Lili ZANG</t>
  </si>
  <si>
    <t>A new investment / consulting venture founded by the GTR people</t>
  </si>
  <si>
    <t>Re-Koup</t>
  </si>
  <si>
    <t>https://www.re-koup.com</t>
  </si>
  <si>
    <t>info@re-koup.com</t>
  </si>
  <si>
    <t>Sebastian Bastani</t>
  </si>
  <si>
    <t>Prime Monster, Map Map: A Game about Maps, Snacktorio, Dawn of Defense</t>
  </si>
  <si>
    <t>Publisher based in Stockholm, Sweden. Publish games on all plattforms and offers 2 types of publishing services; classic publishing and ghost publishing (self publishing support). Genre agnostic. Do both production investments and marketing investments.</t>
  </si>
  <si>
    <t>Neon Hearth</t>
  </si>
  <si>
    <t>https://neonhearth.ca</t>
  </si>
  <si>
    <t>https://www.neonhearth.ca/pitch</t>
  </si>
  <si>
    <t>Indie publisher dedicated to strong narratives. Proudly Canadian we dedicate ourselves to each project. Our services are primarily marketing and distribution with funding available for the right projects.</t>
  </si>
  <si>
    <t>NEW ENTRIES</t>
  </si>
  <si>
    <t>Add new publishers in the rows below. They will be added to the curated sheet on the next update</t>
  </si>
  <si>
    <t>PUBLISHING-AS-A-SERVICE</t>
  </si>
  <si>
    <t>Popagenda</t>
  </si>
  <si>
    <t>Canada, USA</t>
  </si>
  <si>
    <t>https://popagenda.co/</t>
  </si>
  <si>
    <t>nick@popagenda.co</t>
  </si>
  <si>
    <t>NicolasVerge</t>
  </si>
  <si>
    <t>https://store.steampowered.com/publisher/popagenda</t>
  </si>
  <si>
    <t>https://gamalytic.com/publisher/popagenda</t>
  </si>
  <si>
    <t>No funding</t>
  </si>
  <si>
    <t>Puzzle, Hidden Object, Platformer, Sandbox</t>
  </si>
  <si>
    <t>Marketing of little kitty big city, toem, nobody saves the world</t>
  </si>
  <si>
    <t>Human Qube Games</t>
  </si>
  <si>
    <t>humanqube.games</t>
  </si>
  <si>
    <t>info@humanqube.games</t>
  </si>
  <si>
    <t>anton@humanqube.games</t>
  </si>
  <si>
    <t>https://store.steampowered.com/curator/45063983-Human-Qube-Games/</t>
  </si>
  <si>
    <t>https://gamalytic.com/publisher/Human%20Qube%20Games</t>
  </si>
  <si>
    <t>Prod/Marketing</t>
  </si>
  <si>
    <t>Survival, Action-Adventure, Action Roguelike, Open World Survival Craft, Crafting, Roguelike, Roguelike Deckbuilder, Deckbuilding, Card Game</t>
  </si>
  <si>
    <t>My Little Life, Dino Path Trail</t>
  </si>
  <si>
    <t>Publishing partner and indie game growth engine. We run the annual Bullet Heaven Festival, Metroidvania Fusion on Steam and work with Steam, GOG, EGS, and consoles in publishing and release management</t>
  </si>
  <si>
    <t>Nejcraft</t>
  </si>
  <si>
    <t>https://nejcraft.cz</t>
  </si>
  <si>
    <t>https://nejcraft.cz/publishing</t>
  </si>
  <si>
    <t>business@nejcraft.cz</t>
  </si>
  <si>
    <t>Jan Patrovsky</t>
  </si>
  <si>
    <t>https://store.steampowered.com/publisher/nejcraft</t>
  </si>
  <si>
    <t>https://gamalytic.com/publisher/Nejcraft</t>
  </si>
  <si>
    <t>Feb 2023</t>
  </si>
  <si>
    <t>Shooter, Co-op, Escape Room, Fighting, Tower Defense, Bullet Hell, Arcade</t>
  </si>
  <si>
    <t>Unwording, Mad Experiments: Escape Room, The Vale</t>
  </si>
  <si>
    <t>Nejcraft specializes in porting, publishing and distribution for PC, Xbox, PlayStation and Nintendo Switch games</t>
  </si>
  <si>
    <t>Caboodle</t>
  </si>
  <si>
    <t>www.caboodle.games</t>
  </si>
  <si>
    <r>
      <rPr>
        <rFont val="Calibri"/>
        <color rgb="FF1155CC"/>
        <u/>
      </rPr>
      <t>alastair@caboodle.games</t>
    </r>
  </si>
  <si>
    <t>Alastair Hebson</t>
  </si>
  <si>
    <t>AA - indie</t>
  </si>
  <si>
    <t xml:space="preserve">The Planet Crafter, Halls of Torment, Cosmoteer, I Am Your Beast </t>
  </si>
  <si>
    <t>We’re a team of game dev and publishing nerds with millions of years of combined experience. Caboodle initially grew out of running biz and publishing ops at self-publishing smash-hit SUPERHOT. We now do that critical work for great devs who need it. Usually small teams with big games. Say hi anytime!</t>
  </si>
  <si>
    <t>Uwu Biz</t>
  </si>
  <si>
    <t>https://www.uwu.biz/</t>
  </si>
  <si>
    <r>
      <rPr>
        <rFont val="Calibri"/>
        <color rgb="FF1155CC"/>
        <sz val="10.0"/>
        <u/>
      </rPr>
      <t>Callum Underwood</t>
    </r>
    <r>
      <rPr>
        <rFont val="Calibri"/>
        <sz val="10.0"/>
      </rPr>
      <t xml:space="preserve"> </t>
    </r>
    <r>
      <rPr>
        <rFont val="Calibri"/>
        <color rgb="FF1155CC"/>
        <sz val="10.0"/>
        <u/>
      </rPr>
      <t>Alex Nicholson</t>
    </r>
  </si>
  <si>
    <t>Kando Factory</t>
  </si>
  <si>
    <t>https://www.kandofactory.com/</t>
  </si>
  <si>
    <t>https://airtable.com/app4mvGRyM1l9vGXJ/pagdb4o0IaqpheA6s/form</t>
  </si>
  <si>
    <t>https://www.linkedin.com/in/christian-bliss/</t>
  </si>
  <si>
    <r>
      <rPr>
        <rFont val="Calibri"/>
        <color rgb="FF000000"/>
      </rPr>
      <t>contact@pg-publishing.com</t>
    </r>
  </si>
  <si>
    <t>Secret Sauce</t>
  </si>
  <si>
    <t>https://thesecretsauce.uk/</t>
  </si>
  <si>
    <t>team@thesecretsauce.uk</t>
  </si>
  <si>
    <r>
      <rPr>
        <rFont val="Calibri"/>
        <color rgb="FF1155CC"/>
        <sz val="10.0"/>
        <u/>
      </rPr>
      <t>George Willard</t>
    </r>
    <r>
      <rPr>
        <rFont val="Calibri"/>
        <color rgb="FF777777"/>
        <sz val="10.0"/>
      </rPr>
      <t xml:space="preserve"> </t>
    </r>
    <r>
      <rPr>
        <rFont val="Calibri"/>
        <color rgb="FF1155CC"/>
        <sz val="10.0"/>
        <u/>
      </rPr>
      <t>Sophie Atkin</t>
    </r>
  </si>
  <si>
    <t>AA - Indie</t>
  </si>
  <si>
    <t>No funding. Some limited rev share options available.</t>
  </si>
  <si>
    <t>ESDigital Games</t>
  </si>
  <si>
    <t>Cyprus, UK</t>
  </si>
  <si>
    <t>https://esdigital.games</t>
  </si>
  <si>
    <t>https://forms.gle/CncvPLR8HHnBbmiN9</t>
  </si>
  <si>
    <t>Ilia Svanidze</t>
  </si>
  <si>
    <t>https://store.steampowered.com/publisher/esdigital_games</t>
  </si>
  <si>
    <t>https://gamalytic.com/publisher/ESDigital%20Games</t>
  </si>
  <si>
    <t>5.5M</t>
  </si>
  <si>
    <t>65.2K</t>
  </si>
  <si>
    <t>10.2K</t>
  </si>
  <si>
    <t>Time Management, Puzzle, Shooter, Point &amp; Click, Hack and Slash, Hidden Object, Beat 'em up, Automobile Sim, Open World</t>
  </si>
  <si>
    <t>Redeemer, 9 Monkeys of Shaolin, AWAKEN - Astral Blade</t>
  </si>
  <si>
    <t>Publishes games for PC and consoles, combining hands-on production experience with global publishing expertise. The team is open to partnering with external developers on distinctive projects with strong creative direction, solid execution, and clear commercial potential.</t>
  </si>
  <si>
    <t>Not a Shark</t>
  </si>
  <si>
    <t>https://www.notashark.com/</t>
  </si>
  <si>
    <t xml:space="preserve">julien@notashark.com </t>
  </si>
  <si>
    <t>Not funding, but helping to find a funding</t>
  </si>
  <si>
    <t>non</t>
  </si>
  <si>
    <t>Future Friends</t>
  </si>
  <si>
    <t>https://futurefriends.lol/</t>
  </si>
  <si>
    <t>CloverPit</t>
  </si>
  <si>
    <t>Both publish and provide full package support for self publishing</t>
  </si>
  <si>
    <t>Amplified Games</t>
  </si>
  <si>
    <t>www.amplified.games</t>
  </si>
  <si>
    <t>hello@amplified.games</t>
  </si>
  <si>
    <t>Not live yet</t>
  </si>
  <si>
    <t xml:space="preserve">                         </t>
  </si>
  <si>
    <t>To be launched</t>
  </si>
  <si>
    <t>Marketing funding available</t>
  </si>
  <si>
    <t>Amplified Games is launching in Calerndar Q4 2024. We don't have any announced titles yet, this is to come. We would be really happy to have a chat and share more details. We only have marketing funds available, no development funding available. This is reflected in our Revenue share model.</t>
  </si>
  <si>
    <t>CriticalLeap/Nuuvem</t>
  </si>
  <si>
    <t>https://www.criticalleap.gg/</t>
  </si>
  <si>
    <t>publishing@criticalleap.gg</t>
  </si>
  <si>
    <t>Julia Martins</t>
  </si>
  <si>
    <t>https://store.steampowered.com/publisher/criticalleap</t>
  </si>
  <si>
    <t>https://gamalytic.com/publisher/CriticalLeap</t>
  </si>
  <si>
    <t>Investigation, Survival Horror, Puzzle, Roguelike, Roguelite, Hack and Slash, Action Roguelike, Walking Simulator, Psychological Horror</t>
  </si>
  <si>
    <t>Enigma of Fear</t>
  </si>
  <si>
    <t>Global Publishing, Regional Publishing in LATAM or self publishing support</t>
  </si>
  <si>
    <t>Midwest Games</t>
  </si>
  <si>
    <t>https://www.midwestgames.com/</t>
  </si>
  <si>
    <t>https://www.midwestgames.com/services</t>
  </si>
  <si>
    <t>https://store.steampowered.com/publisher/midwest_games</t>
  </si>
  <si>
    <t>AA-Indie</t>
  </si>
  <si>
    <t>Limited rev share options available, as well as help finding funding</t>
  </si>
  <si>
    <t>Describes its service as "Shadow Publishing"--a "services support model"--and indicates that it operates under a "work for hire" basis</t>
  </si>
  <si>
    <t>Vendetta</t>
  </si>
  <si>
    <t>https://withvendetta.com/</t>
  </si>
  <si>
    <t>https://withvendetta.com/featured/settlethescore/</t>
  </si>
  <si>
    <t>hello@withvendetta.com</t>
  </si>
  <si>
    <t>A brand new agency build by industry and fandom veterans, our mission is focused on empowering and platforming indie games.</t>
  </si>
  <si>
    <t>Blossom Arcade</t>
  </si>
  <si>
    <t>https://www.blossomarcade.com/</t>
  </si>
  <si>
    <t>hello@blossomarcade.com</t>
  </si>
  <si>
    <t>Sophie Smart</t>
  </si>
  <si>
    <t>Support for self-publishing, including production, basic marketing, platform submissions for PC and release management to help assist getting your game onto consoles.</t>
  </si>
  <si>
    <t>Gearbox Publishing (Arc Games)</t>
  </si>
  <si>
    <t>https://www.gearboxsoftware.com/</t>
  </si>
  <si>
    <t>https://www.gearboxsoftware.com/contact/</t>
  </si>
  <si>
    <t>https://store.steampowered.com/curator/35646051-Gearbox-Publishing</t>
  </si>
  <si>
    <t>https://gamalytic.com/publisher/Gearbox%20Publishing</t>
  </si>
  <si>
    <t>Nov 2013</t>
  </si>
  <si>
    <t>May 2024</t>
  </si>
  <si>
    <t>Action Roguelike, Co-op, Roguelike, Roguelite, RTS, Looter Shooter, Shooter, Action RPG</t>
  </si>
  <si>
    <t>Risk of Rain 2, Remnant, Have a nice death</t>
  </si>
  <si>
    <t>They have two publishing entities, one in San Francisco (ex Perfect World America) that searches for gameplay focused indie games, and one in Texas which is looking for larger stuff.</t>
  </si>
  <si>
    <t>Humble Games</t>
  </si>
  <si>
    <t>https://www.humblegames.com/</t>
  </si>
  <si>
    <t>https://www.humblegames.com/submit-a-game/</t>
  </si>
  <si>
    <t>https://humblebundleorg2022.my.site.com/SubmissionFormPortal/s/game-submission-form</t>
  </si>
  <si>
    <t>Jonny Merritt</t>
  </si>
  <si>
    <t>Tool</t>
  </si>
  <si>
    <t>Owner</t>
  </si>
  <si>
    <t>https://store.steampowered.com/publisher/HumbleGames</t>
  </si>
  <si>
    <t>Link</t>
  </si>
  <si>
    <t>Resources</t>
  </si>
  <si>
    <t>https://gamalytic.com/publisher/Humble%20Games</t>
  </si>
  <si>
    <t>80K</t>
  </si>
  <si>
    <t>40</t>
  </si>
  <si>
    <t>$$-$$$</t>
  </si>
  <si>
    <t>Level Editor, Sandbox, Open World, Survival</t>
  </si>
  <si>
    <t>List of Festivals</t>
  </si>
  <si>
    <t>Unpacking, Coral Island, Forager</t>
  </si>
  <si>
    <t>They publish good games, and lean towards cute/casual looking games. Owned by IGN.</t>
  </si>
  <si>
    <t>Chris Zukowski</t>
  </si>
  <si>
    <t>https://howtomarketagame.com/festivals</t>
  </si>
  <si>
    <t>Private Division</t>
  </si>
  <si>
    <t>https://www.privatedivision.com</t>
  </si>
  <si>
    <t>A comprehensive list of upcoming festivals and showcases</t>
  </si>
  <si>
    <t>bizdev@privatedivision.com</t>
  </si>
  <si>
    <t>Marketing Roadmap</t>
  </si>
  <si>
    <t>Blake Rochkind</t>
  </si>
  <si>
    <t>https://docs.google.com/spreadsheets/d/1SU2Pjx2nyanOqrgvNHnFoYAtwlOTAIbO0GamRO_MBk4/edit?usp=sharing</t>
  </si>
  <si>
    <t>https://store.steampowered.com/publisher/PrivateDivision</t>
  </si>
  <si>
    <t>A step-by-step go-to-market strategy at every stage of development</t>
  </si>
  <si>
    <t>Pro Game Marketing</t>
  </si>
  <si>
    <t>https://gamalytic.com/publisher/Private%20Division</t>
  </si>
  <si>
    <t>https://www.progamemarketing.com/</t>
  </si>
  <si>
    <t>34K</t>
  </si>
  <si>
    <t>11</t>
  </si>
  <si>
    <t>A set of free and paid courses on how to build a Steam page, how to maximise wishlists and visibility, how to pitch for funding etc.</t>
  </si>
  <si>
    <t>Sandbox, Space Sim, Open World, Action RPG</t>
  </si>
  <si>
    <t>Games Career Resource Library</t>
  </si>
  <si>
    <t>Into Games</t>
  </si>
  <si>
    <t>Kerbal Space Program, Ancestors, Outer Worlds</t>
  </si>
  <si>
    <t>They publish very few games, and go with established developers.</t>
  </si>
  <si>
    <t>https://into-games.notion.site/7ad9ee991f974b9eb3f33a648868822f</t>
  </si>
  <si>
    <t>Frontier Foundry</t>
  </si>
  <si>
    <t>https://www.frontier.co.uk/foundry</t>
  </si>
  <si>
    <t>A comprehensive list of resources aimed at those seeking careers in videogames</t>
  </si>
  <si>
    <t>query@frontier.co.uk</t>
  </si>
  <si>
    <t>List of Festivals 2</t>
  </si>
  <si>
    <t>Robbie Ferguson</t>
  </si>
  <si>
    <t>https://store.steampowered.com/developer/FrontierDevelopments</t>
  </si>
  <si>
    <t>https://immutable-events-wishlists.netlify.app/</t>
  </si>
  <si>
    <t>https://gamalytic.com/publisher/Frontier%20Foundry</t>
  </si>
  <si>
    <t>Another list of festivals with good visual interface and filtering</t>
  </si>
  <si>
    <t>Tools</t>
  </si>
  <si>
    <t>150K</t>
  </si>
  <si>
    <t>Turn-Based Strategy, Turn-Based Tactics, Strategy RPG, Action-Adventure, Puzzle Platformer, Turn-Based Combat, RTS, 2.5D, Platformer</t>
  </si>
  <si>
    <t>Planet Zoo, Jurassic World, Planet Coaster, Stranded</t>
  </si>
  <si>
    <t>This is the indie publishing arm of Frontier. They mostly publish high quality simulation/building games. They also have strategy in their portfolio.</t>
  </si>
  <si>
    <t>Versus Evil</t>
  </si>
  <si>
    <t>Steam Reviews Scraper</t>
  </si>
  <si>
    <t>https://blueoceangames.com/review-analysis</t>
  </si>
  <si>
    <t>https://versusevil.com/</t>
  </si>
  <si>
    <t>https://versusevil.com/submit-game/</t>
  </si>
  <si>
    <t>A tool to scrape Steam reviews of the games you choose, and asking it to provide a report specific to your needs.</t>
  </si>
  <si>
    <t>https://gamalytic.com</t>
  </si>
  <si>
    <t>hello@vsevil.net</t>
  </si>
  <si>
    <t>https://store.steampowered.com/developer/VersusEvil/</t>
  </si>
  <si>
    <t>A platform to study the performance of other games and publishers on Steam</t>
  </si>
  <si>
    <t>Steam Asset Creator</t>
  </si>
  <si>
    <t>Supantha Paul</t>
  </si>
  <si>
    <t>https://www.steamassetcreator.com/</t>
  </si>
  <si>
    <t>https://gamalytic.com/publisher/Versus%20Evil</t>
  </si>
  <si>
    <t>21K</t>
  </si>
  <si>
    <t>A tool that generates all the various Steam graphics assets based on your main key art and logo</t>
  </si>
  <si>
    <t>$-$$</t>
  </si>
  <si>
    <t>Press Kitty</t>
  </si>
  <si>
    <t>Impress Games</t>
  </si>
  <si>
    <t>https://impress.games/press-kitty</t>
  </si>
  <si>
    <t>Party-Based RPG, CRPG, Card Game, Turn-Based Strategy, Board Game, Open World, Point &amp; Click, Puzzle, PvP, Action RPG</t>
  </si>
  <si>
    <t>Dead Fire, First Class Trouble</t>
  </si>
  <si>
    <t>A relatively well established publisher, subsidiary of TinyBuild</t>
  </si>
  <si>
    <t>Merge Games</t>
  </si>
  <si>
    <t>https://www.mergegames.com/</t>
  </si>
  <si>
    <t>Tool to create a visually appealling and highly accessible presskit</t>
  </si>
  <si>
    <t>YouTube / Podcast</t>
  </si>
  <si>
    <r>
      <rPr>
        <rFont val="Calibri"/>
        <color rgb="FF1155CC"/>
        <u/>
      </rPr>
      <t>alastair@caboodle.games</t>
    </r>
  </si>
  <si>
    <t>https://www.mergegames.com/developers/</t>
  </si>
  <si>
    <t>Business of Videogames Podcast</t>
  </si>
  <si>
    <t>Shams Jorjani / Fernando Rizo</t>
  </si>
  <si>
    <t>https://open.spotify.com/show/5p1x8yXzt2gleBaw4Ic6Ak?si=81d5279ca4244d42</t>
  </si>
  <si>
    <t>https://www.mergegames.com/developers/submit/</t>
  </si>
  <si>
    <t>https://store.steampowered.com/publisher/MergeGames</t>
  </si>
  <si>
    <t>An excellent podcast specifically aimed at indiedevs wishing to release on Steam</t>
  </si>
  <si>
    <t>Jonas Tyroller</t>
  </si>
  <si>
    <t>https://www.youtube.com/@JonasTyroller</t>
  </si>
  <si>
    <t>https://gamalytic.com/publisher/Merge%20Games</t>
  </si>
  <si>
    <t>Great series of YouTube videos specifically aimed at game developers</t>
  </si>
  <si>
    <t>Scientia Ludos</t>
  </si>
  <si>
    <t>Gavin Eisenbeisz</t>
  </si>
  <si>
    <t>https://www.youtube.com/@ScientiaLudos</t>
  </si>
  <si>
    <r>
      <rPr>
        <rFont val="Calibri"/>
        <color rgb="FF1155CC"/>
        <sz val="10.0"/>
        <u/>
      </rPr>
      <t>Callum Underwood</t>
    </r>
    <r>
      <rPr>
        <rFont val="Calibri"/>
        <sz val="10.0"/>
      </rPr>
      <t xml:space="preserve"> </t>
    </r>
    <r>
      <rPr>
        <rFont val="Calibri"/>
        <color rgb="FF1155CC"/>
        <sz val="10.0"/>
        <u/>
      </rPr>
      <t>Alex Nicholson</t>
    </r>
  </si>
  <si>
    <t>23</t>
  </si>
  <si>
    <t>Open World, 3D Platformer, Platformer, Co-op, Shooter, Collectathon</t>
  </si>
  <si>
    <t>Smalland,  Bramble, Spells &amp; Secrets, Spirit of the North</t>
  </si>
  <si>
    <t>They publish all genres. Have hooks in survival/narrative/rpgs. Shut down on sep 24, somewhat back as Silver Lining Interactive</t>
  </si>
  <si>
    <t>A very interesting series of unfiltered videos by the maker of Choo Choo Charles and Cuffbust</t>
  </si>
  <si>
    <t>All iN! Games</t>
  </si>
  <si>
    <t>https://www.allingames.com/</t>
  </si>
  <si>
    <t>https://www.allingames.com/submit-game/</t>
  </si>
  <si>
    <t>https://store.steampowered.com/publisher/allingames</t>
  </si>
  <si>
    <t>https://gamalytic.com/publisher/All%20in!%20Games</t>
  </si>
  <si>
    <t>Roguelite, Dungeon Crawler, Roguelike, Action RPG, Action Roguelike, Puzzle, Base Building, Management, Space Sim</t>
  </si>
  <si>
    <t>Fort Triumph, Arboria</t>
  </si>
  <si>
    <t>Brace Yourself Games</t>
  </si>
  <si>
    <t>https://braceyourselfgames.com/</t>
  </si>
  <si>
    <r>
      <rPr>
        <rFont val="Calibri"/>
        <color rgb="FF1155CC"/>
        <sz val="10.0"/>
        <u/>
      </rPr>
      <t>George Willard</t>
    </r>
    <r>
      <rPr>
        <rFont val="Calibri"/>
        <color rgb="FF777777"/>
        <sz val="10.0"/>
      </rPr>
      <t xml:space="preserve"> </t>
    </r>
    <r>
      <rPr>
        <rFont val="Calibri"/>
        <color rgb="FF1155CC"/>
        <sz val="10.0"/>
        <u/>
      </rPr>
      <t>Sophie Atkin</t>
    </r>
  </si>
  <si>
    <t>https://braceyourselfgames.com/publishing/</t>
  </si>
  <si>
    <t>Ryan Clark</t>
  </si>
  <si>
    <t>https://store.steampowered.com/publisher/braceyourselfgames</t>
  </si>
  <si>
    <t>https://gamalytic.com/publisher/Brace%20Yourself%20Games</t>
  </si>
  <si>
    <t>Roguelike, Rhythm, Dungeon Crawler, Turn-Based Tactics, Real-Time with Pause, Roguelike Deckbuilder, City Builder, Card Game, Turn-Based Strategy, Resource Management</t>
  </si>
  <si>
    <t>Crypt of the Necrodancer, Industries of Titans</t>
  </si>
  <si>
    <t xml:space="preserve">Seems they have shut down their publishing arm. </t>
  </si>
  <si>
    <t>Those Awesome Guys</t>
  </si>
  <si>
    <t>https://thoseawesomeguys.com/</t>
  </si>
  <si>
    <t>https://forms.clickup.com/p/f/2axdz-601/81QBJSB3SI99Q4WU8S/project-submission</t>
  </si>
  <si>
    <t>Vlad Calu</t>
  </si>
  <si>
    <t>https://store.steampowered.com/publisher/thoseawesomeguys</t>
  </si>
  <si>
    <t>https://gamalytic.com/publisher/Those%20Awesome%20Guys</t>
  </si>
  <si>
    <t>Jan 2016</t>
  </si>
  <si>
    <t>Co-op, Platformer, Dating Sim, Visual Novel, Competitive, 3D Platformer</t>
  </si>
  <si>
    <t>Monster Prom, Move or die</t>
  </si>
  <si>
    <t>is a small independent game development and publishing studio formed out of people from around the world. Fair dealings with developers as they are developers.</t>
  </si>
  <si>
    <t>VoxPop Games</t>
  </si>
  <si>
    <t>http://www.voxpopgames.com/</t>
  </si>
  <si>
    <t>marc@voxpopgames.com</t>
  </si>
  <si>
    <t>Marc Rodriguez</t>
  </si>
  <si>
    <t>https://store.steampowered.com/publisher/VoxPopGames</t>
  </si>
  <si>
    <t>https://gamalytic.com/publisher/VoxPop%20Games,%20Inc.</t>
  </si>
  <si>
    <t>Nov 2022</t>
  </si>
  <si>
    <t>Action Roguelike, Action-Adventure, Arcade, Bullet Hell, 2.5D</t>
  </si>
  <si>
    <t>Concrete Visions, Disaster Golf</t>
  </si>
  <si>
    <t>Mode7</t>
  </si>
  <si>
    <t>https://www.mode7.games/</t>
  </si>
  <si>
    <t>https://store.steampowered.com/publisher/nuuvem</t>
  </si>
  <si>
    <t>Paul Kildoff-Taylor</t>
  </si>
  <si>
    <t>https://store.steampowered.com/publisher/mode7</t>
  </si>
  <si>
    <t>Publishing, Regional Publishing in LATAM or self publishing support</t>
  </si>
  <si>
    <t>https://gamalytic.com/publisher/Mode%207</t>
  </si>
  <si>
    <t>5</t>
  </si>
  <si>
    <t>Asynchronous Multiplayer, Turn-Based Strategy, City Builder, Colony Sim, Automation, Management, Competitive, Economy, Turn-Based Tactics, Open World</t>
  </si>
  <si>
    <t>The Colonists, Tokyo 42</t>
  </si>
  <si>
    <t>Irregular Corporation</t>
  </si>
  <si>
    <t>https://theirregularcorporation.com/</t>
  </si>
  <si>
    <t>https://theirregularcorporation.com/developers/</t>
  </si>
  <si>
    <t>contact@theirregularcorp.com</t>
  </si>
  <si>
    <t>https://store.steampowered.com/publisher/IrregularCorp</t>
  </si>
  <si>
    <t>https://gamalytic.com/publisher/The%20Irregular%20Corporation</t>
  </si>
  <si>
    <t>2</t>
  </si>
  <si>
    <t>Mar 2020</t>
  </si>
  <si>
    <t>Immersive Sim, Management, Sandbox, Life Sim, Investigation</t>
  </si>
  <si>
    <t>PC Building Simulator, Good Company, Murder by Numbers, Mars Horizon</t>
  </si>
  <si>
    <t>They have been absorbed into Epic after the Mediatonic/Tonic Group acquisition.</t>
  </si>
  <si>
    <t>Funcom</t>
  </si>
  <si>
    <t>https://www.funcom.com/</t>
  </si>
  <si>
    <t>ilya@funcom.com</t>
  </si>
  <si>
    <t>Ilya Salamatov</t>
  </si>
  <si>
    <t>https://store.steampowered.com/developer/Funcom</t>
  </si>
  <si>
    <t>https://gamalytic.com/publisher/Funcom</t>
  </si>
  <si>
    <t>Jan 2007</t>
  </si>
  <si>
    <t>Survival, Open World Survival Craft, Open World, Crafting, Sandbox, Base Building</t>
  </si>
  <si>
    <t>Conan Exiles, Dune Awakening, Metal: Hellsinger</t>
  </si>
  <si>
    <t>Survival, Open-world, Crafting games. Budgets 500K - to several millions. Fully-fledged publishing, covering everything. They're not dead as a company, but not doing third-party publishing anymore.</t>
  </si>
  <si>
    <t>PID Games</t>
  </si>
  <si>
    <t>https://www.pidgames.com</t>
  </si>
  <si>
    <t>https://plugindigital.com/studio/</t>
  </si>
  <si>
    <t>https://plugindigital.com/form-sales-and-biz-dev/</t>
  </si>
  <si>
    <t>William Bertin</t>
  </si>
  <si>
    <t>https://store.steampowered.com/publisher/plug-in-digital</t>
  </si>
  <si>
    <t>https://gamalytic.com/publisher/PID%20Games</t>
  </si>
  <si>
    <t>41</t>
  </si>
  <si>
    <t>Platformer, Typing, 2D Platformer, Action-Adventure, Puzzle, Open World, Sandbox, Arcade, Metroidvania</t>
  </si>
  <si>
    <t>Alba, Skabma, Gravity Circuit, Elypse, Instant Sports</t>
  </si>
  <si>
    <t>2nd publishing label from Plug In Digital with a focus on indie gems and co-publishing</t>
  </si>
  <si>
    <t>Modern Wolf</t>
  </si>
  <si>
    <t>https://modernwolf.net</t>
  </si>
  <si>
    <t>https://modernwolf.net/get-in-touch</t>
  </si>
  <si>
    <t>https://store.steampowered.com/publisher/ModernWolf</t>
  </si>
  <si>
    <t>https://gamalytic.com/publisher/Modern%20Wolf</t>
  </si>
  <si>
    <t>10</t>
  </si>
  <si>
    <t>Feb 2020</t>
  </si>
  <si>
    <t>Extraction Shooter, Survival, Looter Shooter, Open World, Shooter, Sandbox, Turn-Based Strategy</t>
  </si>
  <si>
    <t>Zero Sievert, Rogue State Revolution, Kosmokrats, Cantata</t>
  </si>
  <si>
    <t>NOT SIGNING ANYMORE. Publishes games focused on replayable loops. Enjoys games that feel familiar but are indie twists on iconic titles. It seems that Modern Wolf is already dead. Won't be surprised if it shuts down very soon.</t>
  </si>
  <si>
    <t>FireStoke</t>
  </si>
  <si>
    <t>http://firestoke.games</t>
  </si>
  <si>
    <t>http://firestoke.games/the-pillars-of-a-firestoke-game/</t>
  </si>
  <si>
    <t>https://firestoke.games/developers/</t>
  </si>
  <si>
    <t>Omar Khalil</t>
  </si>
  <si>
    <t>https://store.steampowered.com/publisher/firestoke</t>
  </si>
  <si>
    <t>https://gamalytic.com/publisher/Firestoke</t>
  </si>
  <si>
    <t>6</t>
  </si>
  <si>
    <t>Action, Adventure</t>
  </si>
  <si>
    <t>Cube, Falling Out</t>
  </si>
  <si>
    <t>Newly founded publisher. They have an excellent pitch guide on their website. Publisher shut down in August 2025.</t>
  </si>
  <si>
    <t>Pixmain</t>
  </si>
  <si>
    <t>https://www.pixmain.com</t>
  </si>
  <si>
    <t>https://www.pixmain.com/pitch-to-pixmain</t>
  </si>
  <si>
    <t>Jeff Huang</t>
  </si>
  <si>
    <t>https://store.steampowered.com/publisher/pixmain</t>
  </si>
  <si>
    <t>https://gamalytic.com/publisher/Pixmain</t>
  </si>
  <si>
    <t>4</t>
  </si>
  <si>
    <t>Oct 2020</t>
  </si>
  <si>
    <t>Hidden Object, Grand Strategy, Turn-Based Strategy, Puzzle, Turn-Based Tactics, Turn-Based Combat, Card Game, Roguelite, 2.5D</t>
  </si>
  <si>
    <t>SCP: Secret Files, Labyrinth City</t>
  </si>
  <si>
    <t>Is the indie publishing arm of ByteDance. (Their gaming business is closing now)</t>
  </si>
  <si>
    <t>The CoLab</t>
  </si>
  <si>
    <t>https://www.thecolabgames.com/</t>
  </si>
  <si>
    <t>dnewnham@thecolabgames.com</t>
  </si>
  <si>
    <r>
      <rPr>
        <rFont val="Calibri"/>
        <color rgb="FF1155CC"/>
        <u/>
      </rPr>
      <t>Darren Newnham</t>
    </r>
    <r>
      <rPr>
        <rFont val="Calibri"/>
      </rPr>
      <t xml:space="preserve">, </t>
    </r>
    <r>
      <rPr>
        <rFont val="Calibri"/>
        <color rgb="FF1155CC"/>
        <u/>
      </rPr>
      <t>Mark Faulkner</t>
    </r>
  </si>
  <si>
    <t>https://store.steampowered.com/publisher/TheColab</t>
  </si>
  <si>
    <t>https://gamalytic.com/publisher/The%20CoLab</t>
  </si>
  <si>
    <t>Life Sim</t>
  </si>
  <si>
    <t>DeadWire, Never mourn, Fireside Feelings</t>
  </si>
  <si>
    <t>Run away. Promise stuff and let you wait till death (after signing a Term sheet)</t>
  </si>
  <si>
    <t>DAE Studios</t>
  </si>
  <si>
    <t>https://www.daestudios.be/</t>
  </si>
  <si>
    <t>Sam De Boeck</t>
  </si>
  <si>
    <t>A consultancy agency that offers angel investment and go-to-market services, they help you self-publish your game or put you in front of publishers and investors, they also provide in-depth coaching to make your game commercially viable</t>
  </si>
  <si>
    <t>Cult Games</t>
  </si>
  <si>
    <t>https://www.thecultgames.com/</t>
  </si>
  <si>
    <t>https://7nkc9d420u5.typeform.com/to/GQFLbf0x</t>
  </si>
  <si>
    <t>Helen Burnill</t>
  </si>
  <si>
    <t>https://store.steampowered.com/publisher/CULTgames</t>
  </si>
  <si>
    <t>https://gamalytic.com/publisher/CULT%20Games</t>
  </si>
  <si>
    <t>3</t>
  </si>
  <si>
    <t>Puzzle, Horror, Interactive Fiction, Creature Collector, Visual Novel, Survival Horror, Psychological Horror, Roguelite</t>
  </si>
  <si>
    <t>Go-Go Town!, Galacticare</t>
  </si>
  <si>
    <t>Neon Hive</t>
  </si>
  <si>
    <t>https://www.neonhive.co.uk</t>
  </si>
  <si>
    <t>Korina Abbott</t>
  </si>
  <si>
    <t>Was recently acquired by Cult Games, now insolvent</t>
  </si>
  <si>
    <t>Digerati</t>
  </si>
  <si>
    <t>https://www.digerati.games</t>
  </si>
  <si>
    <t>https://www.digerati.games/contact/</t>
  </si>
  <si>
    <t>https://store.steampowered.com/publisher/Digerati</t>
  </si>
  <si>
    <t>https://gamalytic.com/publisher/Digerati</t>
  </si>
  <si>
    <t>Action Roguelike, FPS, Roguelite, Roguelike, Voxel, Shooter, Puzzle, Platformer, Puzzle Platformer</t>
  </si>
  <si>
    <t>Severed Steel, Slain</t>
  </si>
  <si>
    <t>A small publisher. There has been a lawsuit between them and a developer (Outbound Ghost). Watch out.</t>
  </si>
  <si>
    <t>Poysky Productions</t>
  </si>
  <si>
    <t>https://poyskyproductions.com/</t>
  </si>
  <si>
    <t>Ishtar Games</t>
  </si>
  <si>
    <t>https://ishtar.games/</t>
  </si>
  <si>
    <t>publishing@ishtar.games</t>
  </si>
  <si>
    <t>Jordy Embun</t>
  </si>
  <si>
    <t>https://store.steampowered.com/developer/ishtargames</t>
  </si>
  <si>
    <t>https://gamalytic.com/publisher/Ishtar%20Games</t>
  </si>
  <si>
    <t>Management, Survival, Resource Management, Dating Sim, Procedural Generation, Turn-Based Combat, Co-op, Turn-Based Tactics, Turn-Based Strategy</t>
  </si>
  <si>
    <t>The last Spell, Dead in Vinland</t>
  </si>
  <si>
    <t>They are the indie publishing label of Nacon, Highly focused on turn based and RPG games</t>
  </si>
  <si>
    <t>Ravenage Games</t>
  </si>
  <si>
    <t>Georgia</t>
  </si>
  <si>
    <t>https://ravenage.games/</t>
  </si>
  <si>
    <t>https://ravenage.games/#pitch</t>
  </si>
  <si>
    <t>https://store.steampowered.com/publisher/ravenage</t>
  </si>
  <si>
    <t>https://gamalytic.com/publisher/Ravenage%20Games</t>
  </si>
  <si>
    <t>Aug 2024</t>
  </si>
  <si>
    <t>Roguelite, Roguelike, Deckbuilding, Dungeon Crawler, Tower Defense, Bullet Heaven, Card Game, Base Building, Management</t>
  </si>
  <si>
    <t xml:space="preserve">Frozen Flame, The Crackpet Show, Masterplan Tycoon </t>
  </si>
  <si>
    <t>Playdigious Originals</t>
  </si>
  <si>
    <t>https://playdigious.com/originals/</t>
  </si>
  <si>
    <t>https://playdigious.com/contact/</t>
  </si>
  <si>
    <t>https://store.steampowered.com/curator/44253161</t>
  </si>
  <si>
    <t>https://gamalytic.com/publisher/Playdigious%20Originals</t>
  </si>
  <si>
    <t>Puzzle, Logic, Sandbox, Level Editor, Crafting, Programming, Automation, Puzzle Platformer</t>
  </si>
  <si>
    <t>The Almost Gone, Fretless</t>
  </si>
  <si>
    <t>Walkabout Games</t>
  </si>
  <si>
    <t>https://walkabout.games/</t>
  </si>
  <si>
    <t>hello@walkabout.games</t>
  </si>
  <si>
    <t>https://store.steampowered.com/publisher/Walkabout</t>
  </si>
  <si>
    <t>https://gamalytic.com/publisher/Walkabout</t>
  </si>
  <si>
    <t>Mar 2021</t>
  </si>
  <si>
    <t>Walking Simulator, Action-Adventure, Platformer, 2.5D</t>
  </si>
  <si>
    <t>Werewolf, Liberated, Necroworm</t>
  </si>
  <si>
    <t>Big Sugar Games</t>
  </si>
  <si>
    <t>https://www.bigsugar.games</t>
  </si>
  <si>
    <t>https://www.bigsugar.games/contact/</t>
  </si>
  <si>
    <t>https://store.steampowered.com/publisher/BigSugar</t>
  </si>
  <si>
    <t>https://gamalytic.com/publisher/Big%20Sugar</t>
  </si>
  <si>
    <t>VR, Point &amp; Click, Puzzle, Action-Adventure</t>
  </si>
  <si>
    <t>Valfaris, Trifox</t>
  </si>
  <si>
    <t>A sister company of Digerati</t>
  </si>
  <si>
    <t>Sometimes You</t>
  </si>
  <si>
    <t>UAE</t>
  </si>
  <si>
    <t>https://www.sometimesyou.com</t>
  </si>
  <si>
    <t>pinkerator@SometimesYou.com</t>
  </si>
  <si>
    <t>https://www.linkedin.com/in/pinkerator</t>
  </si>
  <si>
    <t>https://gamalytic.com/publisher/Sometimes%20You</t>
  </si>
  <si>
    <t>Jan 2023</t>
  </si>
  <si>
    <t>Puzzle, Platformer, Visual Novel, Walking Simulator, Interactive Fiction, Incremental, Point &amp; Click</t>
  </si>
  <si>
    <t>In rays of the Light, Music Racer: Ultimate, NORTH, Creepy Tale: Some Other Place</t>
  </si>
  <si>
    <t>Releasing games on all modern consoles: PlayStation 5, PlayStation 4, Switch, Xbox Series X|S, Xbox One. They are more interested in Unity games as they are easier to port.</t>
  </si>
  <si>
    <t>Bigmode</t>
  </si>
  <si>
    <t>https://bigmode.com</t>
  </si>
  <si>
    <t>https://bigmode.com/apply</t>
  </si>
  <si>
    <t>https://store.steampowered.com/publisher/BIGMODE</t>
  </si>
  <si>
    <t>https://gamalytic.com/publisher/Bigmode</t>
  </si>
  <si>
    <t>53K</t>
  </si>
  <si>
    <t>Metroidvania, Puzzle, Puzzle Platformer, Platformer, Horror, Roguelite, Bullet Hell, Action Roguelike</t>
  </si>
  <si>
    <t>Animal Well</t>
  </si>
  <si>
    <t>New publisher founded by YouTuber Jason Gastrow (videogamedunkey) and his wife Leah (Leahbee)</t>
  </si>
  <si>
    <t>Studio Zero</t>
  </si>
  <si>
    <t>https://www.zero-one.fr/</t>
  </si>
  <si>
    <t>aerilys@astonishing-sports.app</t>
  </si>
  <si>
    <t>Quentin Sallat</t>
  </si>
  <si>
    <t>https://store.steampowered.com/app/1680650/Astonishing_Baseball_Manager/</t>
  </si>
  <si>
    <t>https://gamalytic.com/publisher/Studio%20Zero</t>
  </si>
  <si>
    <t>Jan 2022</t>
  </si>
  <si>
    <t>Roguelike, Roguelite, Space Sim, Real Time Tactics</t>
  </si>
  <si>
    <t>Draw Your Game, Astonishing Basketball</t>
  </si>
  <si>
    <t>Indie studio specialized in mobile games and data analytics, looking to start their publishing activities through personalized advising, training and data-driven marketing</t>
  </si>
  <si>
    <t>Banshee Games</t>
  </si>
  <si>
    <t>Ireland</t>
  </si>
  <si>
    <t>https://www.bansheegames.co.uk/</t>
  </si>
  <si>
    <t>publishing@banshee.games</t>
  </si>
  <si>
    <t>Leela Collins</t>
  </si>
  <si>
    <t>https://store.steampowered.com/developer/banshee</t>
  </si>
  <si>
    <t>https://gamalytic.com/publisher/Banshee%20Games</t>
  </si>
  <si>
    <t>Horror, Psychological Horror, Survival Horror, Resource Management</t>
  </si>
  <si>
    <t>CROWDED.FOLLOWED</t>
  </si>
  <si>
    <t>Banshee Games is a games publisher based in Belfast, dedicated to supporting and showcasing games made by developers from Ireland, living in Ireland, or telling culturally Irish stories.</t>
  </si>
  <si>
    <t>Klabater</t>
  </si>
  <si>
    <t>https://klabater.com/en/home/</t>
  </si>
  <si>
    <t>https://klabater.com/en/submit-your-game/</t>
  </si>
  <si>
    <t>Mariusz Duda</t>
  </si>
  <si>
    <t>https://store.steampowered.com/publisher/klabater</t>
  </si>
  <si>
    <t>https://gamalytic.com/publisher/Klabater</t>
  </si>
  <si>
    <t>Oct 2016</t>
  </si>
  <si>
    <r>
      <rPr>
        <rFont val="Calibri"/>
        <color rgb="FF1155CC"/>
        <u/>
      </rPr>
      <t>Darren Newnham</t>
    </r>
    <r>
      <rPr>
        <rFont val="Calibri"/>
      </rPr>
      <t xml:space="preserve">, </t>
    </r>
    <r>
      <rPr>
        <rFont val="Calibri"/>
        <color rgb="FF1155CC"/>
        <u/>
      </rPr>
      <t>Mark Faulkner</t>
    </r>
  </si>
  <si>
    <t>Flight, Immersive Sim, Co-op, Arcade, City Builder, Resource Management, Survival, Life Sim, Economy, Base Building</t>
  </si>
  <si>
    <t>We. The Revolution, Help Will Come Tomorrow, Best Month Ever</t>
  </si>
  <si>
    <t xml:space="preserve">They are publisher, developer and porting company publishing PC titles on all major console platforms. Can offer porting services without pre-payment based on publishing agreement. </t>
  </si>
  <si>
    <t>Blue Sunset Games</t>
  </si>
  <si>
    <t>http://www.bluesunsetgames.com</t>
  </si>
  <si>
    <t>info@bluesunsetgames.com</t>
  </si>
  <si>
    <t>https://store.steampowered.com/curator/33021578</t>
  </si>
  <si>
    <t>https://gamalytic.com/publisher/Blue%20Sunset%20Games</t>
  </si>
  <si>
    <t>Co-op, Arcade, Level Editor, Management, Competitive</t>
  </si>
  <si>
    <t>Skinny &amp; Franko, Car Demolition Clicker</t>
  </si>
  <si>
    <t>A newly founded publisher</t>
  </si>
  <si>
    <t>Iphigames</t>
  </si>
  <si>
    <t>Greece</t>
  </si>
  <si>
    <t>https://www.iphigames.com</t>
  </si>
  <si>
    <t>hello@iphigames.com</t>
  </si>
  <si>
    <t>https://store.steampowered.com/publisher/iphigames</t>
  </si>
  <si>
    <t>https://gamalytic.com/publisher/Iphigames</t>
  </si>
  <si>
    <t>Dec 2023</t>
  </si>
  <si>
    <t>Horror, Psychological Horror</t>
  </si>
  <si>
    <t>Skaramazuzu, Abtos Covert</t>
  </si>
  <si>
    <t>TAPBLAZE</t>
  </si>
  <si>
    <t>http://www.tapblaze.com</t>
  </si>
  <si>
    <t>pizza@tapblaze.com</t>
  </si>
  <si>
    <t>Anthony Lai</t>
  </si>
  <si>
    <t>https://store.steampowered.com/curator/34438802</t>
  </si>
  <si>
    <t>https://gamalytic.com/publisher/TapBlaze</t>
  </si>
  <si>
    <t>Management, Time Management, Cooking, Job Simulator</t>
  </si>
  <si>
    <t>Good Pizza, Great Pizza</t>
  </si>
  <si>
    <t>Well versed in mobile publishing and marketing. Looking for devs that need help with UI/UX, marketing and monetization. Experience with China Publishing.</t>
  </si>
  <si>
    <t>Lesser Evil</t>
  </si>
  <si>
    <t>https://lesserevil.games/</t>
  </si>
  <si>
    <t>doyouwanttoknowmore@lesserevil.games</t>
  </si>
  <si>
    <t>Michal Gembicki</t>
  </si>
  <si>
    <t>https://store.steampowered.com/publisher/LesserEvil</t>
  </si>
  <si>
    <t>https://gamalytic.com/publisher/Lesser%20Evil</t>
  </si>
  <si>
    <t>Feb 2024</t>
  </si>
  <si>
    <t>Sandbox, Open World, Flight, Stealth</t>
  </si>
  <si>
    <t>Death from above</t>
  </si>
  <si>
    <t>Their focus are games with political and social stance.</t>
  </si>
  <si>
    <t>Whisper Games</t>
  </si>
  <si>
    <t>http://www.whisperinteractive.com/</t>
  </si>
  <si>
    <t>business@whispergames.cn</t>
  </si>
  <si>
    <t>https://store.steampowered.com/publisher/WhisperGames/</t>
  </si>
  <si>
    <t>https://gamalytic.com/publisher/Whisper%20Games</t>
  </si>
  <si>
    <t>Roguelite, Turn-Based Combat, Dungeon Crawler, Party-Based RPG, Turn-Based Tactics, Roguelike, Procedural Generation</t>
  </si>
  <si>
    <t>Wildermyth, The Wondering Village, Toy TInker Sim, Nimbatus, Bridge Constructor Portal</t>
  </si>
  <si>
    <t>They are small but have published some good games, focused on Asian market, Chinese community representation, will do regional publishing agreements for Asia only</t>
  </si>
  <si>
    <t>Rogue Games</t>
  </si>
  <si>
    <t>https://rogueco.com/</t>
  </si>
  <si>
    <t>https://rogueco.com/contact/developer/</t>
  </si>
  <si>
    <t>https://store.steampowered.com/publisher/roguegamesinc</t>
  </si>
  <si>
    <t>https://gamalytic.com/publisher/Rogue%20Games,%20Inc.</t>
  </si>
  <si>
    <t>Puzzle, Psychological Horror, Card Game, Tactical RPG, Roguelite, Point &amp; Click, Turn-Based Strategy</t>
  </si>
  <si>
    <t>Sprawl, Arcanium: Rise of Akhan, Cookie Cutter, Homebody</t>
  </si>
  <si>
    <t>Null Games</t>
  </si>
  <si>
    <t>https://null.com/</t>
  </si>
  <si>
    <t>https://null.com/pitch</t>
  </si>
  <si>
    <t>Michael Ailshie</t>
  </si>
  <si>
    <t>https://store.steampowered.com/publisher/null</t>
  </si>
  <si>
    <t>https://gamalytic.com/publisher/Null%20Games</t>
  </si>
  <si>
    <t>Athena Crisis</t>
  </si>
  <si>
    <t>2025/07/15 - Rumored to be shut down</t>
  </si>
  <si>
    <t>Handy Games</t>
  </si>
  <si>
    <t>https://www.handy-games.com</t>
  </si>
  <si>
    <t>https://handy-games.com/en/publishing/#pitch</t>
  </si>
  <si>
    <r>
      <rPr>
        <rFont val="Calibri"/>
        <color rgb="FF1155CC"/>
        <u/>
      </rPr>
      <t>Jay Pfeifer</t>
    </r>
    <r>
      <rPr>
        <rFont val="Calibri"/>
        <color rgb="FF000000"/>
        <u/>
      </rPr>
      <t xml:space="preserve">; </t>
    </r>
    <r>
      <rPr>
        <rFont val="Calibri"/>
        <color rgb="FF1155CC"/>
        <u/>
      </rPr>
      <t>Daniel Weber</t>
    </r>
  </si>
  <si>
    <t>https://store.steampowered.com/developer/HandyGames</t>
  </si>
  <si>
    <t>https://gamalytic.com/publisher/HandyGames</t>
  </si>
  <si>
    <t>Jul 2007</t>
  </si>
  <si>
    <t>Jun 1997</t>
  </si>
  <si>
    <t>Simulation, Action, Adventure</t>
  </si>
  <si>
    <t>Little Big Workshop, Chicken police, Endling, Townsmen</t>
  </si>
  <si>
    <t>An indie publisher arm of THQ Nordic and Embracer Group.  Not currently offering funding at time of writing (Sep 2025)</t>
  </si>
  <si>
    <r>
      <rPr>
        <rFont val="Calibri"/>
        <color rgb="FF1155CC"/>
        <u/>
      </rPr>
      <t>Jay Pfeifer</t>
    </r>
    <r>
      <rPr>
        <rFont val="Calibri"/>
        <color rgb="FF000000"/>
        <u/>
      </rPr>
      <t xml:space="preserve">; </t>
    </r>
    <r>
      <rPr>
        <rFont val="Calibri"/>
        <color rgb="FF1155CC"/>
        <u/>
      </rPr>
      <t>Daniel Weber</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</si>
</sst>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lt;999950]0.0,&quot;K&quot;;[&lt;999950000]0.0,,&quot;M&quot;;0.0,,,&quot;B&quot;"/>
    <numFmt numFmtId="165" formatCode="mmm yyyy"/>
    <numFmt numFmtId="166" formatCode="&quot;$&quot;#,##0.00"/>
    <numFmt numFmtId="167" formatCode="mmm&quot; &quot;yyyy"/>
    <numFmt numFmtId="168" formatCode="mmmm yyyy"/>
  </numFmts>
  <fonts count="94">
    <font>
      <sz val="10.0"/>
      <color rgb="FF000000"/>
      <name val="Arial"/>
      <scheme val="minor"/>
    </font>
    <font>
      <b/>
      <sz val="14.0"/>
      <color rgb="FFFFFFFF"/>
      <name val="Calibri"/>
    </font>
    <font>
      <b/>
      <sz val="16.0"/>
      <color rgb="FFFFFFFF"/>
      <name val="Calibri"/>
    </font>
    <font>
      <i/>
      <sz val="11.0"/>
      <color rgb="FF595959"/>
      <name val="Calibri"/>
    </font>
    <font>
      <sz val="11.0"/>
      <color theme="1"/>
      <name val="Calibri"/>
    </font>
    <font>
      <b/>
      <sz val="11.0"/>
      <color rgb="FF000000"/>
      <name val="Calibri"/>
    </font>
    <font>
      <b/>
      <sz val="11.0"/>
      <color rgb="FFFFFFFF"/>
      <name val="Calibri"/>
    </font>
    <font>
      <b/>
      <sz val="11.0"/>
      <color theme="1"/>
      <name val="Calibri"/>
    </font>
    <font>
      <i/>
      <sz val="10.0"/>
      <color rgb="FF666666"/>
      <name val="Calibri"/>
    </font>
    <font>
      <color theme="1"/>
      <name val="Calibri"/>
    </font>
    <font>
      <sz val="11.0"/>
      <color rgb="FFFFFFFF"/>
      <name val="Calibri"/>
    </font>
    <font>
      <sz val="10.0"/>
      <color theme="1"/>
      <name val="Calibri"/>
    </font>
    <font>
      <b/>
      <u/>
      <sz val="11.0"/>
      <color rgb="FF0000FF"/>
      <name val="Calibri"/>
    </font>
    <font>
      <sz val="10.0"/>
      <color rgb="FFFFFFFF"/>
      <name val="Calibri"/>
    </font>
    <font>
      <color theme="1"/>
      <name val="Arial"/>
    </font>
    <font>
      <i/>
      <sz val="10.0"/>
      <color rgb="FF595959"/>
      <name val="Calibri"/>
    </font>
    <font>
      <u/>
      <sz val="10.0"/>
      <color rgb="FF0000FF"/>
      <name val="Calibri"/>
    </font>
    <font>
      <u/>
      <sz val="10.0"/>
      <color rgb="FF0000FF"/>
      <name val="Calibri"/>
    </font>
    <font>
      <sz val="10.0"/>
      <color rgb="FF1F1F1F"/>
      <name val="Calibri"/>
    </font>
    <font>
      <u/>
      <sz val="10.0"/>
      <color rgb="FF0000FF"/>
      <name val="Calibri"/>
    </font>
    <font>
      <u/>
      <color rgb="FF1155CC"/>
      <name val="Calibri"/>
    </font>
    <font>
      <u/>
      <sz val="10.0"/>
      <color rgb="FF0000FF"/>
      <name val="Calibri"/>
    </font>
    <font>
      <u/>
      <color rgb="FF0000FF"/>
      <name val="Calibri"/>
    </font>
    <font>
      <u/>
      <sz val="10.0"/>
      <color rgb="FF000000"/>
      <name val="Calibri"/>
    </font>
    <font>
      <sz val="10.0"/>
      <color rgb="FF000000"/>
      <name val="Calibri"/>
    </font>
    <font>
      <u/>
      <color rgb="FF0000FF"/>
      <name val="Calibri"/>
    </font>
    <font>
      <color theme="1"/>
      <name val="Arial"/>
      <scheme val="minor"/>
    </font>
    <font>
      <u/>
      <color rgb="FF0000FF"/>
      <name val="Calibri"/>
    </font>
    <font>
      <u/>
      <sz val="10.0"/>
      <color rgb="FF0000FF"/>
      <name val="Calibri"/>
    </font>
    <font>
      <sz val="11.0"/>
      <color rgb="FF000000"/>
      <name val="Calibri"/>
    </font>
    <font>
      <b/>
      <sz val="11.0"/>
      <color rgb="FF181A1B"/>
      <name val="Calibri"/>
    </font>
    <font>
      <u/>
      <color rgb="FF0000FF"/>
      <name val="Calibri"/>
    </font>
    <font>
      <u/>
      <color rgb="FF1155CC"/>
      <name val="Calibri"/>
    </font>
    <font>
      <u/>
      <color rgb="FF1155CC"/>
      <name val="Arial"/>
    </font>
    <font>
      <u/>
      <color rgb="FF0000FF"/>
      <name val="Calibri"/>
    </font>
    <font>
      <u/>
      <color rgb="FF1155CC"/>
      <name val="Calibri"/>
    </font>
    <font>
      <u/>
      <color rgb="FF0000FF"/>
      <name val="Calibri"/>
    </font>
    <font>
      <u/>
      <color rgb="FF1155CC"/>
      <name val="Calibri"/>
    </font>
    <font>
      <u/>
      <sz val="10.0"/>
      <color rgb="FF1155CC"/>
      <name val="Calibri"/>
    </font>
    <font>
      <u/>
      <color rgb="FF0000FF"/>
      <name val="Calibri"/>
    </font>
    <font>
      <sz val="10.0"/>
      <color rgb="FF181A1B"/>
      <name val="Calibri"/>
    </font>
    <font>
      <u/>
      <sz val="10.0"/>
      <color rgb="FF0000FF"/>
      <name val="Calibri"/>
    </font>
    <font>
      <u/>
      <sz val="10.0"/>
      <color rgb="FF0000FF"/>
      <name val="Calibri"/>
    </font>
    <font>
      <u/>
      <sz val="10.0"/>
      <color rgb="FF181A1B"/>
      <name val="Calibri"/>
    </font>
    <font>
      <u/>
      <color rgb="FF1155CC"/>
      <name val="Calibri"/>
    </font>
    <font>
      <u/>
      <color rgb="FF0000FF"/>
      <name val="Calibri"/>
    </font>
    <font>
      <u/>
      <sz val="11.0"/>
      <color rgb="FF0000FF"/>
      <name val="Calibri"/>
    </font>
    <font>
      <u/>
      <color rgb="FF0000FF"/>
      <name val="Calibri"/>
    </font>
    <font>
      <u/>
      <sz val="10.0"/>
      <color rgb="FF0000FF"/>
      <name val="Calibri"/>
    </font>
    <font>
      <u/>
      <color rgb="FF1155CC"/>
      <name val="Calibri"/>
    </font>
    <font>
      <u/>
      <color rgb="FF0000FF"/>
      <name val="Calibri"/>
    </font>
    <font>
      <u/>
      <color rgb="FF0000FF"/>
      <name val="Calibri"/>
    </font>
    <font>
      <u/>
      <sz val="10.0"/>
      <color rgb="FF0000FF"/>
      <name val="Calibri"/>
    </font>
    <font>
      <u/>
      <color rgb="FF0000FF"/>
    </font>
    <font>
      <b/>
      <color theme="1"/>
      <name val="Arial"/>
      <scheme val="minor"/>
    </font>
    <font>
      <u/>
      <sz val="10.0"/>
      <color rgb="FF0000FF"/>
      <name val="Calibri"/>
    </font>
    <font>
      <u/>
      <color rgb="FF0000FF"/>
    </font>
    <font>
      <u/>
      <color rgb="FF1155CC"/>
      <name val="Calibri"/>
    </font>
    <font>
      <u/>
      <sz val="11.0"/>
      <color rgb="FF000000"/>
      <name val="Calibri"/>
    </font>
    <font>
      <u/>
      <sz val="11.0"/>
      <color rgb="FF0000FF"/>
      <name val="Calibri"/>
    </font>
    <font>
      <u/>
      <color rgb="FF1155CC"/>
      <name val="Calibri"/>
    </font>
    <font>
      <u/>
      <color rgb="FF0000FF"/>
      <name val="Calibri"/>
    </font>
    <font>
      <color theme="1"/>
      <name val="Montserrat"/>
    </font>
    <font>
      <u/>
      <color rgb="FF0000FF"/>
      <name val="Calibri"/>
    </font>
    <font>
      <u/>
      <sz val="10.0"/>
      <color rgb="FF0000FF"/>
      <name val="Calibri"/>
    </font>
    <font>
      <b/>
      <color theme="1"/>
      <name val="Calibri"/>
    </font>
    <font>
      <u/>
      <color rgb="FF1155CC"/>
      <name val="Calibri"/>
    </font>
    <font>
      <u/>
      <color rgb="FF1155CC"/>
      <name val="Calibri"/>
    </font>
    <font>
      <u/>
      <sz val="10.0"/>
      <color rgb="FF0000FF"/>
      <name val="Calibri"/>
    </font>
    <font>
      <u/>
      <sz val="10.0"/>
      <color rgb="FF1155CC"/>
      <name val="Calibri"/>
    </font>
    <font>
      <u/>
      <color rgb="FF1155CC"/>
      <name val="Calibri"/>
    </font>
    <font>
      <u/>
      <color rgb="FF1155CC"/>
      <name val="Calibri"/>
    </font>
    <font>
      <u/>
      <sz val="10.0"/>
      <color rgb="FF0000FF"/>
      <name val="Calibri"/>
    </font>
    <font>
      <sz val="8.0"/>
      <color theme="1"/>
      <name val="Calibri"/>
    </font>
    <font>
      <u/>
      <color rgb="FF1155CC"/>
      <name val="Calibri"/>
    </font>
    <font>
      <color rgb="FF000000"/>
      <name val="Calibri"/>
    </font>
    <font>
      <color rgb="FF000000"/>
      <name val="&quot;Roboto Condensed&quot;"/>
    </font>
    <font>
      <u/>
      <color rgb="FF0000FF"/>
      <name val="Calibri"/>
    </font>
    <font>
      <u/>
      <color rgb="FF1155CC"/>
      <name val="Calibri"/>
    </font>
    <font>
      <u/>
      <sz val="10.0"/>
      <color rgb="FF1155CC"/>
      <name val="Calibri"/>
    </font>
    <font>
      <u/>
      <color rgb="FF0000FF"/>
      <name val="Calibri"/>
    </font>
    <font>
      <u/>
      <color rgb="FF0000FF"/>
      <name val="Calibri"/>
    </font>
    <font>
      <u/>
      <color rgb="FF0000FF"/>
      <name val="Calibri"/>
    </font>
    <font>
      <i/>
      <sz val="10.0"/>
      <color rgb="FFEFEFEF"/>
      <name val="Calibri"/>
    </font>
    <font>
      <u/>
      <color rgb="FF1155CC"/>
      <name val="Arial"/>
    </font>
    <font>
      <u/>
      <sz val="9.0"/>
      <color rgb="FF0000FF"/>
    </font>
    <font>
      <b/>
      <sz val="10.0"/>
      <color theme="1"/>
      <name val="Calibri"/>
    </font>
    <font>
      <b/>
      <sz val="10.0"/>
      <color rgb="FFFFFFFF"/>
      <name val="Calibri"/>
    </font>
    <font>
      <color rgb="FF000000"/>
      <name val="&quot;docs-Calibri&quot;"/>
    </font>
    <font>
      <u/>
      <sz val="10.0"/>
      <color rgb="FF1155CC"/>
      <name val="Calibri"/>
    </font>
    <font>
      <u/>
      <sz val="10.0"/>
      <color rgb="FF1155CC"/>
      <name val="Calibri"/>
    </font>
    <font>
      <u/>
      <color rgb="FF0000FF"/>
      <name val="Calibri"/>
    </font>
    <font>
      <u/>
      <sz val="10.0"/>
      <color rgb="FF1155CC"/>
      <name val="Calibri"/>
    </font>
    <font>
      <b/>
      <u/>
      <sz val="11.0"/>
      <color rgb="FF0000FF"/>
      <name val="Calibri"/>
    </font>
  </fonts>
  <fills count="14">
    <fill>
      <patternFill patternType="none"/>
    </fill>
    <fill>
      <patternFill patternType="lightGray"/>
    </fill>
    <fill>
      <patternFill patternType="solid">
        <fgColor rgb="FF38761D"/>
        <bgColor rgb="FF38761D"/>
      </patternFill>
    </fill>
    <fill>
      <patternFill patternType="solid">
        <fgColor rgb="FFF1C232"/>
        <bgColor rgb="FFF1C232"/>
      </patternFill>
    </fill>
    <fill>
      <patternFill patternType="solid">
        <fgColor rgb="FFF0C231"/>
        <bgColor rgb="FFF0C231"/>
      </patternFill>
    </fill>
    <fill>
      <patternFill patternType="solid">
        <fgColor rgb="FFCFE1F3"/>
        <bgColor rgb="FFCFE1F3"/>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FFFFFF"/>
        <bgColor rgb="FFFFFFFF"/>
      </patternFill>
    </fill>
    <fill>
      <patternFill patternType="solid">
        <fgColor rgb="FF990000"/>
        <bgColor rgb="FF990000"/>
      </patternFill>
    </fill>
    <fill>
      <patternFill patternType="solid">
        <fgColor rgb="FF2B518C"/>
        <bgColor rgb="FF2B518C"/>
      </patternFill>
    </fill>
    <fill>
      <patternFill patternType="solid">
        <fgColor rgb="FF741B47"/>
        <bgColor rgb="FF741B47"/>
      </patternFill>
    </fill>
    <fill>
      <patternFill patternType="solid">
        <fgColor rgb="FFD9EAD3"/>
        <bgColor rgb="FFD9EAD3"/>
      </patternFill>
    </fill>
  </fills>
  <borders count="1">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ill="1" applyFont="1">
      <alignment readingOrder="0" shrinkToFit="0" vertical="center" wrapText="1"/>
    </xf>
    <xf borderId="0" fillId="2" fontId="1" numFmtId="0" xfId="0" applyAlignment="1" applyFill="1" applyFont="1">
      <alignment vertical="center"/>
    </xf>
    <xf borderId="0" fillId="0" fontId="3" numFmtId="0" xfId="0" applyAlignment="1" applyFont="1">
      <alignment readingOrder="0" shrinkToFit="0" vertical="center" wrapText="1"/>
    </xf>
    <xf borderId="0" fillId="0" fontId="4" numFmtId="0" xfId="0" applyAlignment="1" applyFont="1">
      <alignment shrinkToFit="0" vertical="center" wrapText="1"/>
    </xf>
    <xf borderId="0" fillId="3" fontId="5" numFmtId="0" xfId="0" applyAlignment="1" applyFill="1" applyFont="1">
      <alignment readingOrder="0" shrinkToFit="0" vertical="bottom" wrapText="1"/>
    </xf>
    <xf borderId="0" fillId="2" fontId="6" numFmtId="0" xfId="0" applyAlignment="1" applyFill="1" applyFont="1">
      <alignment readingOrder="0" shrinkToFit="0" vertical="center" wrapText="1"/>
    </xf>
    <xf borderId="0" fillId="3" fontId="7" numFmtId="0" xfId="0" applyAlignment="1" applyFill="1" applyFont="1">
      <alignment readingOrder="0" shrinkToFit="0" wrapText="1"/>
    </xf>
    <xf borderId="0" fillId="0" fontId="4" numFmtId="0" xfId="0" applyAlignment="1" applyFont="1">
      <alignment readingOrder="0" shrinkToFit="0" vertical="center" wrapText="1"/>
    </xf>
    <xf borderId="0" fillId="3" fontId="7" numFmtId="0" xfId="0" applyAlignment="1" applyFill="1" applyFont="1">
      <alignment horizontal="left" shrinkToFit="0" vertical="bottom" wrapText="1"/>
    </xf>
    <xf borderId="0" fillId="4" fontId="7" numFmtId="0" xfId="0" applyAlignment="1" applyFill="1" applyFont="1">
      <alignment readingOrder="0" shrinkToFit="0" vertical="center" wrapText="1"/>
    </xf>
    <xf borderId="0" fillId="3" fontId="7" numFmtId="0" xfId="0" applyAlignment="1" applyFill="1" applyFont="1">
      <alignment horizontal="left" readingOrder="0" shrinkToFit="0" vertical="bottom" wrapText="1"/>
    </xf>
    <xf borderId="0" fillId="0" fontId="8" numFmtId="0" xfId="0" applyAlignment="1" applyFont="1">
      <alignment readingOrder="0"/>
    </xf>
    <xf borderId="0" fillId="0" fontId="9" numFmtId="0" xfId="0" applyFont="1"/>
    <xf borderId="0" fillId="3" fontId="7" numFmtId="0" xfId="0" applyAlignment="1" applyFill="1" applyFont="1">
      <alignment shrinkToFit="0" vertical="bottom" wrapText="1"/>
    </xf>
    <xf borderId="0" fillId="3" fontId="7" numFmtId="0" xfId="0" applyAlignment="1" applyFill="1" applyFont="1">
      <alignment readingOrder="0" shrinkToFit="0" wrapText="0"/>
    </xf>
    <xf borderId="0" fillId="0" fontId="10" numFmtId="0" xfId="0" applyAlignment="1" applyFont="1">
      <alignment readingOrder="0"/>
    </xf>
    <xf borderId="0" fillId="0" fontId="11" numFmtId="0" xfId="0" applyAlignment="1" applyFont="1">
      <alignment readingOrder="0"/>
    </xf>
    <xf borderId="0" fillId="3" fontId="7" numFmtId="0" xfId="0" applyAlignment="1" applyFill="1" applyFont="1">
      <alignment readingOrder="0"/>
    </xf>
    <xf borderId="0" fillId="5" fontId="12" numFmtId="0" xfId="0" applyAlignment="1" applyFill="1" applyFont="1">
      <alignment shrinkToFit="0" vertical="center" wrapText="1"/>
    </xf>
    <xf borderId="0" fillId="0" fontId="13" numFmtId="0" xfId="0" applyAlignment="1" applyFont="1">
      <alignment readingOrder="0"/>
    </xf>
    <xf borderId="0" fillId="0" fontId="11" numFmtId="0" xfId="0" applyFont="1"/>
    <xf borderId="0" fillId="0" fontId="11" numFmtId="0" xfId="0" applyAlignment="1" applyFont="1">
      <alignment readingOrder="0" shrinkToFit="0" vertical="center" wrapText="1"/>
    </xf>
    <xf borderId="0" fillId="0" fontId="11" numFmtId="0" xfId="0" applyAlignment="1" applyFont="1">
      <alignment horizontal="left"/>
    </xf>
    <xf borderId="0" fillId="0" fontId="11" numFmtId="0" xfId="0" applyAlignment="1" applyFont="1">
      <alignment readingOrder="0" shrinkToFit="0" vertical="bottom" wrapText="0"/>
    </xf>
    <xf borderId="0" fillId="0" fontId="11" numFmtId="164" xfId="0" applyAlignment="1" applyFont="1" applyNumberFormat="1">
      <alignment horizontal="left"/>
    </xf>
    <xf borderId="0" fillId="0" fontId="14" numFmtId="0" xfId="0" applyAlignment="1" applyFont="1">
      <alignment vertical="bottom"/>
    </xf>
    <xf borderId="0" fillId="0" fontId="11" numFmtId="0" xfId="0" applyAlignment="1" applyFont="1">
      <alignment shrinkToFit="0" wrapText="0"/>
    </xf>
    <xf borderId="0" fillId="0" fontId="9" numFmtId="0" xfId="0" applyAlignment="1" applyFont="1">
      <alignment horizontal="right" readingOrder="0" vertical="center"/>
    </xf>
    <xf borderId="0" fillId="2" fontId="10" numFmtId="0" xfId="0" applyAlignment="1" applyFill="1" applyFont="1">
      <alignment readingOrder="0"/>
    </xf>
    <xf borderId="0" fillId="0" fontId="7" numFmtId="0" xfId="0" applyAlignment="1" applyFont="1">
      <alignment vertical="center"/>
    </xf>
    <xf borderId="0" fillId="2" fontId="11" numFmtId="0" xfId="0" applyFill="1" applyFont="1"/>
    <xf borderId="0" fillId="2" fontId="13" numFmtId="0" xfId="0" applyAlignment="1" applyFill="1" applyFont="1">
      <alignment readingOrder="0"/>
    </xf>
    <xf borderId="0" fillId="2" fontId="11" numFmtId="0" xfId="0" applyAlignment="1" applyFill="1" applyFont="1">
      <alignment horizontal="left"/>
    </xf>
    <xf borderId="0" fillId="2" fontId="11" numFmtId="164" xfId="0" applyAlignment="1" applyFill="1" applyFont="1" applyNumberFormat="1">
      <alignment horizontal="left"/>
    </xf>
    <xf borderId="0" fillId="2" fontId="14" numFmtId="0" xfId="0" applyAlignment="1" applyFill="1" applyFont="1">
      <alignment vertical="bottom"/>
    </xf>
    <xf borderId="0" fillId="6" fontId="11" numFmtId="0" xfId="0" applyAlignment="1" applyFill="1" applyFont="1">
      <alignment readingOrder="0" shrinkToFit="0" wrapText="1"/>
    </xf>
    <xf borderId="0" fillId="2" fontId="11" numFmtId="0" xfId="0" applyAlignment="1" applyFill="1" applyFont="1">
      <alignment shrinkToFit="0" wrapText="0"/>
    </xf>
    <xf borderId="0" fillId="0" fontId="4" numFmtId="0" xfId="0" applyAlignment="1" applyFont="1">
      <alignment shrinkToFit="0" wrapText="0"/>
    </xf>
    <xf borderId="0" fillId="0" fontId="11" numFmtId="0" xfId="0" applyAlignment="1" applyFont="1">
      <alignment readingOrder="0" shrinkToFit="0" wrapText="0"/>
    </xf>
    <xf borderId="0" fillId="0" fontId="11" numFmtId="0" xfId="0" applyAlignment="1" applyFont="1">
      <alignment shrinkToFit="0" wrapText="0"/>
    </xf>
    <xf borderId="0" fillId="0" fontId="14" numFmtId="0" xfId="0" applyAlignment="1" applyFont="1">
      <alignment vertical="bottom"/>
    </xf>
    <xf borderId="0" fillId="0" fontId="9" numFmtId="0" xfId="0" applyAlignment="1" applyFont="1">
      <alignment horizontal="left" vertical="bottom"/>
    </xf>
    <xf borderId="0" fillId="0" fontId="9" numFmtId="164" xfId="0" applyAlignment="1" applyFont="1" applyNumberFormat="1">
      <alignment horizontal="left" vertical="bottom"/>
    </xf>
    <xf borderId="0" fillId="7" fontId="7" numFmtId="0" xfId="0" applyAlignment="1" applyFill="1" applyFont="1">
      <alignment readingOrder="0" shrinkToFit="0" vertical="bottom" wrapText="0"/>
    </xf>
    <xf borderId="0" fillId="4" fontId="7" numFmtId="0" xfId="0" applyAlignment="1" applyFill="1" applyFont="1">
      <alignment shrinkToFit="0" vertical="center" wrapText="1"/>
    </xf>
    <xf borderId="0" fillId="5" fontId="7" numFmtId="0" xfId="0" applyAlignment="1" applyFill="1" applyFont="1">
      <alignment readingOrder="0" shrinkToFit="0" vertical="center" wrapText="1"/>
    </xf>
    <xf borderId="0" fillId="0" fontId="11" numFmtId="0" xfId="0" applyAlignment="1" applyFont="1">
      <alignment shrinkToFit="0" vertical="center" wrapText="1"/>
    </xf>
    <xf borderId="0" fillId="7" fontId="7" numFmtId="0" xfId="0" applyAlignment="1" applyFill="1" applyFont="1">
      <alignment shrinkToFit="0" vertical="bottom" wrapText="0"/>
    </xf>
    <xf borderId="0" fillId="0" fontId="15" numFmtId="0" xfId="0" applyAlignment="1" applyFont="1">
      <alignment readingOrder="0" shrinkToFit="0" vertical="center" wrapText="1"/>
    </xf>
    <xf borderId="0" fillId="0" fontId="11" numFmtId="0" xfId="0" applyAlignment="1" applyFont="1">
      <alignment readingOrder="0" shrinkToFit="0" vertical="center" wrapText="1"/>
    </xf>
    <xf borderId="0" fillId="0" fontId="16" numFmtId="0" xfId="0" applyAlignment="1" applyFont="1">
      <alignment readingOrder="0" shrinkToFit="0" wrapText="0"/>
    </xf>
    <xf borderId="0" fillId="2" fontId="10" numFmtId="0" xfId="0" applyFill="1" applyFont="1"/>
    <xf borderId="0" fillId="0" fontId="15" numFmtId="0" xfId="0" applyAlignment="1" applyFont="1">
      <alignment readingOrder="0" shrinkToFit="0" vertical="center" wrapText="1"/>
    </xf>
    <xf borderId="0" fillId="0" fontId="17" numFmtId="0" xfId="0" applyAlignment="1" applyFont="1">
      <alignment readingOrder="0" shrinkToFit="0" wrapText="0"/>
    </xf>
    <xf borderId="0" fillId="0" fontId="18" numFmtId="0" xfId="0" applyAlignment="1" applyFont="1">
      <alignment readingOrder="0" shrinkToFit="0" vertical="center" wrapText="0"/>
    </xf>
    <xf borderId="0" fillId="5" fontId="7" numFmtId="0" xfId="0" applyAlignment="1" applyFill="1" applyFont="1">
      <alignment horizontal="center" readingOrder="0" shrinkToFit="0" vertical="center" wrapText="1"/>
    </xf>
    <xf borderId="0" fillId="4" fontId="7" numFmtId="0" xfId="0" applyAlignment="1" applyFill="1" applyFont="1">
      <alignment readingOrder="0" shrinkToFit="0" vertical="center" wrapText="1"/>
    </xf>
    <xf borderId="0" fillId="0" fontId="19" numFmtId="0" xfId="0" applyAlignment="1" applyFont="1">
      <alignment readingOrder="0" shrinkToFit="0" vertical="bottom" wrapText="0"/>
    </xf>
    <xf borderId="0" fillId="0" fontId="4" numFmtId="0" xfId="0" applyAlignment="1" applyFont="1">
      <alignment readingOrder="0" shrinkToFit="0" vertical="center" wrapText="1"/>
    </xf>
    <xf borderId="0" fillId="0" fontId="20" numFmtId="0" xfId="0" applyAlignment="1" applyFont="1">
      <alignment readingOrder="0" vertical="bottom"/>
    </xf>
    <xf borderId="0" fillId="0" fontId="9" numFmtId="0" xfId="0" applyAlignment="1" applyFont="1">
      <alignment horizontal="left" readingOrder="0" vertical="bottom"/>
    </xf>
    <xf borderId="0" fillId="0" fontId="9" numFmtId="49" xfId="0" applyAlignment="1" applyFont="1" applyNumberFormat="1">
      <alignment readingOrder="0" vertical="bottom"/>
    </xf>
    <xf borderId="0" fillId="0" fontId="9" numFmtId="0" xfId="0" applyAlignment="1" applyFont="1">
      <alignment readingOrder="0" vertical="bottom"/>
    </xf>
    <xf borderId="0" fillId="0" fontId="9" numFmtId="164" xfId="0" applyAlignment="1" applyFont="1" applyNumberFormat="1">
      <alignment readingOrder="0" vertical="bottom"/>
    </xf>
    <xf borderId="0" fillId="0" fontId="9" numFmtId="164" xfId="0" applyAlignment="1" applyFont="1" applyNumberFormat="1">
      <alignment readingOrder="0" vertical="bottom"/>
    </xf>
    <xf borderId="0" fillId="0" fontId="21" numFmtId="0" xfId="0" applyAlignment="1" applyFont="1">
      <alignment shrinkToFit="0" vertical="center" wrapText="1"/>
    </xf>
    <xf borderId="0" fillId="0" fontId="9" numFmtId="0" xfId="0" applyAlignment="1" applyFont="1">
      <alignment vertical="bottom"/>
    </xf>
    <xf borderId="0" fillId="0" fontId="11" numFmtId="0" xfId="0" applyAlignment="1" applyFont="1">
      <alignment readingOrder="0" shrinkToFit="0" vertical="bottom" wrapText="0"/>
    </xf>
    <xf borderId="0" fillId="7" fontId="5" numFmtId="0" xfId="0" applyAlignment="1" applyFill="1" applyFont="1">
      <alignment readingOrder="0" shrinkToFit="0" vertical="bottom" wrapText="0"/>
    </xf>
    <xf borderId="0" fillId="0" fontId="22" numFmtId="0" xfId="0" applyAlignment="1" applyFont="1">
      <alignment readingOrder="0" vertical="bottom"/>
    </xf>
    <xf borderId="0" fillId="0" fontId="9" numFmtId="1" xfId="0" applyAlignment="1" applyFont="1" applyNumberFormat="1">
      <alignment horizontal="left" readingOrder="0" vertical="bottom"/>
    </xf>
    <xf borderId="0" fillId="0" fontId="11" numFmtId="0" xfId="0" applyAlignment="1" applyFont="1">
      <alignment readingOrder="0" shrinkToFit="0" vertical="center" wrapText="0"/>
    </xf>
    <xf borderId="0" fillId="0" fontId="11" numFmtId="0" xfId="0" applyAlignment="1" applyFont="1">
      <alignment readingOrder="0" vertical="center"/>
    </xf>
    <xf borderId="0" fillId="0" fontId="23" numFmtId="0" xfId="0" applyAlignment="1" applyFont="1">
      <alignment readingOrder="0" shrinkToFit="0" vertical="bottom" wrapText="0"/>
    </xf>
    <xf borderId="0" fillId="0" fontId="11" numFmtId="0" xfId="0" applyAlignment="1" applyFont="1">
      <alignment readingOrder="0" shrinkToFit="0" wrapText="0"/>
    </xf>
    <xf borderId="0" fillId="0" fontId="24" numFmtId="0" xfId="0" applyAlignment="1" applyFont="1">
      <alignment readingOrder="0" shrinkToFit="0" vertical="bottom" wrapText="0"/>
    </xf>
    <xf borderId="0" fillId="0" fontId="9" numFmtId="0" xfId="0" applyAlignment="1" applyFont="1">
      <alignment horizontal="left" readingOrder="0" vertical="center"/>
    </xf>
    <xf borderId="0" fillId="0" fontId="9" numFmtId="164" xfId="0" applyAlignment="1" applyFont="1" applyNumberFormat="1">
      <alignment horizontal="right" readingOrder="0" vertical="center"/>
    </xf>
    <xf borderId="0" fillId="0" fontId="9" numFmtId="164" xfId="0" applyAlignment="1" applyFont="1" applyNumberFormat="1">
      <alignment horizontal="right" readingOrder="0" vertical="bottom"/>
    </xf>
    <xf borderId="0" fillId="0" fontId="24" numFmtId="0" xfId="0" applyAlignment="1" applyFont="1">
      <alignment readingOrder="0" shrinkToFit="0" vertical="center" wrapText="0"/>
    </xf>
    <xf borderId="0" fillId="7" fontId="7" numFmtId="0" xfId="0" applyAlignment="1" applyFill="1" applyFont="1">
      <alignment readingOrder="0" shrinkToFit="0" wrapText="0"/>
    </xf>
    <xf borderId="0" fillId="0" fontId="9"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11" numFmtId="0" xfId="0" applyAlignment="1" applyFont="1">
      <alignment readingOrder="0" shrinkToFit="0" wrapText="0"/>
    </xf>
    <xf borderId="0" fillId="0" fontId="14" numFmtId="49" xfId="0" applyAlignment="1" applyFont="1" applyNumberFormat="1">
      <alignment readingOrder="0" vertical="bottom"/>
    </xf>
    <xf borderId="0" fillId="7" fontId="7" numFmtId="0" xfId="0" applyAlignment="1" applyFill="1" applyFont="1">
      <alignment readingOrder="0" vertical="bottom"/>
    </xf>
    <xf borderId="0" fillId="0" fontId="9" numFmtId="0" xfId="0" applyFont="1"/>
    <xf borderId="0" fillId="0" fontId="9" numFmtId="0" xfId="0" applyAlignment="1" applyFont="1">
      <alignment readingOrder="0" shrinkToFit="0" vertical="bottom" wrapText="0"/>
    </xf>
    <xf borderId="0" fillId="7" fontId="7" numFmtId="0" xfId="0" applyAlignment="1" applyFill="1" applyFont="1">
      <alignment readingOrder="0" shrinkToFit="0" vertical="center" wrapText="0"/>
    </xf>
    <xf borderId="0" fillId="0" fontId="9" numFmtId="0" xfId="0" applyAlignment="1" applyFont="1">
      <alignment readingOrder="0" vertical="center"/>
    </xf>
    <xf borderId="0" fillId="0" fontId="27" numFmtId="0" xfId="0" applyAlignment="1" applyFont="1">
      <alignment readingOrder="0" vertical="center"/>
    </xf>
    <xf borderId="0" fillId="0" fontId="28" numFmtId="0" xfId="0" applyAlignment="1" applyFont="1">
      <alignment readingOrder="0" shrinkToFit="0" vertical="center" wrapText="0"/>
    </xf>
    <xf borderId="0" fillId="0" fontId="9" numFmtId="164" xfId="0" applyAlignment="1" applyFont="1" applyNumberFormat="1">
      <alignment readingOrder="0" vertical="center"/>
    </xf>
    <xf borderId="0" fillId="0" fontId="29" numFmtId="0" xfId="0" applyAlignment="1" applyFont="1">
      <alignment shrinkToFit="0" vertical="bottom" wrapText="0"/>
    </xf>
    <xf borderId="0" fillId="7" fontId="30" numFmtId="0" xfId="0" applyAlignment="1" applyFill="1" applyFont="1">
      <alignment horizontal="left" readingOrder="0" vertical="bottom"/>
    </xf>
    <xf borderId="0" fillId="0" fontId="31" numFmtId="0" xfId="0" applyAlignment="1" applyFont="1">
      <alignment readingOrder="0" shrinkToFit="0" wrapText="0"/>
    </xf>
    <xf borderId="0" fillId="7" fontId="7" numFmtId="0" xfId="0" applyAlignment="1" applyFill="1" applyFont="1">
      <alignment vertical="bottom"/>
    </xf>
    <xf borderId="0" fillId="7" fontId="7" numFmtId="0" xfId="0" applyAlignment="1" applyFill="1" applyFont="1">
      <alignment readingOrder="0"/>
    </xf>
    <xf borderId="0" fillId="0" fontId="32" numFmtId="0" xfId="0" applyAlignment="1" applyFont="1">
      <alignment vertical="bottom"/>
    </xf>
    <xf borderId="0" fillId="0" fontId="9" numFmtId="0" xfId="0" applyAlignment="1" applyFont="1">
      <alignment readingOrder="0" shrinkToFit="0" vertical="bottom" wrapText="0"/>
    </xf>
    <xf borderId="0" fillId="0" fontId="33" numFmtId="0" xfId="0" applyAlignment="1" applyFont="1">
      <alignment vertical="bottom"/>
    </xf>
    <xf borderId="0" fillId="0" fontId="14" numFmtId="0" xfId="0" applyAlignment="1" applyFont="1">
      <alignment shrinkToFit="0" vertical="bottom" wrapText="0"/>
    </xf>
    <xf borderId="0" fillId="7" fontId="7" numFmtId="0" xfId="0" applyAlignment="1" applyFill="1" applyFont="1">
      <alignment horizontal="left" readingOrder="0" vertical="bottom"/>
    </xf>
    <xf borderId="0" fillId="0" fontId="9" numFmtId="0" xfId="0" applyAlignment="1" applyFont="1">
      <alignment horizontal="left" readingOrder="0"/>
    </xf>
    <xf borderId="0" fillId="0" fontId="34" numFmtId="0" xfId="0" applyAlignment="1" applyFont="1">
      <alignment horizontal="left" readingOrder="0"/>
    </xf>
    <xf borderId="0" fillId="0" fontId="26" numFmtId="0" xfId="0" applyAlignment="1" applyFont="1">
      <alignment horizontal="left" readingOrder="0"/>
    </xf>
    <xf borderId="0" fillId="0" fontId="35" numFmtId="0" xfId="0" applyAlignment="1" applyFont="1">
      <alignment horizontal="left" readingOrder="0" shrinkToFit="0" vertical="bottom" wrapText="0"/>
    </xf>
    <xf borderId="0" fillId="0" fontId="36" numFmtId="0" xfId="0" applyAlignment="1" applyFont="1">
      <alignment horizontal="left" readingOrder="0" vertical="bottom"/>
    </xf>
    <xf borderId="0" fillId="0" fontId="37" numFmtId="0" xfId="0" applyAlignment="1" applyFont="1">
      <alignment horizontal="left" readingOrder="0" vertical="bottom"/>
    </xf>
    <xf borderId="0" fillId="0" fontId="11" numFmtId="0" xfId="0" applyAlignment="1" applyFont="1">
      <alignment horizontal="left" readingOrder="0" shrinkToFit="0" wrapText="0"/>
    </xf>
    <xf borderId="0" fillId="0" fontId="9" numFmtId="0" xfId="0" applyAlignment="1" applyFont="1">
      <alignment horizontal="left" readingOrder="0" shrinkToFit="0" vertical="bottom" wrapText="0"/>
    </xf>
    <xf borderId="0" fillId="0" fontId="14" numFmtId="0" xfId="0" applyAlignment="1" applyFont="1">
      <alignment horizontal="left" vertical="bottom"/>
    </xf>
    <xf borderId="0" fillId="0" fontId="24" numFmtId="0" xfId="0" applyAlignment="1" applyFont="1">
      <alignment readingOrder="0" shrinkToFit="0" vertical="bottom" wrapText="0"/>
    </xf>
    <xf borderId="0" fillId="0" fontId="38" numFmtId="0" xfId="0" applyAlignment="1" applyFont="1">
      <alignment shrinkToFit="0" vertical="bottom" wrapText="0"/>
    </xf>
    <xf borderId="0" fillId="0" fontId="9" numFmtId="3" xfId="0" applyAlignment="1" applyFont="1" applyNumberFormat="1">
      <alignment horizontal="left" readingOrder="0" vertical="bottom"/>
    </xf>
    <xf borderId="0" fillId="0" fontId="11" numFmtId="0" xfId="0" applyAlignment="1" applyFont="1">
      <alignment readingOrder="0" shrinkToFit="0" wrapText="0"/>
    </xf>
    <xf borderId="0" fillId="0" fontId="9" numFmtId="0" xfId="0" applyAlignment="1" applyFont="1">
      <alignment shrinkToFit="0" vertical="bottom" wrapText="0"/>
    </xf>
    <xf borderId="0" fillId="0" fontId="39" numFmtId="0" xfId="0" applyAlignment="1" applyFont="1">
      <alignment readingOrder="0" shrinkToFit="0" vertical="bottom" wrapText="0"/>
    </xf>
    <xf borderId="0" fillId="0" fontId="14" numFmtId="0" xfId="0" applyAlignment="1" applyFont="1">
      <alignment readingOrder="0" vertical="bottom"/>
    </xf>
    <xf borderId="0" fillId="0" fontId="9" numFmtId="0" xfId="0" applyAlignment="1" applyFont="1">
      <alignment vertical="bottom"/>
    </xf>
    <xf borderId="0" fillId="7" fontId="30" numFmtId="0" xfId="0" applyAlignment="1" applyFill="1" applyFont="1">
      <alignment readingOrder="0" vertical="bottom"/>
    </xf>
    <xf borderId="0" fillId="0" fontId="40" numFmtId="0" xfId="0" applyAlignment="1" applyFont="1">
      <alignment readingOrder="0"/>
    </xf>
    <xf borderId="0" fillId="0" fontId="41" numFmtId="0" xfId="0" applyAlignment="1" applyFont="1">
      <alignment readingOrder="0" vertical="bottom"/>
    </xf>
    <xf borderId="0" fillId="0" fontId="42" numFmtId="0" xfId="0" applyAlignment="1" applyFont="1">
      <alignment readingOrder="0" vertical="bottom"/>
    </xf>
    <xf borderId="0" fillId="0" fontId="11" numFmtId="0" xfId="0" applyAlignment="1" applyFont="1">
      <alignment horizontal="left" readingOrder="0" vertical="bottom"/>
    </xf>
    <xf borderId="0" fillId="0" fontId="11" numFmtId="0" xfId="0" applyAlignment="1" applyFont="1">
      <alignment horizontal="left" readingOrder="0"/>
    </xf>
    <xf borderId="0" fillId="0" fontId="11" numFmtId="0" xfId="0" applyAlignment="1" applyFont="1">
      <alignment readingOrder="0" vertical="bottom"/>
    </xf>
    <xf borderId="0" fillId="0" fontId="24" numFmtId="0" xfId="0" applyAlignment="1" applyFont="1">
      <alignment readingOrder="0" vertical="bottom"/>
    </xf>
    <xf borderId="0" fillId="0" fontId="11" numFmtId="0" xfId="0" applyAlignment="1" applyFont="1">
      <alignment vertical="bottom"/>
    </xf>
    <xf borderId="0" fillId="0" fontId="9" numFmtId="0" xfId="0" applyAlignment="1" applyFont="1">
      <alignment readingOrder="0"/>
    </xf>
    <xf borderId="0" fillId="7" fontId="5" numFmtId="0" xfId="0" applyAlignment="1" applyFill="1" applyFont="1">
      <alignment readingOrder="0" shrinkToFit="0" vertical="bottom" wrapText="0"/>
    </xf>
    <xf borderId="0" fillId="0" fontId="43" numFmtId="0" xfId="0" applyAlignment="1" applyFont="1">
      <alignment readingOrder="0"/>
    </xf>
    <xf borderId="0" fillId="0" fontId="7" numFmtId="0" xfId="0" applyFont="1"/>
    <xf borderId="0" fillId="0" fontId="11" numFmtId="0" xfId="0" applyAlignment="1" applyFont="1">
      <alignment readingOrder="0" shrinkToFit="0" vertical="center" wrapText="1"/>
    </xf>
    <xf borderId="0" fillId="8" fontId="7" numFmtId="0" xfId="0" applyAlignment="1" applyFill="1" applyFont="1">
      <alignment vertical="bottom"/>
    </xf>
    <xf borderId="0" fillId="8" fontId="7" numFmtId="0" xfId="0" applyAlignment="1" applyFill="1" applyFont="1">
      <alignment readingOrder="0" vertical="bottom"/>
    </xf>
    <xf borderId="0" fillId="0" fontId="44" numFmtId="0" xfId="0" applyAlignment="1" applyFont="1">
      <alignment readingOrder="0" vertical="bottom"/>
    </xf>
    <xf borderId="0" fillId="8" fontId="5" numFmtId="0" xfId="0" applyAlignment="1" applyFill="1" applyFont="1">
      <alignment readingOrder="0" shrinkToFit="0" vertical="bottom" wrapText="0"/>
    </xf>
    <xf borderId="0" fillId="0" fontId="9" numFmtId="0" xfId="0" applyAlignment="1" applyFont="1">
      <alignment readingOrder="0" shrinkToFit="0" wrapText="0"/>
    </xf>
    <xf borderId="0" fillId="0" fontId="45" numFmtId="0" xfId="0" applyAlignment="1" applyFont="1">
      <alignment readingOrder="0" shrinkToFit="0" wrapText="0"/>
    </xf>
    <xf borderId="0" fillId="0" fontId="9" numFmtId="1" xfId="0" applyAlignment="1" applyFont="1" applyNumberFormat="1">
      <alignment horizontal="left" readingOrder="0" vertical="bottom"/>
    </xf>
    <xf borderId="0" fillId="0" fontId="9" numFmtId="1" xfId="0" applyAlignment="1" applyFont="1" applyNumberFormat="1">
      <alignment readingOrder="0" vertical="bottom"/>
    </xf>
    <xf borderId="0" fillId="0" fontId="46" numFmtId="0" xfId="0" applyAlignment="1" applyFont="1">
      <alignment readingOrder="0" shrinkToFit="0" vertical="bottom" wrapText="0"/>
    </xf>
    <xf borderId="0" fillId="0" fontId="9" numFmtId="0" xfId="0" applyAlignment="1" applyFont="1">
      <alignment readingOrder="0" shrinkToFit="0" wrapText="0"/>
    </xf>
    <xf borderId="0" fillId="0" fontId="9" numFmtId="0" xfId="0" applyAlignment="1" applyFont="1">
      <alignment shrinkToFit="0" wrapText="0"/>
    </xf>
    <xf borderId="0" fillId="8" fontId="7" numFmtId="0" xfId="0" applyAlignment="1" applyFill="1" applyFont="1">
      <alignment readingOrder="0" shrinkToFit="0" wrapText="0"/>
    </xf>
    <xf borderId="0" fillId="0" fontId="47" numFmtId="0" xfId="0" applyAlignment="1" applyFont="1">
      <alignment readingOrder="0"/>
    </xf>
    <xf borderId="0" fillId="0" fontId="48" numFmtId="0" xfId="0" applyAlignment="1" applyFont="1">
      <alignment readingOrder="0" vertical="bottom"/>
    </xf>
    <xf borderId="0" fillId="0" fontId="11" numFmtId="0" xfId="0" applyAlignment="1" applyFont="1">
      <alignment readingOrder="0" vertical="bottom"/>
    </xf>
    <xf borderId="0" fillId="0" fontId="29" numFmtId="0" xfId="0" applyAlignment="1" applyFont="1">
      <alignment shrinkToFit="0" vertical="bottom" wrapText="0"/>
    </xf>
    <xf borderId="0" fillId="0" fontId="26" numFmtId="0" xfId="0" applyAlignment="1" applyFont="1">
      <alignment shrinkToFit="0" wrapText="0"/>
    </xf>
    <xf borderId="0" fillId="0" fontId="9" numFmtId="3" xfId="0" applyAlignment="1" applyFont="1" applyNumberFormat="1">
      <alignment horizontal="left" readingOrder="0"/>
    </xf>
    <xf borderId="0" fillId="0" fontId="49" numFmtId="0" xfId="0" applyAlignment="1" applyFont="1">
      <alignment vertical="bottom"/>
    </xf>
    <xf borderId="0" fillId="0" fontId="9" numFmtId="0" xfId="0" applyAlignment="1" applyFont="1">
      <alignment readingOrder="0" shrinkToFit="0" wrapText="0"/>
    </xf>
    <xf borderId="0" fillId="0" fontId="50" numFmtId="0" xfId="0" applyAlignment="1" applyFont="1">
      <alignment readingOrder="0" shrinkToFit="0" wrapText="0"/>
    </xf>
    <xf borderId="0" fillId="0" fontId="51" numFmtId="0" xfId="0" applyAlignment="1" applyFont="1">
      <alignment readingOrder="0" shrinkToFit="0" wrapText="0"/>
    </xf>
    <xf borderId="0" fillId="0" fontId="11" numFmtId="0" xfId="0" applyAlignment="1" applyFont="1">
      <alignment readingOrder="0" vertical="bottom"/>
    </xf>
    <xf borderId="0" fillId="8" fontId="7" numFmtId="0" xfId="0" applyAlignment="1" applyFill="1" applyFont="1">
      <alignment readingOrder="0"/>
    </xf>
    <xf borderId="0" fillId="0" fontId="29" numFmtId="0" xfId="0" applyAlignment="1" applyFont="1">
      <alignment readingOrder="0" shrinkToFit="0" vertical="bottom" wrapText="0"/>
    </xf>
    <xf borderId="0" fillId="0" fontId="52" numFmtId="0" xfId="0" applyAlignment="1" applyFont="1">
      <alignment readingOrder="0"/>
    </xf>
    <xf borderId="0" fillId="0" fontId="53" numFmtId="0" xfId="0" applyAlignment="1" applyFont="1">
      <alignment readingOrder="0"/>
    </xf>
    <xf borderId="0" fillId="0" fontId="54" numFmtId="0" xfId="0" applyFont="1"/>
    <xf borderId="0" fillId="7" fontId="7" numFmtId="0" xfId="0" applyAlignment="1" applyFill="1" applyFont="1">
      <alignment horizontal="left" readingOrder="0" shrinkToFit="0" wrapText="0"/>
    </xf>
    <xf borderId="0" fillId="9" fontId="55" numFmtId="0" xfId="0" applyAlignment="1" applyFill="1" applyFont="1">
      <alignment readingOrder="0" vertical="bottom"/>
    </xf>
    <xf borderId="0" fillId="0" fontId="56" numFmtId="0" xfId="0" applyAlignment="1" applyFont="1">
      <alignment readingOrder="0"/>
    </xf>
    <xf borderId="0" fillId="10" fontId="10" numFmtId="0" xfId="0" applyAlignment="1" applyFill="1" applyFont="1">
      <alignment readingOrder="0"/>
    </xf>
    <xf borderId="0" fillId="10" fontId="11" numFmtId="0" xfId="0" applyFill="1" applyFont="1"/>
    <xf borderId="0" fillId="7" fontId="7" numFmtId="0" xfId="0" applyAlignment="1" applyFill="1" applyFont="1">
      <alignment shrinkToFit="0" vertical="bottom" wrapText="0"/>
    </xf>
    <xf borderId="0" fillId="10" fontId="13" numFmtId="0" xfId="0" applyAlignment="1" applyFill="1" applyFont="1">
      <alignment readingOrder="0"/>
    </xf>
    <xf borderId="0" fillId="10" fontId="9" numFmtId="0" xfId="0" applyAlignment="1" applyFill="1" applyFont="1">
      <alignment horizontal="left" vertical="bottom"/>
    </xf>
    <xf borderId="0" fillId="0" fontId="57" numFmtId="0" xfId="0" applyAlignment="1" applyFont="1">
      <alignment shrinkToFit="0" vertical="bottom" wrapText="0"/>
    </xf>
    <xf borderId="0" fillId="8" fontId="7" numFmtId="0" xfId="0" applyAlignment="1" applyFill="1" applyFont="1">
      <alignment readingOrder="0" shrinkToFit="0" vertical="bottom" wrapText="0"/>
    </xf>
    <xf borderId="0" fillId="0" fontId="58" numFmtId="0" xfId="0" applyAlignment="1" applyFont="1">
      <alignment readingOrder="0" shrinkToFit="0" vertical="bottom" wrapText="0"/>
    </xf>
    <xf borderId="0" fillId="0" fontId="9" numFmtId="0" xfId="0" applyAlignment="1" applyFont="1">
      <alignment readingOrder="0" vertical="bottom"/>
    </xf>
    <xf borderId="0" fillId="0" fontId="4" numFmtId="0" xfId="0" applyAlignment="1" applyFont="1">
      <alignment readingOrder="0" shrinkToFit="0" wrapText="0"/>
    </xf>
    <xf borderId="0" fillId="0" fontId="59" numFmtId="0" xfId="0" applyAlignment="1" applyFont="1">
      <alignment readingOrder="0" shrinkToFit="0" wrapText="0"/>
    </xf>
    <xf borderId="0" fillId="0" fontId="9" numFmtId="0" xfId="0" applyAlignment="1" applyFont="1">
      <alignment shrinkToFit="0" vertical="bottom" wrapText="0"/>
    </xf>
    <xf borderId="0" fillId="0" fontId="60" numFmtId="0" xfId="0" applyAlignment="1" applyFont="1">
      <alignment shrinkToFit="0" vertical="bottom" wrapText="0"/>
    </xf>
    <xf borderId="0" fillId="0" fontId="24" numFmtId="0" xfId="0" applyAlignment="1" applyFont="1">
      <alignment readingOrder="0" shrinkToFit="0" wrapText="0"/>
    </xf>
    <xf borderId="0" fillId="0" fontId="11" numFmtId="164" xfId="0" applyAlignment="1" applyFont="1" applyNumberFormat="1">
      <alignment readingOrder="0" vertical="bottom"/>
    </xf>
    <xf borderId="0" fillId="0" fontId="9" numFmtId="0" xfId="0" applyAlignment="1" applyFont="1">
      <alignment readingOrder="0" vertical="bottom"/>
    </xf>
    <xf borderId="0" fillId="0" fontId="5" numFmtId="0" xfId="0" applyAlignment="1" applyFont="1">
      <alignment readingOrder="0" shrinkToFit="0" vertical="bottom" wrapText="0"/>
    </xf>
    <xf borderId="0" fillId="2" fontId="9" numFmtId="0" xfId="0" applyAlignment="1" applyFill="1" applyFont="1">
      <alignment horizontal="left" vertical="bottom"/>
    </xf>
    <xf borderId="0" fillId="2" fontId="9" numFmtId="164" xfId="0" applyAlignment="1" applyFill="1" applyFont="1" applyNumberFormat="1">
      <alignment horizontal="left" vertical="bottom"/>
    </xf>
    <xf borderId="0" fillId="2" fontId="14" numFmtId="0" xfId="0" applyAlignment="1" applyFill="1" applyFont="1">
      <alignment vertical="bottom"/>
    </xf>
    <xf borderId="0" fillId="7" fontId="7" numFmtId="0" xfId="0" applyAlignment="1" applyFill="1" applyFont="1">
      <alignment readingOrder="0"/>
    </xf>
    <xf borderId="0" fillId="0" fontId="4" numFmtId="0" xfId="0" applyFont="1"/>
    <xf borderId="0" fillId="0" fontId="61" numFmtId="0" xfId="0" applyAlignment="1" applyFont="1">
      <alignment readingOrder="0" vertical="bottom"/>
    </xf>
    <xf borderId="0" fillId="0" fontId="62" numFmtId="0" xfId="0" applyAlignment="1" applyFont="1">
      <alignment vertical="bottom"/>
    </xf>
    <xf borderId="0" fillId="0" fontId="63" numFmtId="0" xfId="0" applyAlignment="1" applyFont="1">
      <alignment readingOrder="0" shrinkToFit="0" vertical="bottom" wrapText="0"/>
    </xf>
    <xf borderId="0" fillId="0" fontId="64" numFmtId="0" xfId="0" applyAlignment="1" applyFont="1">
      <alignment readingOrder="0" shrinkToFit="0" vertical="bottom" wrapText="0"/>
    </xf>
    <xf borderId="0" fillId="0" fontId="65" numFmtId="0" xfId="0" applyFont="1"/>
    <xf borderId="0" fillId="0" fontId="66" numFmtId="0" xfId="0" applyAlignment="1" applyFont="1">
      <alignment shrinkToFit="0" vertical="bottom" wrapText="0"/>
    </xf>
    <xf borderId="0" fillId="0" fontId="67" numFmtId="1" xfId="0" applyAlignment="1" applyFont="1" applyNumberFormat="1">
      <alignment readingOrder="0" shrinkToFit="0" vertical="bottom" wrapText="0"/>
    </xf>
    <xf borderId="0" fillId="0" fontId="9" numFmtId="3" xfId="0" applyAlignment="1" applyFont="1" applyNumberFormat="1">
      <alignment readingOrder="0" vertical="bottom"/>
    </xf>
    <xf borderId="0" fillId="0" fontId="9" numFmtId="0" xfId="0" applyAlignment="1" applyFont="1">
      <alignment readingOrder="0" shrinkToFit="0" vertical="bottom" wrapText="0"/>
    </xf>
    <xf borderId="0" fillId="0" fontId="68" numFmtId="0" xfId="0" applyAlignment="1" applyFont="1">
      <alignment readingOrder="0"/>
    </xf>
    <xf borderId="0" fillId="0" fontId="9" numFmtId="0" xfId="0" applyAlignment="1" applyFont="1">
      <alignment readingOrder="0" shrinkToFit="0" wrapText="0"/>
    </xf>
    <xf borderId="0" fillId="0" fontId="62" numFmtId="0" xfId="0" applyAlignment="1" applyFont="1">
      <alignment readingOrder="0" vertical="bottom"/>
    </xf>
    <xf borderId="0" fillId="0" fontId="18" numFmtId="0" xfId="0" applyAlignment="1" applyFont="1">
      <alignment readingOrder="0" shrinkToFit="0" vertical="bottom" wrapText="0"/>
    </xf>
    <xf borderId="0" fillId="0" fontId="11" numFmtId="0" xfId="0" applyAlignment="1" applyFont="1">
      <alignment shrinkToFit="0" vertical="bottom" wrapText="0"/>
    </xf>
    <xf borderId="0" fillId="0" fontId="69" numFmtId="0" xfId="0" applyAlignment="1" applyFont="1">
      <alignment readingOrder="0" vertical="bottom"/>
    </xf>
    <xf borderId="0" fillId="0" fontId="70" numFmtId="1" xfId="0" applyAlignment="1" applyFont="1" applyNumberFormat="1">
      <alignment shrinkToFit="0" vertical="bottom" wrapText="0"/>
    </xf>
    <xf borderId="0" fillId="0" fontId="9" numFmtId="0" xfId="0" applyAlignment="1" applyFont="1">
      <alignment shrinkToFit="0" vertical="bottom" wrapText="0"/>
    </xf>
    <xf borderId="0" fillId="0" fontId="18" numFmtId="0" xfId="0" applyAlignment="1" applyFont="1">
      <alignment readingOrder="0" shrinkToFit="0" wrapText="0"/>
    </xf>
    <xf borderId="0" fillId="0" fontId="65" numFmtId="0" xfId="0" applyAlignment="1" applyFont="1">
      <alignment readingOrder="0"/>
    </xf>
    <xf borderId="0" fillId="0" fontId="71" numFmtId="0" xfId="0" applyAlignment="1" applyFont="1">
      <alignment readingOrder="0" shrinkToFit="0" vertical="bottom" wrapText="0"/>
    </xf>
    <xf borderId="0" fillId="0" fontId="11" numFmtId="0" xfId="0" applyAlignment="1" applyFont="1">
      <alignment readingOrder="0"/>
    </xf>
    <xf borderId="0" fillId="7" fontId="5" numFmtId="0" xfId="0" applyAlignment="1" applyFill="1" applyFont="1">
      <alignment readingOrder="0" vertical="center"/>
    </xf>
    <xf borderId="0" fillId="0" fontId="72" numFmtId="0" xfId="0" applyAlignment="1" applyFont="1">
      <alignment readingOrder="0" vertical="center"/>
    </xf>
    <xf borderId="0" fillId="0" fontId="11" numFmtId="0" xfId="0" applyAlignment="1" applyFont="1">
      <alignment vertical="center"/>
    </xf>
    <xf borderId="0" fillId="0" fontId="73" numFmtId="0" xfId="0" applyAlignment="1" applyFont="1">
      <alignment horizontal="left" readingOrder="0" vertical="center"/>
    </xf>
    <xf borderId="0" fillId="0" fontId="9" numFmtId="164" xfId="0" applyAlignment="1" applyFont="1" applyNumberFormat="1">
      <alignment readingOrder="0" vertical="center"/>
    </xf>
    <xf borderId="0" fillId="0" fontId="11" numFmtId="0" xfId="0" applyAlignment="1" applyFont="1">
      <alignment readingOrder="0" shrinkToFit="0" vertical="center" wrapText="1"/>
    </xf>
    <xf borderId="0" fillId="7" fontId="5" numFmtId="0" xfId="0" applyAlignment="1" applyFill="1" applyFont="1">
      <alignment readingOrder="0"/>
    </xf>
    <xf borderId="0" fillId="7" fontId="7" numFmtId="0" xfId="0" applyAlignment="1" applyFill="1" applyFont="1">
      <alignment readingOrder="0" shrinkToFit="0" vertical="bottom" wrapText="0"/>
    </xf>
    <xf borderId="0" fillId="0" fontId="74" numFmtId="0" xfId="0" applyAlignment="1" applyFont="1">
      <alignment shrinkToFit="0" vertical="bottom" wrapText="0"/>
    </xf>
    <xf borderId="0" fillId="0" fontId="9" numFmtId="0" xfId="0" applyAlignment="1" applyFont="1">
      <alignment shrinkToFit="0" vertical="bottom" wrapText="0"/>
    </xf>
    <xf borderId="0" fillId="0" fontId="75" numFmtId="0" xfId="0" applyAlignment="1" applyFont="1">
      <alignment readingOrder="0" vertical="bottom"/>
    </xf>
    <xf borderId="0" fillId="0" fontId="9" numFmtId="1" xfId="0" applyAlignment="1" applyFont="1" applyNumberFormat="1">
      <alignment horizontal="left" readingOrder="0" shrinkToFit="0" vertical="bottom" wrapText="0"/>
    </xf>
    <xf borderId="0" fillId="0" fontId="62" numFmtId="0" xfId="0" applyAlignment="1" applyFont="1">
      <alignment vertical="bottom"/>
    </xf>
    <xf borderId="0" fillId="0" fontId="9" numFmtId="0" xfId="0" applyAlignment="1" applyFont="1">
      <alignment readingOrder="0" shrinkToFit="0" vertical="bottom" wrapText="0"/>
    </xf>
    <xf borderId="0" fillId="0" fontId="7" numFmtId="0" xfId="0" applyAlignment="1" applyFont="1">
      <alignment readingOrder="0" shrinkToFit="0" wrapText="0"/>
    </xf>
    <xf borderId="0" fillId="0" fontId="9" numFmtId="165" xfId="0" applyAlignment="1" applyFont="1" applyNumberFormat="1">
      <alignment horizontal="left" readingOrder="0" vertical="bottom"/>
    </xf>
    <xf borderId="0" fillId="9" fontId="76" numFmtId="164" xfId="0" applyAlignment="1" applyFill="1" applyFont="1" applyNumberFormat="1">
      <alignment readingOrder="0"/>
    </xf>
    <xf borderId="0" fillId="0" fontId="9" numFmtId="164" xfId="0" applyAlignment="1" applyFont="1" applyNumberFormat="1">
      <alignment horizontal="left" readingOrder="0" vertical="bottom"/>
    </xf>
    <xf borderId="0" fillId="0" fontId="77" numFmtId="0" xfId="0" applyAlignment="1" applyFont="1">
      <alignment readingOrder="0" shrinkToFit="0" vertical="center" wrapText="0"/>
    </xf>
    <xf borderId="0" fillId="0" fontId="9" numFmtId="0" xfId="0" applyAlignment="1" applyFont="1">
      <alignment horizontal="left" readingOrder="0" shrinkToFit="0" vertical="bottom" wrapText="0"/>
    </xf>
    <xf borderId="0" fillId="0" fontId="78" numFmtId="0" xfId="0" applyAlignment="1" applyFont="1">
      <alignment readingOrder="0" vertical="center"/>
    </xf>
    <xf borderId="0" fillId="0" fontId="9" numFmtId="0" xfId="0" applyAlignment="1" applyFont="1">
      <alignment readingOrder="0" vertical="center"/>
    </xf>
    <xf borderId="0" fillId="7" fontId="7" numFmtId="0" xfId="0" applyAlignment="1" applyFill="1" applyFont="1">
      <alignment vertical="bottom"/>
    </xf>
    <xf borderId="0" fillId="0" fontId="79" numFmtId="0" xfId="0" applyAlignment="1" applyFont="1">
      <alignment vertical="bottom"/>
    </xf>
    <xf borderId="0" fillId="0" fontId="24" numFmtId="166" xfId="0" applyAlignment="1" applyFont="1" applyNumberFormat="1">
      <alignment readingOrder="0" shrinkToFit="0" vertical="center" wrapText="0"/>
    </xf>
    <xf borderId="0" fillId="0" fontId="9" numFmtId="0" xfId="0" applyAlignment="1" applyFont="1">
      <alignment readingOrder="0" shrinkToFit="0" vertical="bottom" wrapText="0"/>
    </xf>
    <xf borderId="0" fillId="0" fontId="24" numFmtId="0" xfId="0" applyAlignment="1" applyFont="1">
      <alignment readingOrder="0" shrinkToFit="0" vertical="bottom" wrapText="0"/>
    </xf>
    <xf borderId="0" fillId="0" fontId="29" numFmtId="0" xfId="0" applyAlignment="1" applyFont="1">
      <alignment readingOrder="0" shrinkToFit="0" vertical="bottom" wrapText="0"/>
    </xf>
    <xf borderId="0" fillId="0" fontId="4" numFmtId="0" xfId="0" applyAlignment="1" applyFont="1">
      <alignment horizontal="left" readingOrder="0" vertical="bottom"/>
    </xf>
    <xf borderId="0" fillId="0" fontId="29" numFmtId="0" xfId="0" applyAlignment="1" applyFont="1">
      <alignment shrinkToFit="0" vertical="bottom" wrapText="0"/>
    </xf>
    <xf borderId="0" fillId="9" fontId="75" numFmtId="0" xfId="0" applyAlignment="1" applyFill="1" applyFont="1">
      <alignment horizontal="left" readingOrder="0"/>
    </xf>
    <xf borderId="0" fillId="0" fontId="80" numFmtId="0" xfId="0" applyAlignment="1" applyFont="1">
      <alignment shrinkToFit="0" vertical="bottom" wrapText="0"/>
    </xf>
    <xf borderId="0" fillId="0" fontId="81" numFmtId="0" xfId="0" applyAlignment="1" applyFont="1">
      <alignment shrinkToFit="0" vertical="bottom" wrapText="0"/>
    </xf>
    <xf borderId="0" fillId="0" fontId="11" numFmtId="0" xfId="0" applyAlignment="1" applyFont="1">
      <alignment shrinkToFit="0" vertical="bottom" wrapText="0"/>
    </xf>
    <xf borderId="0" fillId="0" fontId="9" numFmtId="49" xfId="0" applyAlignment="1" applyFont="1" applyNumberFormat="1">
      <alignment readingOrder="0" vertical="center"/>
    </xf>
    <xf borderId="0" fillId="9" fontId="24" numFmtId="0" xfId="0" applyAlignment="1" applyFill="1" applyFont="1">
      <alignment readingOrder="0"/>
    </xf>
    <xf borderId="0" fillId="0" fontId="11" numFmtId="0" xfId="0" applyAlignment="1" applyFont="1">
      <alignment readingOrder="0" shrinkToFit="0" vertical="bottom" wrapText="0"/>
    </xf>
    <xf borderId="0" fillId="7" fontId="7" numFmtId="0" xfId="0" applyAlignment="1" applyFill="1" applyFont="1">
      <alignment readingOrder="0" shrinkToFit="0" vertical="center" wrapText="1"/>
    </xf>
    <xf borderId="0" fillId="0" fontId="82" numFmtId="0" xfId="0" applyAlignment="1" applyFont="1">
      <alignmen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0"/>
    </xf>
    <xf borderId="0" fillId="0" fontId="9" numFmtId="0" xfId="0" applyAlignment="1" applyFont="1">
      <alignment horizontal="left" shrinkToFit="0" vertical="center" wrapText="1"/>
    </xf>
    <xf borderId="0" fillId="0" fontId="9" numFmtId="167" xfId="0" applyAlignment="1" applyFont="1" applyNumberFormat="1">
      <alignment shrinkToFit="0" vertical="center" wrapText="1"/>
    </xf>
    <xf borderId="0" fillId="0" fontId="9" numFmtId="167" xfId="0" applyAlignment="1" applyFont="1" applyNumberFormat="1">
      <alignment shrinkToFit="0" vertical="center" wrapText="1"/>
    </xf>
    <xf borderId="0" fillId="0" fontId="9" numFmtId="164" xfId="0" applyAlignment="1" applyFont="1" applyNumberFormat="1">
      <alignment shrinkToFit="0" vertical="center" wrapText="1"/>
    </xf>
    <xf borderId="0" fillId="0" fontId="9" numFmtId="164" xfId="0" applyFont="1" applyNumberFormat="1"/>
    <xf borderId="0" fillId="0" fontId="9" numFmtId="0" xfId="0" applyAlignment="1" applyFont="1">
      <alignment shrinkToFit="0" vertical="center" wrapText="1"/>
    </xf>
    <xf borderId="0" fillId="0" fontId="9" numFmtId="0" xfId="0" applyAlignment="1" applyFont="1">
      <alignment shrinkToFit="0" vertical="center" wrapText="1"/>
    </xf>
    <xf borderId="0" fillId="0" fontId="24" numFmtId="0" xfId="0" applyAlignment="1" applyFont="1">
      <alignment readingOrder="0"/>
    </xf>
    <xf borderId="0" fillId="7" fontId="7" numFmtId="0" xfId="0" applyAlignment="1" applyFill="1" applyFont="1">
      <alignment readingOrder="0" vertical="center"/>
    </xf>
    <xf borderId="0" fillId="0" fontId="9" numFmtId="0" xfId="0" applyAlignment="1" applyFont="1">
      <alignment readingOrder="0"/>
    </xf>
    <xf borderId="0" fillId="0" fontId="11" numFmtId="0" xfId="0" applyAlignment="1" applyFont="1">
      <alignment horizontal="left" readingOrder="0" vertical="center"/>
    </xf>
    <xf borderId="0" fillId="9" fontId="75" numFmtId="0" xfId="0" applyAlignment="1" applyFill="1" applyFont="1">
      <alignment readingOrder="0" vertical="center"/>
    </xf>
    <xf borderId="0" fillId="0" fontId="11" numFmtId="0" xfId="0" applyAlignment="1" applyFont="1">
      <alignment readingOrder="0" shrinkToFit="0" vertical="center" wrapText="0"/>
    </xf>
    <xf borderId="0" fillId="0" fontId="26" numFmtId="0" xfId="0" applyAlignment="1" applyFont="1">
      <alignment vertical="center"/>
    </xf>
    <xf borderId="0" fillId="0" fontId="9" numFmtId="0" xfId="0" applyAlignment="1" applyFont="1">
      <alignment horizontal="left" vertical="bottom"/>
    </xf>
    <xf borderId="0" fillId="0" fontId="9" numFmtId="168" xfId="0" applyAlignment="1" applyFont="1" applyNumberFormat="1">
      <alignment horizontal="left" readingOrder="0" vertical="bottom"/>
    </xf>
    <xf borderId="0" fillId="0" fontId="9" numFmtId="0" xfId="0" applyAlignment="1" applyFont="1">
      <alignment horizontal="right" readingOrder="0" vertical="bottom"/>
    </xf>
    <xf borderId="0" fillId="0" fontId="62" numFmtId="0" xfId="0" applyAlignment="1" applyFont="1">
      <alignment horizontal="left" readingOrder="0" vertical="bottom"/>
    </xf>
    <xf borderId="0" fillId="0" fontId="9" numFmtId="167" xfId="0" applyAlignment="1" applyFont="1" applyNumberFormat="1">
      <alignment horizontal="left" readingOrder="0" vertical="bottom"/>
    </xf>
    <xf borderId="0" fillId="0" fontId="9" numFmtId="167" xfId="0" applyAlignment="1" applyFont="1" applyNumberFormat="1">
      <alignment horizontal="left" readingOrder="0" vertical="bottom"/>
    </xf>
    <xf borderId="0" fillId="0" fontId="62" numFmtId="0" xfId="0" applyAlignment="1" applyFont="1">
      <alignment horizontal="left" vertical="bottom"/>
    </xf>
    <xf borderId="0" fillId="0" fontId="62" numFmtId="164" xfId="0" applyAlignment="1" applyFont="1" applyNumberFormat="1">
      <alignment horizontal="left" vertical="bottom"/>
    </xf>
    <xf borderId="0" fillId="11" fontId="10" numFmtId="0" xfId="0" applyAlignment="1" applyFill="1" applyFont="1">
      <alignment readingOrder="0"/>
    </xf>
    <xf borderId="0" fillId="11" fontId="83" numFmtId="0" xfId="0" applyAlignment="1" applyFill="1" applyFont="1">
      <alignment readingOrder="0"/>
    </xf>
    <xf borderId="0" fillId="11" fontId="13" numFmtId="0" xfId="0" applyAlignment="1" applyFill="1" applyFont="1">
      <alignment readingOrder="0"/>
    </xf>
    <xf borderId="0" fillId="11" fontId="11" numFmtId="0" xfId="0" applyFill="1" applyFont="1"/>
    <xf borderId="0" fillId="11" fontId="9" numFmtId="0" xfId="0" applyAlignment="1" applyFill="1" applyFont="1">
      <alignment horizontal="left" vertical="bottom"/>
    </xf>
    <xf borderId="0" fillId="11" fontId="9" numFmtId="164" xfId="0" applyAlignment="1" applyFill="1" applyFont="1" applyNumberFormat="1">
      <alignment horizontal="left" vertical="bottom"/>
    </xf>
    <xf borderId="0" fillId="11" fontId="14" numFmtId="0" xfId="0" applyAlignment="1" applyFill="1" applyFont="1">
      <alignment vertical="bottom"/>
    </xf>
    <xf borderId="0" fillId="11" fontId="14" numFmtId="0" xfId="0" applyAlignment="1" applyFill="1" applyFont="1">
      <alignment vertical="bottom"/>
    </xf>
    <xf borderId="0" fillId="11" fontId="11" numFmtId="0" xfId="0" applyAlignment="1" applyFill="1" applyFont="1">
      <alignment shrinkToFit="0" wrapText="0"/>
    </xf>
    <xf borderId="0" fillId="12" fontId="10" numFmtId="0" xfId="0" applyAlignment="1" applyFill="1" applyFont="1">
      <alignment readingOrder="0"/>
    </xf>
    <xf borderId="0" fillId="12" fontId="11" numFmtId="0" xfId="0" applyFill="1" applyFont="1"/>
    <xf borderId="0" fillId="12" fontId="13" numFmtId="0" xfId="0" applyAlignment="1" applyFill="1" applyFont="1">
      <alignment readingOrder="0"/>
    </xf>
    <xf borderId="0" fillId="12" fontId="9" numFmtId="0" xfId="0" applyAlignment="1" applyFill="1" applyFont="1">
      <alignment horizontal="left" vertical="bottom"/>
    </xf>
    <xf borderId="0" fillId="12" fontId="9" numFmtId="164" xfId="0" applyAlignment="1" applyFill="1" applyFont="1" applyNumberFormat="1">
      <alignment horizontal="left" vertical="bottom"/>
    </xf>
    <xf borderId="0" fillId="12" fontId="14" numFmtId="0" xfId="0" applyAlignment="1" applyFill="1" applyFont="1">
      <alignment vertical="bottom"/>
    </xf>
    <xf borderId="0" fillId="12" fontId="14" numFmtId="0" xfId="0" applyAlignment="1" applyFill="1" applyFont="1">
      <alignment vertical="bottom"/>
    </xf>
    <xf borderId="0" fillId="12" fontId="11" numFmtId="0" xfId="0" applyAlignment="1" applyFill="1" applyFont="1">
      <alignment shrinkToFit="0" wrapText="0"/>
    </xf>
    <xf borderId="0" fillId="0" fontId="9" numFmtId="165" xfId="0" applyAlignment="1" applyFont="1" applyNumberFormat="1">
      <alignment readingOrder="0"/>
    </xf>
    <xf borderId="0" fillId="0" fontId="9" numFmtId="164" xfId="0" applyAlignment="1" applyFont="1" applyNumberFormat="1">
      <alignment readingOrder="0"/>
    </xf>
    <xf borderId="0" fillId="0" fontId="9" numFmtId="168" xfId="0" applyAlignment="1" applyFont="1" applyNumberFormat="1">
      <alignment readingOrder="0"/>
    </xf>
    <xf borderId="0" fillId="0" fontId="9" numFmtId="1" xfId="0" applyAlignment="1" applyFont="1" applyNumberFormat="1">
      <alignment readingOrder="0" vertical="bottom"/>
    </xf>
    <xf borderId="0" fillId="0" fontId="9" numFmtId="164" xfId="0" applyAlignment="1" applyFont="1" applyNumberFormat="1">
      <alignment vertical="bottom"/>
    </xf>
    <xf borderId="0" fillId="0" fontId="62" numFmtId="0" xfId="0" applyAlignment="1" applyFont="1">
      <alignment horizontal="left" vertical="bottom"/>
    </xf>
    <xf borderId="0" fillId="0" fontId="9" numFmtId="168" xfId="0" applyAlignment="1" applyFont="1" applyNumberFormat="1">
      <alignment readingOrder="0" vertical="center"/>
    </xf>
    <xf borderId="0" fillId="0" fontId="9" numFmtId="0" xfId="0" applyAlignment="1" applyFont="1">
      <alignment vertical="center"/>
    </xf>
    <xf borderId="0" fillId="0" fontId="84" numFmtId="0" xfId="0" applyAlignment="1" applyFont="1">
      <alignment shrinkToFit="0" vertical="bottom" wrapText="0"/>
    </xf>
    <xf borderId="0" fillId="0" fontId="14" numFmtId="164" xfId="0" applyAlignment="1" applyFont="1" applyNumberFormat="1">
      <alignment vertical="bottom"/>
    </xf>
    <xf borderId="0" fillId="0" fontId="75" numFmtId="0" xfId="0" applyAlignment="1" applyFont="1">
      <alignment readingOrder="0" shrinkToFit="0" wrapText="0"/>
    </xf>
    <xf borderId="0" fillId="0" fontId="85" numFmtId="0" xfId="0" applyAlignment="1" applyFont="1">
      <alignment readingOrder="0"/>
    </xf>
    <xf borderId="0" fillId="0" fontId="26" numFmtId="0" xfId="0" applyAlignment="1" applyFont="1">
      <alignment readingOrder="0" shrinkToFit="0" wrapText="0"/>
    </xf>
    <xf borderId="0" fillId="0" fontId="26" numFmtId="164" xfId="0" applyFont="1" applyNumberFormat="1"/>
    <xf borderId="0" fillId="10" fontId="9" numFmtId="164" xfId="0" applyAlignment="1" applyFill="1" applyFont="1" applyNumberFormat="1">
      <alignment horizontal="left" vertical="bottom"/>
    </xf>
    <xf borderId="0" fillId="10" fontId="14" numFmtId="0" xfId="0" applyAlignment="1" applyFill="1" applyFont="1">
      <alignment vertical="bottom"/>
    </xf>
    <xf borderId="0" fillId="10" fontId="14" numFmtId="0" xfId="0" applyAlignment="1" applyFill="1" applyFont="1">
      <alignment vertical="bottom"/>
    </xf>
    <xf borderId="0" fillId="10" fontId="11" numFmtId="0" xfId="0" applyAlignment="1" applyFill="1" applyFont="1">
      <alignment shrinkToFit="0" wrapText="0"/>
    </xf>
    <xf borderId="0" fillId="0" fontId="75" numFmtId="0" xfId="0" applyAlignment="1" applyFont="1">
      <alignment readingOrder="0" vertical="bottom"/>
    </xf>
    <xf borderId="0" fillId="2" fontId="6" numFmtId="0" xfId="0" applyAlignment="1" applyFill="1" applyFont="1">
      <alignment readingOrder="0"/>
    </xf>
    <xf borderId="0" fillId="2" fontId="86" numFmtId="0" xfId="0" applyFill="1" applyFont="1"/>
    <xf borderId="0" fillId="2" fontId="87" numFmtId="0" xfId="0" applyAlignment="1" applyFill="1" applyFont="1">
      <alignment readingOrder="0"/>
    </xf>
    <xf borderId="0" fillId="2" fontId="86" numFmtId="0" xfId="0" applyAlignment="1" applyFill="1" applyFont="1">
      <alignment horizontal="left"/>
    </xf>
    <xf borderId="0" fillId="0" fontId="9" numFmtId="164" xfId="0" applyAlignment="1" applyFont="1" applyNumberFormat="1">
      <alignment vertical="bottom"/>
    </xf>
    <xf borderId="0" fillId="13" fontId="7" numFmtId="0" xfId="0" applyAlignment="1" applyFill="1" applyFont="1">
      <alignment readingOrder="0" vertical="bottom"/>
    </xf>
    <xf borderId="0" fillId="0" fontId="88" numFmtId="0" xfId="0" applyAlignment="1" applyFont="1">
      <alignment readingOrder="0" shrinkToFit="0" wrapText="0"/>
    </xf>
    <xf borderId="0" fillId="7" fontId="7" numFmtId="0" xfId="0" applyAlignment="1" applyFill="1" applyFont="1">
      <alignment readingOrder="0" shrinkToFit="0" wrapText="0"/>
    </xf>
    <xf borderId="0" fillId="13" fontId="5" numFmtId="0" xfId="0" applyAlignment="1" applyFill="1" applyFont="1">
      <alignment readingOrder="0" shrinkToFit="0" vertical="bottom" wrapText="0"/>
    </xf>
    <xf borderId="0" fillId="0" fontId="9" numFmtId="1" xfId="0" applyAlignment="1" applyFont="1" applyNumberFormat="1">
      <alignment readingOrder="0" shrinkToFit="0" vertical="bottom" wrapText="0"/>
    </xf>
    <xf borderId="0" fillId="0" fontId="9" numFmtId="168" xfId="0" applyAlignment="1" applyFont="1" applyNumberFormat="1">
      <alignment horizontal="left" readingOrder="0"/>
    </xf>
    <xf borderId="0" fillId="13" fontId="7" numFmtId="0" xfId="0" applyAlignment="1" applyFill="1" applyFont="1">
      <alignment readingOrder="0" shrinkToFit="0" wrapText="0"/>
    </xf>
    <xf borderId="0" fillId="0" fontId="9" numFmtId="1" xfId="0" applyAlignment="1" applyFont="1" applyNumberFormat="1">
      <alignment vertical="bottom"/>
    </xf>
    <xf borderId="0" fillId="0" fontId="89" numFmtId="0" xfId="0" applyAlignment="1" applyFont="1">
      <alignment readingOrder="0" shrinkToFit="0" vertical="bottom" wrapText="0"/>
    </xf>
    <xf borderId="0" fillId="0" fontId="11" numFmtId="0" xfId="0" applyAlignment="1" applyFont="1">
      <alignment shrinkToFit="0" vertical="bottom" wrapText="0"/>
    </xf>
    <xf borderId="0" fillId="0" fontId="90" numFmtId="0" xfId="0" applyAlignment="1" applyFont="1">
      <alignment shrinkToFit="0" vertical="bottom" wrapText="0"/>
    </xf>
    <xf borderId="0" fillId="0" fontId="9" numFmtId="3" xfId="0" applyAlignment="1" applyFont="1" applyNumberFormat="1">
      <alignment vertical="bottom"/>
    </xf>
    <xf borderId="0" fillId="0" fontId="91" numFmtId="0" xfId="0" applyAlignment="1" applyFont="1">
      <alignment vertical="bottom"/>
    </xf>
    <xf borderId="0" fillId="0" fontId="4" numFmtId="0" xfId="0" applyAlignment="1" applyFont="1">
      <alignment vertical="bottom"/>
    </xf>
    <xf borderId="0" fillId="0" fontId="92" numFmtId="0" xfId="0" applyAlignment="1" applyFont="1">
      <alignment readingOrder="0" shrinkToFit="0" wrapText="0"/>
    </xf>
    <xf borderId="0" fillId="7" fontId="93" numFmtId="0" xfId="0" applyAlignment="1" applyFill="1" applyFont="1">
      <alignment shrinkToFit="0" vertical="bottom" wrapText="0"/>
    </xf>
    <xf borderId="0" fillId="0" fontId="7" numFmtId="0" xfId="0" applyAlignment="1" applyFont="1">
      <alignment shrinkToFit="0" vertical="bottom" wrapText="0"/>
    </xf>
    <xf borderId="0" fillId="0" fontId="26" numFmtId="164" xfId="0" applyAlignment="1" applyFont="1" applyNumberFormat="1">
      <alignment shrinkToFit="0" wrapText="0"/>
    </xf>
    <xf borderId="0" fillId="0" fontId="26" numFmtId="165"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rgey Kormishin" id="{0e639ade-10c4-4c16-9052-c96d4a7dddc8}" providerId="google-sheets"/>
  <x18tc:person displayName="Javier Ramello" id="{4a89be04-7351-47ff-8ba0-574a951f7d4a}" providerId="google-sheets"/>
  <x18tc:person displayName="Ivan Carrillo" id="{663d1d66-6070-4bf9-be29-042c550f8785}" providerId="google-sheets"/>
  <x18tc:person displayName="David Elahee" id="{196c3145-020c-47fb-b2ff-85543e663bd9}" providerId="google-sheets"/>
  <x18tc:person displayName="Soda Cat" id="{cb63a623-dad5-44ea-aab9-33a861f87204}" providerId="google-sheets"/>
  <x18tc:person displayName="Seyed Nasrollahi" id="{7376cc8f-8234-4e80-ae44-11e858da18e5}" providerId="google-sheets"/>
  <x18tc:person displayName="Johann Verbroucht" id="{56977a61-e36b-40f9-89a0-507ecf8c0b57}" providerId="google-sheets"/>
  <x18tc:person displayName="Andreas Yiannikaris" id="{d3b48dde-b3a1-42bd-b367-14d22b137b43}" providerId="google-sheets"/>
  <x18tc:person displayName="Alexander Milton" id="{72ad4700-f0c5-467f-a76b-00262fc21773}" providerId="google-sheets"/>
  <x18tc:person displayName="Sam Osburn" id="{154f3cda-13f6-4422-b859-0e88ebc81e3f}" providerId="google-sheets"/>
  <x18tc:person displayName="Katelyn Gadd" id="{3ca4b05f-4d4a-4bb6-acad-6a992019ac65}" providerId="google-sheets"/>
  <x18tc:person displayName="Bytale Games Contact" id="{0c1efa53-f1e2-448b-8b25-74b1ba019bbc}" providerId="google-sheets"/>
  <x18tc:person displayName="Nice One" id="{dfdc592b-08ef-402e-82d9-82e7aba83627}" providerId="google-sheets"/>
  <x18tc:person displayName="Patrick Morgan" id="{1cce5d48-ebdc-4482-a9e1-002dccbed209}" providerId="google-sheets"/>
  <x18tc:person displayName="Łukasz Stawarz" id="{e7b7e4c2-90b5-492d-8e24-1148ff2fe9ee}" providerId="google-sheets"/>
  <x18tc:person displayName="Элиас 22 И Мама Нина" id="{ab158db2-1b26-4137-beff-f5485bc2c323}" providerId="google-sheets"/>
  <x18tc:person displayName="Benjamin Creusot" id="{b223a3be-039b-41ad-9865-fa07c6cfdb00}" providerId="google-sheets"/>
  <x18tc:person displayName="Andrew Naicker" id="{c2087042-2629-4030-9ee4-cdb7d81b85d2}" providerId="google-sheets"/>
  <x18tc:person displayName="Lili Zang" id="{e5658613-fd0d-4250-814c-4b8240b7167e}" providerId="google-sheets"/>
  <x18tc:person displayName="Michał Rogowski" id="{c436f2b5-4ce9-4d4b-a998-65c85bc91d98}" providerId="google-sheets"/>
  <x18tc:person displayName="Jolan Reynaud" id="{cfc23960-7e43-484e-9964-dc1207d728b0}" providerId="google-sheets"/>
  <x18tc:person displayName="IndieDev" id="{5eed90d2-74b4-4d54-8a92-100cb3b112b0}" providerId="google-sheets"/>
  <x18tc:person displayName="Paris J-F" id="{e95f693e-b47b-43dc-be27-6a707f8de0d2}" providerId="google-sheets"/>
  <x18tc:person displayName="Not Null" id="{c45e76da-408a-4087-941d-6a47e49ff600}" providerId="google-sheets"/>
  <x18tc:person displayName="André Kiste" id="{3a114bbe-c89f-4fe8-994d-4d1c4f03822e}" providerId="google-sheets"/>
  <x18tc:person displayName="Leonard Liebler" id="{8be6b83a-b3cf-4910-89cd-d11d7e537c35}" providerId="google-sheets"/>
  <x18tc:person displayName="horizon ie" id="{e83b9e0d-8db9-44b9-b2a5-a3de19e818f0}" providerId="google-sheets"/>
  <x18tc:person displayName="Pedro Teixeira" id="{49ca837c-37f0-465e-bb91-5f37aed2a677}" providerId="google-sheets"/>
  <x18tc:person displayName="Anonymous" id="{446dc210-49f4-4167-8291-817fd41da3ba}" providerId="google-sheets"/>
  <x18tc:person displayName="James Schall" id="{70d245df-9806-4c4f-8ae5-58029c128098}" providerId="google-sheets"/>
  <x18tc:person displayName="Maxime Solaire" id="{7673d6be-bd7e-4181-8c1f-e916bf24d498}" providerId="google-sheets"/>
  <x18tc:person displayName="Gabriel Nigro" id="{a492715e-f042-48b6-8e39-dc0f14a36ec9}" providerId="google-sheets"/>
  <x18tc:person displayName="Brandi Casey" id="{1a93a863-68b9-46e8-affc-4f6df742ff3d}" providerId="google-sheets"/>
  <x18tc:person displayName="Solidplasma (Solidplasma)" id="{4723268b-64d6-4388-b4da-af8786785efd}" providerId="google-sheets"/>
  <x18tc:person displayName="Ambiencive Games" id="{9f602663-4b84-42c4-87a8-d5cfd8fd8725}" providerId="google-sheets"/>
  <x18tc:person displayName="Samuel Partridge" id="{fbe4b43a-da8f-4a68-9df2-e0b66790b44b}" providerId="google-sheets"/>
  <x18tc:person displayName="James Batchelor" id="{4910cf34-d536-4c6c-aee0-9c3c2e71bca9}" providerId="google-sheets"/>
  <x18tc:person displayName="Jhilly Takiri" id="{15fc3beb-9b6c-4997-b127-b589bcacbb89}" providerId="google-sheets"/>
  <x18tc:person displayName="Manou IJpelaar" id="{ec4a4b58-4553-4f8b-b950-5e05b85545f9}" providerId="google-sheets"/>
  <x18tc:person displayName="Jeremy Follis" id="{3199a527-7620-4d30-8db7-5137ee7d8569}" providerId="google-sheets"/>
  <x18tc:person displayName="William Bertin (Skywilly)" id="{6cb46c63-a518-4676-a0e6-718f9c4e8f42}" providerId="google-sheets"/>
  <x18tc:person displayName="Uzuki Tachibana (Coallin)" id="{588bc9bf-2b0e-433f-9f0f-0747bac2281b}" providerId="google-sheets"/>
  <x18tc:person displayName="Danny Silvers" id="{e56f5f7b-b0e8-419e-b2e2-f48a451c6888}" providerId="google-sheets"/>
  <x18tc:person displayName="Erik Balchunas" id="{dacbfce7-c732-4023-89c2-b6a5c99bdc1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7-21T18:40:44.00" personId="{dfdc592b-08ef-402e-82d9-82e7aba83627}" id="{fe5692d0-2b93-423e-85f1-6db8cfa4819e}" done="1">
    <x18tc:text xml:space="preserve">Frontier Foundry is defunct</x18tc:text>
  </x18tc:threadedComment>
  <x18tc:threadedComment ref="A1" dT="2023-08-30T05:40:23.00" personId="{7376cc8f-8234-4e80-ae44-11e858da18e5}" id="{bb86c55e-b484-4aef-9cc6-40105ee1be3d}" parentId="{fe5692d0-2b93-423e-85f1-6db8cfa4819e}">
    <x18tc:text xml:space="preserve">Thanks. It has been removed now.</x18tc:text>
  </x18tc:threadedComment>
  <x18tc:threadedComment ref="A1" dT="2023-08-29T13:53:59.00" personId="{e95f693e-b47b-43dc-be27-6a707f8de0d2}" id="{401c5a2d-8dd3-46b2-a352-c71a7426247b}" done="1">
    <x18tc:text xml:space="preserve">Unsure if this link is outdated now, but I contacted them and received this email address to send pitches to instead:
publishmygame@superraregames.com</x18tc:text>
  </x18tc:threadedComment>
  <x18tc:threadedComment ref="A1" dT="2023-08-29T14:23:59.00" personId="{7376cc8f-8234-4e80-ae44-11e858da18e5}" id="{5cfca0d7-99e6-4f2d-a4a5-6e1572e196be}" parentId="{401c5a2d-8dd3-46b2-a352-c71a7426247b}">
    <x18tc:text xml:space="preserve">Thanks. I'll correct this.</x18tc:text>
  </x18tc:threadedComment>
  <x18tc:threadedComment ref="A1" dT="2023-08-30T05:42:00.00" personId="{7376cc8f-8234-4e80-ae44-11e858da18e5}" id="{27ec99eb-86dc-48ac-a493-7abd0e2d9d2f}" parentId="{401c5a2d-8dd3-46b2-a352-c71a7426247b}">
    <x18tc:text xml:space="preserve">Done.</x18tc:text>
  </x18tc:threadedComment>
  <x18tc:threadedComment ref="A1" dT="2023-05-12T15:26:26.00" personId="{7673d6be-bd7e-4181-8c1f-e916bf24d498}" id="{002b83de-bffc-403b-ad9f-5850ea9924ad}" done="1">
    <x18tc:text xml:space="preserve">Their worldwide, HQ in the USA but leaders are based in multiple countries (South Korea, Thailand, USA, Germany etc)</x18tc:text>
  </x18tc:threadedComment>
  <x18tc:threadedComment ref="A1" dT="2023-05-12T15:45:16.00" personId="{7376cc8f-8234-4e80-ae44-11e858da18e5}" id="{4b720302-f2c2-4095-a488-330affa411ef}" parentId="{002b83de-bffc-403b-ad9f-5850ea9924ad}">
    <x18tc:text xml:space="preserve">Noted thanks. I've updated it.</x18tc:text>
  </x18tc:threadedComment>
  <x18tc:threadedComment ref="A1" dT="2023-05-16T11:45:05.00" personId="{0e639ade-10c4-4c16-9052-c96d4a7dddc8}" id="{df2f62d0-41c5-4496-a2d8-7ad7b86bed1e}" done="1">
    <x18tc:text xml:space="preserve">AnnapUrna, not pOrna :)</x18tc:text>
  </x18tc:threadedComment>
  <x18tc:threadedComment ref="A1" dT="2023-05-16T11:58:07.00" personId="{7376cc8f-8234-4e80-ae44-11e858da18e5}" id="{30f502d8-ac23-410c-acce-021f64e01d98}" parentId="{df2f62d0-41c5-4496-a2d8-7ad7b86bed1e}">
    <x18tc:text xml:space="preserve">Fixed, thanks. Someone must have messed with it, cuz it was typed out correctly in the curated sheet</x18tc:text>
  </x18tc:threadedComment>
  <x18tc:threadedComment ref="A1" dT="2023-05-19T20:46:59.00" personId="{3a114bbe-c89f-4fe8-994d-4d1c4f03822e}" id="{e197b44b-0a59-40cd-8ebd-efafe9dacc15}" done="1">
    <x18tc:text xml:space="preserve">Can add Steam page soon if it's obligatory.</x18tc:text>
  </x18tc:threadedComment>
  <x18tc:threadedComment ref="A1" dT="2023-05-19T21:48:09.00" personId="{7376cc8f-8234-4e80-ae44-11e858da18e5}" id="{d207be30-a43d-47d0-bdc8-b25838f50327}" parentId="{e197b44b-0a59-40cd-8ebd-efafe9dacc15}">
    <x18tc:text xml:space="preserve">Sure</x18tc:text>
  </x18tc:threadedComment>
  <x18tc:threadedComment ref="A1" dT="2026-05-22T05:45:48.00" personId="{446dc210-49f4-4167-8291-817fd41da3ba}" id="{88b737e2-ea1e-482f-b8e1-91104cfff6ed}" done="1">
    <x18tc:text xml:space="preserve">hello@erabitstudios.com (Daisy and Eric)</x18tc:text>
  </x18tc:threadedComment>
  <x18tc:threadedComment ref="A1" dT="2026-05-22T05:47:27.00" personId="{446dc210-49f4-4167-8291-817fd41da3ba}" id="{670b07ea-8f4c-42b6-90d3-2ee2d57f7035}" done="0">
    <x18tc:text xml:space="preserve">https://www.linkedin.com/in/daisylock/
But she is more active on Discord and through emails</x18tc:text>
    <x18tc:extLst>
      <ext uri="{F7C98A9C-CBB3-438F-8F68-D28B6AF4A901}">
        <xltc2:checksum/>
        <xltc2:hyperlink startIndex="0" length="38" url="https://www.linkedin.com/in/daisylock/"/>
      </ext>
    </x18tc:extLst>
  </x18tc:threadedComment>
  <x18tc:threadedComment ref="A1" dT="2024-04-17T12:20:25.00" personId="{e7b7e4c2-90b5-492d-8e24-1148ff2fe9ee}" id="{69a48a67-12ad-4854-b1da-c4cf1bb9838e}" done="1">
    <x18tc:text xml:space="preserve">AIG is no longer publishing games. They have resigned from the publishing business last year.</x18tc:text>
  </x18tc:threadedComment>
  <x18tc:threadedComment ref="A1" dT="2024-04-17T13:51:53.00" personId="{7376cc8f-8234-4e80-ae44-11e858da18e5}" id="{c5435a5a-c7f5-4313-b4ac-ce62eb1cc6f4}" parentId="{69a48a67-12ad-4854-b1da-c4cf1bb9838e}">
    <x18tc:text xml:space="preserve">Thanks for letting me know. I'll remove it from the list.</x18tc:text>
  </x18tc:threadedComment>
  <x18tc:threadedComment ref="A1" dT="2024-08-21T14:22:50.00" personId="{72ad4700-f0c5-467f-a76b-00262fc21773}" id="{4f63ffc0-5bd9-412f-978a-1167d57a268d}" done="0">
    <x18tc:text xml:space="preserve">Kinda Brave was bankrupted, bought up and restarted with new owners. I have no affiliation with KB anymore!</x18tc:text>
  </x18tc:threadedComment>
  <x18tc:threadedComment ref="A1" dT="2024-08-21T15:16:40.00" personId="{7376cc8f-8234-4e80-ae44-11e858da18e5}" id="{42023fc9-cde4-4bcd-9d48-1887082ff029}" parentId="{4f63ffc0-5bd9-412f-978a-1167d57a268d}">
    <x18tc:text xml:space="preserve">Thanks for letting me know. I'll remove it from the list. Do you know what the new company is called?</x18tc:text>
  </x18tc:threadedComment>
  <x18tc:threadedComment ref="A1" dT="2026-07-09T16:53:02.00" personId="{c2087042-2629-4030-9ee4-cdb7d81b85d2}" id="{26ea8bdf-7a33-4f5d-9089-6ca5fa8da785}" done="0">
    <x18tc:text xml:space="preserve">Tiny Bookshop is the Best Selling and Boundary was dropped.</x18tc:text>
  </x18tc:threadedComment>
  <x18tc:threadedComment ref="A1" dT="2025-03-09T11:39:07.00" personId="{9f602663-4b84-42c4-87a8-d5cfd8fd8725}" id="{489a5ae2-7576-45c5-8fcc-076766dd7ed7}" done="0">
    <x18tc:text xml:space="preserve">Do they still work?</x18tc:text>
  </x18tc:threadedComment>
  <x18tc:threadedComment ref="A1" dT="2025-03-11T09:46:07.00" personId="{7376cc8f-8234-4e80-ae44-11e858da18e5}" id="{eaf3d048-2e07-4456-a88c-f4e901d80507}" parentId="{489a5ae2-7576-45c5-8fcc-076766dd7ed7}">
    <x18tc:text xml:space="preserve">it seems they've shut down. removing from the list. Thank you so much for the heads up!</x18tc:text>
  </x18tc:threadedComment>
  <x18tc:threadedComment ref="A1" dT="2025-03-09T11:46:23.00" personId="{9f602663-4b84-42c4-87a8-d5cfd8fd8725}" id="{39f97a44-72ef-4058-93cf-5cdcc8e53f8f}" done="0">
    <x18tc:text xml:space="preserve">Site doesn't open.</x18tc:text>
  </x18tc:threadedComment>
  <x18tc:threadedComment ref="A1" dT="2025-03-11T09:44:36.00" personId="{7376cc8f-8234-4e80-ae44-11e858da18e5}" id="{e11fa74b-d003-4e86-a4fa-2479b6dcd642}" parentId="{39f97a44-72ef-4058-93cf-5cdcc8e53f8f}">
    <x18tc:text xml:space="preserve">it seems they're out of operation. will remove them from list. Thanks for spotting.</x18tc:text>
  </x18tc:threadedComment>
  <x18tc:threadedComment ref="A1" dT="2025-03-11T11:53:42.00" personId="{fbe4b43a-da8f-4a68-9df2-e0b66790b44b}" id="{0a6969c6-792b-4b55-885c-58ebec48ebeb}" done="1">
    <x18tc:text xml:space="preserve">Rachel is no longer working at Astra Logical.</x18tc:text>
  </x18tc:threadedComment>
  <x18tc:threadedComment ref="A1" dT="2025-03-11T13:39:00.00" personId="{7376cc8f-8234-4e80-ae44-11e858da18e5}" id="{87684a29-29dd-4683-8f53-c9e805f1cd1f}" parentId="{0a6969c6-792b-4b55-885c-58ebec48ebeb}">
    <x18tc:text xml:space="preserve">Thanks for letting me know! Do you know who the right person is?</x18tc:text>
  </x18tc:threadedComment>
  <x18tc:threadedComment ref="A1" dT="2025-06-20T08:17:11.00" personId="{d3b48dde-b3a1-42bd-b367-14d22b137b43}" id="{7ab61258-5529-418b-b14e-332f935d95b6}" done="0">
    <x18tc:text xml:space="preserve">Unfortunately, Null Games are no longer with us.</x18tc:text>
  </x18tc:threadedComment>
  <x18tc:threadedComment ref="A1" dT="2025-06-23T15:46:57.00" personId="{4a89be04-7351-47ff-8ba0-574a951f7d4a}" id="{1e88eeea-299e-4268-9d16-2aabae77bee0}" done="0">
    <x18tc:text xml:space="preserve">Sam is not working at Annapurna anymore.</x18tc:text>
  </x18tc:threadedComment>
  <x18tc:threadedComment ref="A1" dT="2025-09-08T10:14:47.00" personId="{e5658613-fd0d-4250-814c-4b8240b7167e}" id="{c62e101f-bf91-4d92-90ea-bdd2b0ee41dc}" done="1">
    <x18tc:text xml:space="preserve">Updated POC and publishing scope. Thanks Seyed.</x18tc:text>
  </x18tc:threadedComment>
  <x18tc:threadedComment ref="A1" dT="2025-09-08T11:03:29.00" personId="{7376cc8f-8234-4e80-ae44-11e858da18e5}" id="{1bd0c4ff-c363-4358-a934-662297f07397}" parentId="{c62e101f-bf91-4d92-90ea-bdd2b0ee41dc}">
    <x18tc:text xml:space="preserve">Lovely thanks. Will copy over to curated sheet.</x18tc:text>
  </x18tc:threadedComment>
  <x18tc:threadedComment ref="A1" dT="2025-09-19T12:16:10.00" personId="{3ca4b05f-4d4a-4bb6-acad-6a992019ac65}" id="{aecb1988-304e-4533-a25c-8221a1161628}" done="1">
    <x18tc:text xml:space="preserve">Their funding limit is 500k USD</x18tc:text>
  </x18tc:threadedComment>
  <x18tc:threadedComment ref="A1" dT="2025-09-19T12:50:51.00" personId="{7376cc8f-8234-4e80-ae44-11e858da18e5}" id="{27d6d1ba-f7bb-490d-b314-e84c04cbd2a1}" parentId="{aecb1988-304e-4533-a25c-8221a1161628}">
    <x18tc:text xml:space="preserve">ok thanks for letting me know. Will include this info.</x18tc:text>
  </x18tc:threadedComment>
  <x18tc:threadedComment ref="A1" dT="2026-07-15T03:14:44.00" personId="{c45e76da-408a-4087-941d-6a47e49ff600}" id="{f936b837-2a00-4972-8b45-e452a8d7ad2a}" done="0">
    <x18tc:text xml:space="preserve">Firestoke games website redirects here.</x18tc:text>
  </x18tc:threadedComment>
  <x18tc:threadedComment ref="A1" dT="2026-08-12T06:50:38.00" personId="{b223a3be-039b-41ad-9865-fa07c6cfdb00}" id="{4581dcd3-4229-45d2-b337-e0b8b04dd5b5}" done="0">
    <x18tc:text xml:space="preserve">email not working anymore</x18tc:text>
  </x18tc:threadedComment>
  <x18tc:threadedComment ref="A1" dT="2026-08-12T07:54:59.00" personId="{b223a3be-039b-41ad-9865-fa07c6cfdb00}" id="{4b8479bc-92bb-44b5-8127-7b9d6c69b211}" done="0">
    <x18tc:text xml:space="preserve">As of August 2026, the email on their webpage is not working</x18tc:text>
  </x18tc:threadedComment>
  <x18tc:threadedComment ref="A1" dT="2026-08-06T12:25:36.00" personId="{e83b9e0d-8db9-44b9-b2a5-a3de19e818f0}" id="{64272931-06eb-48a8-9974-25bb10573a3e}" done="1">
    <x18tc:text xml:space="preserve">According to Jonny Merritt (Head of scouting) they have varied budget range but typically deal with the last 50% of project funding - so late in the development process</x18tc:text>
  </x18tc:threadedComment>
  <x18tc:threadedComment ref="A1" dT="2026-08-06T12:27:07.00" personId="{e83b9e0d-8db9-44b9-b2a5-a3de19e818f0}" id="{026d104f-f3ea-475b-ba8b-8b3dd346e32b}" done="1">
    <x18tc:text xml:space="preserve">https://www.balorgames.com</x18tc:text>
    <x18tc:extLst>
      <ext uri="{F7C98A9C-CBB3-438F-8F68-D28B6AF4A901}">
        <xltc2:checksum/>
        <xltc2:hyperlink startIndex="0" length="26" url="https://www.balorgames.com"/>
      </ext>
    </x18tc:extLst>
  </x18tc:threadedComment>
  <x18tc:threadedComment ref="A1" dT="2026-08-06T14:03:53.00" personId="{e56f5f7b-b0e8-419e-b2e2-f48a451c6888}" id="{46ce2d0a-52c9-4ce4-a927-0d42a714d659}" done="0">
    <x18tc:text xml:space="preserve">Pitched to Judatone yesterday and got an email back saying they are not currently offering development funding.</x18tc:text>
  </x18tc:threadedComment>
  <x18tc:threadedComment ref="A1" dT="2026-08-07T20:10:22.00" personId="{e83b9e0d-8db9-44b9-b2a5-a3de19e818f0}" id="{c50bab46-d631-480a-b763-27fbd082476e}" done="1">
    <x18tc:text xml:space="preserve">Elza left Armor Games 2024</x18tc:text>
  </x18tc:threadedComment>
  <x18tc:threadedComment ref="A1" dT="2026-08-07T20:36:25.00" personId="{e83b9e0d-8db9-44b9-b2a5-a3de19e818f0}" id="{17d55c63-75b6-4d6b-8444-88158039f0f0}" done="1">
    <x18tc:text xml:space="preserve">Gustav left for Coffee Stain in January 2026</x18tc:text>
  </x18tc:threadedComment>
  <x18tc:threadedComment ref="A1" dT="2026-08-07T20:45:28.00" personId="{e83b9e0d-8db9-44b9-b2a5-a3de19e818f0}" id="{351b949a-4f3b-4cfd-b44e-14e72592683e}" done="1">
    <x18tc:text xml:space="preserve">Connor left for Lyrical Games in 2025</x18tc:text>
  </x18tc:threadedComment>
  <x18tc:threadedComment ref="A1" dT="2026-08-07T20:56:20.00" personId="{e83b9e0d-8db9-44b9-b2a5-a3de19e818f0}" id="{7cd8d5ae-6c50-46c6-91bb-0b7344f8314c}" done="1">
    <x18tc:text xml:space="preserve">Gustav Nisser [https://www.linkedin.com/in/gustavnisser/]</x18tc:text>
    <x18tc:extLst>
      <ext uri="{F7C98A9C-CBB3-438F-8F68-D28B6AF4A901}">
        <xltc2:checksum/>
        <xltc2:hyperlink startIndex="15" length="41" url="https://www.linkedin.com/in/gustavnisser/"/>
      </ext>
    </x18tc:extLst>
  </x18tc:threadedComment>
  <x18tc:threadedComment ref="A1" dT="2026-08-05T11:15:14.00" personId="{e83b9e0d-8db9-44b9-b2a5-a3de19e818f0}" id="{17d221c9-8e76-4e76-a7eb-01f0f7cbb5c2}" done="1">
    <x18tc:text xml:space="preserve">Mike left Blowfish June 2025, not sure who's responsible for scouting at the moment</x18tc:text>
  </x18tc:threadedComment>
  <x18tc:threadedComment ref="A1" dT="2026-08-05T11:15:53.00" personId="{e83b9e0d-8db9-44b9-b2a5-a3de19e818f0}" id="{f18f86e7-74f1-4f18-9b3e-bf6cc8e96902}" done="0">
    <x18tc:text xml:space="preserve">Meg left Team17 for Critical Reflex</x18tc:text>
  </x18tc:threadedComment>
  <x18tc:threadedComment ref="A1" dT="2026-08-05T12:30:05.00" personId="{e83b9e0d-8db9-44b9-b2a5-a3de19e818f0}" id="{81d31257-307d-4d63-9cbd-84c637c17c5e}" parentId="{f18f86e7-74f1-4f18-9b3e-bf6cc8e96902}">
    <x18tc:text xml:space="preserve">Jasper left for Fireshine</x18tc:text>
  </x18tc:threadedComment>
  <x18tc:threadedComment ref="A1" dT="2026-08-05T11:26:24.00" personId="{e83b9e0d-8db9-44b9-b2a5-a3de19e818f0}" id="{2d3fdd47-56d7-4fef-9db9-e63fc58f5bd7}" done="0">
    <x18tc:text xml:space="preserve">Jack Griffin runs Kwalee scouting https://www.linkedin.com/in/jack-griffin2142/</x18tc:text>
    <x18tc:extLst>
      <ext uri="{F7C98A9C-CBB3-438F-8F68-D28B6AF4A901}">
        <xltc2:checksum/>
        <xltc2:hyperlink startIndex="34" length="45" url="https://www.linkedin.com/in/jack-griffin2142/"/>
      </ext>
    </x18tc:extLst>
  </x18tc:threadedComment>
  <x18tc:threadedComment ref="A1" dT="2026-09-10T15:46:31.00" personId="{3199a527-7620-4d30-8db7-5137ee7d8569}" id="{c9542ac0-0bd5-435b-b653-0096ee30fc67}" done="0">
    <x18tc:text xml:space="preserve">website is down</x18tc:text>
  </x18tc:threadedComment>
  <x18tc:threadedComment ref="A1" dT="2026-09-11T07:46:39.00" personId="{7376cc8f-8234-4e80-ae44-11e858da18e5}" id="{4c7ea6c2-fb13-4e65-9034-e4db3df264a6}" parentId="{c9542ac0-0bd5-435b-b653-0096ee30fc67}">
    <x18tc:text xml:space="preserve">I think the publisher is dead</x18tc:text>
  </x18tc:threadedComment>
  <x18tc:threadedComment ref="A1" dT="2026-08-31T11:18:00.00" personId="{15fc3beb-9b6c-4997-b127-b589bcacbb89}" id="{f4ecd33a-3e57-40fc-8550-36cb6d121ed2}" done="1">
    <x18tc:text xml:space="preserve">Hh</x18tc:text>
  </x18tc:threadedComment>
  <x18tc:threadedComment ref="A1" dT="2026-09-01T13:53:14.00" personId="{cfc23960-7e43-484e-9964-dc1207d728b0}" id="{a6f3aa5c-fcda-45d7-86d4-645cec8c5ec0}" done="1">
    <x18tc:text xml:space="preserve">The link seems broken.
I found him on LinkedIn if you want to update: https://www.linkedin.com/in/joshua-garrity-%E2%9E%A1%EF%B8%8F-gamescom-261a6148/</x18tc:text>
    <x18tc:extLst>
      <ext uri="{F7C98A9C-CBB3-438F-8F68-D28B6AF4A901}">
        <xltc2:checksum/>
        <xltc2:hyperlink startIndex="70" length="80" url="https://www.linkedin.com/in/joshua-garrity-%E2%9E%A1%EF%B8%8F-gamescom-261a6148/"/>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2" dT="2023-05-12T19:24:21.00" personId="{154f3cda-13f6-4422-b859-0e88ebc81e3f}" id="{9c3156c1-5d41-4445-aa7b-f84e01931ff7}" done="1">
    <x18tc:text xml:space="preserve">Feel free to add me (Sam Osburn, samo@annapurna.com) as AI's main pitch contact.</x18tc:text>
  </x18tc:threadedComment>
  <x18tc:threadedComment ref="A22" dT="2023-05-12T19:41:34.00" personId="{7376cc8f-8234-4e80-ae44-11e858da18e5}" id="{19c2d74b-352f-41b3-b6b1-b13ee9c4e235}" parentId="{9c3156c1-5d41-4445-aa7b-f84e01931ff7}">
    <x18tc:text xml:space="preserve">Thank you. Done :)</x18tc:text>
  </x18tc:threadedComment>
  <x18tc:threadedComment ref="T92" dT="2023-05-12T13:44:33.00" personId="{56977a61-e36b-40f9-89a0-507ecf8c0b57}" id="{2801fcda-16bb-42f5-8c3a-a1af5925671d}" done="1">
    <x18tc:text xml:space="preserve">Legend of Keepers / Sandwalkers / Synergy / Banners of Ruin</x18tc:text>
  </x18tc:threadedComment>
  <x18tc:threadedComment ref="E92" dT="2023-05-12T13:44:41.00" personId="{56977a61-e36b-40f9-89a0-507ecf8c0b57}" id="{e2282612-7192-4191-8c99-c8341c06d6d8}" done="1">
    <x18tc:text xml:space="preserve">publishing@goblinzstudio.com</x18tc:text>
  </x18tc:threadedComment>
  <x18tc:threadedComment ref="R92" dT="2023-05-12T13:45:44.00" personId="{56977a61-e36b-40f9-89a0-507ecf8c0b57}" id="{cd340dfb-3db5-4a1c-9f09-87fcf4dde6eb}" done="1">
    <x18tc:text xml:space="preserve">It's strange we didn't answer. You should have an instant "No" as your game was too far from our lineup :) Maybe the mail arrives in spam?</x18tc:text>
  </x18tc:threadedComment>
  <x18tc:threadedComment ref="R92" dT="2023-05-12T14:47:41.00" personId="{7376cc8f-8234-4e80-ae44-11e858da18e5}" id="{4c2907b1-d7bc-46e8-9cdd-620c81bec7b6}" parentId="{cd340dfb-3db5-4a1c-9f09-87fcf4dde6eb}">
    <x18tc:text xml:space="preserve">Hi Johann, I updated the fields as you requested. I didn't find any emails from your team. My submission was on July 28, and you requested access to the deck on the same day. If there was a reply from your team, can you let me know the date please?
The email I used was seyed@unifiq.com</x18tc:text>
  </x18tc:threadedComment>
  <x18tc:threadedComment ref="R92" dT="2023-05-12T15:29:48.00" personId="{56977a61-e36b-40f9-89a0-507ecf8c0b57}" id="{1dc18e65-556b-4baa-b83b-5ca4082b2452}" parentId="{cd340dfb-3db5-4a1c-9f09-87fcf4dde6eb}">
    <x18tc:text xml:space="preserve">I've sent an email on August 5 2022 ha ha (Saying that the game is too far for our lineup).
But we had some issues with email mid / end 2022 (some of our emails were flagged with [SPAM] in front of the email due to DNS issue.</x18tc:text>
  </x18tc:threadedComment>
  <x18tc:threadedComment ref="R92" dT="2023-05-12T15:40:50.00" personId="{7376cc8f-8234-4e80-ae44-11e858da18e5}" id="{3b7b6bde-df28-4123-a074-905880941480}" parentId="{cd340dfb-3db5-4a1c-9f09-87fcf4dde6eb}">
    <x18tc:text xml:space="preserve">Ok I see, thanks for letting me know. I'll update the spreadsheet :)</x18tc:text>
  </x18tc:threadedComment>
  <x18tc:threadedComment ref="F38" dT="2023-05-18T07:54:37.00" personId="{ec4a4b58-4553-4f8b-b950-5e05b85545f9}" id="{be17d348-ac52-4741-9aad-0dbefcdd96fb}" done="1">
    <x18tc:text xml:space="preserve">He has his own company now! doesn't work here anymore</x18tc:text>
  </x18tc:threadedComment>
  <x18tc:threadedComment ref="F38" dT="2023-05-18T09:28:22.00" personId="{7376cc8f-8234-4e80-ae44-11e858da18e5}" id="{99f7db17-1d3e-4dfc-a6e7-d5dd4d31dc7c}" parentId="{be17d348-ac52-4741-9aad-0dbefcdd96fb}">
    <x18tc:text xml:space="preserve">Thanks. You know who is the person in charge?</x18tc:text>
  </x18tc:threadedComment>
  <x18tc:threadedComment ref="F38" dT="2023-05-19T09:37:59.00" personId="{ec4a4b58-4553-4f8b-b950-5e05b85545f9}" id="{0c5b840c-074d-4e2c-a22a-97711ec839ef}" parentId="{be17d348-ac52-4741-9aad-0dbefcdd96fb}">
    <x18tc:text xml:space="preserve">One of the emali adresses I have of them is of Leon Cliff. He replies to pitches as well, but I cannot say anything about his position at Curve leon.cliff@curvegames.com</x18tc:text>
  </x18tc:threadedComment>
  <x18tc:threadedComment ref="F38" dT="2023-05-19T10:31:00.00" personId="{7376cc8f-8234-4e80-ae44-11e858da18e5}" id="{68b26684-69c0-4a55-be70-3be8ae4d0430}" parentId="{be17d348-ac52-4741-9aad-0dbefcdd96fb}">
    <x18tc:text xml:space="preserve">He also left Curve about a month ago lol. I'll ask around to see who's in charge.</x18tc:text>
  </x18tc:threadedComment>
  <x18tc:threadedComment ref="F38" dT="2023-05-19T12:39:47.00" personId="{ec4a4b58-4553-4f8b-b950-5e05b85545f9}" id="{372e9c81-5381-416c-bf46-d23c912f4a64}" parentId="{be17d348-ac52-4741-9aad-0dbefcdd96fb}">
    <x18tc:text xml:space="preserve">Yeah it is pretty recent, I saw that he will attend Nordic game with is new company, otherwise I wouldn't have known either</x18tc:text>
  </x18tc:threadedComment>
  <x18tc:threadedComment ref="F32" dT="2023-05-18T07:56:10.00" personId="{ec4a4b58-4553-4f8b-b950-5e05b85545f9}" id="{142ce40f-d0c8-4dab-b813-f7ec3a700db8}" done="1">
    <x18tc:text xml:space="preserve">or Kristin von der Wense kristin.vonderwense@daedalic.de</x18tc:text>
  </x18tc:threadedComment>
  <x18tc:threadedComment ref="F32" dT="2023-05-18T09:28:49.00" personId="{7376cc8f-8234-4e80-ae44-11e858da18e5}" id="{840abab8-2e40-4c6d-96ba-59c8a3e34940}" parentId="{142ce40f-d0c8-4dab-b813-f7ec3a700db8}">
    <x18tc:text xml:space="preserve">Thanks, added.</x18tc:text>
  </x18tc:threadedComment>
  <x18tc:threadedComment ref="U27" dT="2023-05-19T09:40:00.00" personId="{ec4a4b58-4553-4f8b-b950-5e05b85545f9}" id="{d470bef8-3173-45a9-8720-8f230d6c4ae9}" done="1">
    <x18tc:text xml:space="preserve">they are currently looking for game releases for 2025 and later!</x18tc:text>
  </x18tc:threadedComment>
  <x18tc:threadedComment ref="U27" dT="2023-05-19T21:49:31.00" personId="{7376cc8f-8234-4e80-ae44-11e858da18e5}" id="{5bda124d-c5a4-47a5-808d-ad501ee54613}" parentId="{d470bef8-3173-45a9-8720-8f230d6c4ae9}">
    <x18tc:text xml:space="preserve">Marked as resolved</x18tc:text>
  </x18tc:threadedComment>
  <x18tc:threadedComment ref="U27" dT="2024-04-11T05:23:19.00" personId="{a492715e-f042-48b6-8e39-dc0f14a36ec9}" id="{567e08e7-1c04-46a0-b125-5b06de07efb7}" parentId="{d470bef8-3173-45a9-8720-8f230d6c4ae9}">
    <x18tc:text xml:space="preserve">Re-opened</x18tc:text>
  </x18tc:threadedComment>
  <x18tc:threadedComment ref="Y14" dT="2026-05-16T15:15:24.00" personId="{ab158db2-1b26-4137-beff-f5485bc2c323}" id="{36ace2b1-ecbf-4c78-8b28-e592b3779ff3}" done="1">
    <x18tc:text xml:space="preserve">!</x18tc:text>
  </x18tc:threadedComment>
  <x18tc:threadedComment ref="Y11" dT="2026-05-16T15:16:11.00" personId="{ab158db2-1b26-4137-beff-f5485bc2c323}" id="{2e67c830-bc76-4dcd-8d1d-35ae0b3bc729}" done="1">
    <x18tc:text xml:space="preserve">!</x18tc:text>
  </x18tc:threadedComment>
  <x18tc:threadedComment ref="Y37" dT="2026-05-16T15:16:19.00" personId="{ab158db2-1b26-4137-beff-f5485bc2c323}" id="{a9860c3f-155e-474f-ac79-46d1b88deca4}" done="1">
    <x18tc:text xml:space="preserve">!</x18tc:text>
  </x18tc:threadedComment>
  <x18tc:threadedComment ref="W15" dT="2026-05-17T15:08:28.00" personId="{ab158db2-1b26-4137-beff-f5485bc2c323}" id="{dd8f2832-215d-49c4-a2d7-da20728bac97}" done="1">
    <x18tc:text xml:space="preserve">!</x18tc:text>
  </x18tc:threadedComment>
  <x18tc:threadedComment ref="Z15" dT="2026-05-17T15:08:46.00" personId="{ab158db2-1b26-4137-beff-f5485bc2c323}" id="{c20a2489-73e3-446c-8733-2a48ed925f46}" done="1">
    <x18tc:text xml:space="preserve">!</x18tc:text>
  </x18tc:threadedComment>
  <x18tc:threadedComment ref="F38" dT="2024-04-24T13:55:56.00" personId="{196c3145-020c-47fb-b2ff-85543e663bd9}" id="{2f425d65-247a-4371-98c1-14c7d46f4dc5}" done="1">
    <x18tc:text xml:space="preserve">not Jarvis anymore, he left the company ^^</x18tc:text>
  </x18tc:threadedComment>
  <x18tc:threadedComment ref="F38" dT="2024-04-24T20:58:42.00" personId="{7376cc8f-8234-4e80-ae44-11e858da18e5}" id="{0ee8e912-0363-4a9d-a723-81003b591916}" parentId="{2f425d65-247a-4371-98c1-14c7d46f4dc5}">
    <x18tc:text xml:space="preserve">Thanks! Will remove it.</x18tc:text>
  </x18tc:threadedComment>
  <x18tc:threadedComment ref="E40" dT="2024-06-13T01:34:04.00" personId="{cb63a623-dad5-44ea-aab9-33a861f87204}" id="{a05f41b7-f43a-4c37-945d-df17bde68c72}" done="1">
    <x18tc:text xml:space="preserve">website says pitch@indieark.com</x18tc:text>
  </x18tc:threadedComment>
  <x18tc:threadedComment ref="E40" dT="2024-06-13T17:50:53.00" personId="{7376cc8f-8234-4e80-ae44-11e858da18e5}" id="{487fdb0d-cd1c-4aa6-86f2-74de9cdd94f8}" parentId="{a05f41b7-f43a-4c37-945d-df17bde68c72}">
    <x18tc:text xml:space="preserve">Thanks. Fixed.</x18tc:text>
  </x18tc:threadedComment>
  <x18tc:threadedComment ref="A195" dT="2024-07-24T22:11:29.00" personId="{1cce5d48-ebdc-4482-a9e1-002dccbed209}" id="{4cd53f97-da2f-480c-8789-8a00c3c073ce}" done="1">
    <x18tc:text xml:space="preserve">Defunct</x18tc:text>
  </x18tc:threadedComment>
  <x18tc:threadedComment ref="A195" dT="2024-07-25T03:49:30.00" personId="{7376cc8f-8234-4e80-ae44-11e858da18e5}" id="{a3491146-602d-46d2-90ab-8386b047010b}" parentId="{4cd53f97-da2f-480c-8789-8a00c3c073ce}">
    <x18tc:text xml:space="preserve">This is quite fresh news. I'll give it a few more days to see what's going to happen.</x18tc:text>
  </x18tc:threadedComment>
  <x18tc:threadedComment ref="A196" dT="2024-07-24T22:11:37.00" personId="{1cce5d48-ebdc-4482-a9e1-002dccbed209}" id="{b36b0f61-4dfc-45b8-bb95-b2a56145227e}" done="1">
    <x18tc:text xml:space="preserve">Defunct</x18tc:text>
  </x18tc:threadedComment>
  <x18tc:threadedComment ref="A196" dT="2024-07-25T03:49:07.00" personId="{7376cc8f-8234-4e80-ae44-11e858da18e5}" id="{65611d53-d9bd-4b4b-991e-a517fb241f74}" parentId="{b36b0f61-4dfc-45b8-bb95-b2a56145227e}">
    <x18tc:text xml:space="preserve">Thanks. I'll wait a bit longer until it's official, and then I'll remove it.</x18tc:text>
  </x18tc:threadedComment>
  <x18tc:threadedComment ref="A194" dT="2024-07-24T22:11:48.00" personId="{1cce5d48-ebdc-4482-a9e1-002dccbed209}" id="{af5ad556-991e-4901-92be-2cf8f3315c26}" done="1">
    <x18tc:text xml:space="preserve">Defunct</x18tc:text>
  </x18tc:threadedComment>
  <x18tc:threadedComment ref="A194" dT="2024-07-25T03:50:04.00" personId="{7376cc8f-8234-4e80-ae44-11e858da18e5}" id="{a3a962cd-50f0-41d2-b65d-a989f107de5e}" parentId="{af5ad556-991e-4901-92be-2cf8f3315c26}">
    <x18tc:text xml:space="preserve">Thanks. Will take care of it. Do you know if the rebranded Arc Games publishes third-party titles?</x18tc:text>
  </x18tc:threadedComment>
  <x18tc:threadedComment ref="A194" dT="2024-07-25T04:07:52.00" personId="{1cce5d48-ebdc-4482-a9e1-002dccbed209}" id="{a6d4b0fe-360b-477f-a339-1ee1e4b53b47}" parentId="{af5ad556-991e-4901-92be-2cf8f3315c26}">
    <x18tc:text xml:space="preserve">They do! I think, like a lot of publishers, they are not very actively signing right now.</x18tc:text>
  </x18tc:threadedComment>
  <x18tc:threadedComment ref="A194" dT="2024-07-25T05:13:08.00" personId="{7376cc8f-8234-4e80-ae44-11e858da18e5}" id="{efb6a4e0-15db-4ba6-98fb-836f3e83f7d7}" parentId="{af5ad556-991e-4901-92be-2cf8f3315c26}">
    <x18tc:text xml:space="preserve">Got it thanks!</x18tc:text>
  </x18tc:threadedComment>
  <x18tc:threadedComment ref="F61" dT="2024-07-25T04:10:15.00" personId="{1cce5d48-ebdc-4482-a9e1-002dccbed209}" id="{b57efb8c-933a-4710-98c6-b06bda314da1}" done="1">
    <x18tc:text xml:space="preserve">She's not there anymore.</x18tc:text>
  </x18tc:threadedComment>
  <x18tc:threadedComment ref="F61" dT="2024-07-25T07:19:21.00" personId="{7376cc8f-8234-4e80-ae44-11e858da18e5}" id="{46d36be0-9af3-4091-a557-23bbff5a6d30}" parentId="{b57efb8c-933a-4710-98c6-b06bda314da1}">
    <x18tc:text xml:space="preserve">Correct, thanks!</x18tc:text>
  </x18tc:threadedComment>
  <x18tc:threadedComment ref="U124" dT="2024-07-25T21:17:20.00" personId="{8be6b83a-b3cf-4910-89cd-d11d7e537c35}" id="{2b6adec3-b609-440f-9cbb-36dfbc125125}" done="1">
    <x18tc:text xml:space="preserve">Could you tell us how old this info is and where it's coming from? We are in touch with them and so far have no complaints and very transparent conversations.</x18tc:text>
  </x18tc:threadedComment>
  <x18tc:threadedComment ref="U124" dT="2024-07-26T04:56:30.00" personId="{7376cc8f-8234-4e80-ae44-11e858da18e5}" id="{71e4806d-dcfa-458e-afae-f727382d0dce}" parentId="{2b6adec3-b609-440f-9cbb-36dfbc125125}">
    <x18tc:text xml:space="preserve">Hi Leonard. This information was contributed by the gamedev community. I do not know who has entered this info, and can neither confirm nor refute the info.
If you're determined to continue with the publisher, I recommend you get in touch with the developers of the latest games they published. Go to the publisher's Gamalytic page, sort the games in order of publishing date, and get in touch with the most recent 3-4 devs.
There is no harm in doing some background check on your publishing partner. Maybe they had flaws in the past but now they've improved. Only way to find out is to ask the fellow devs.</x18tc:text>
  </x18tc:threadedComment>
  <x18tc:threadedComment ref="U124" dT="2024-07-26T09:23:41.00" personId="{8be6b83a-b3cf-4910-89cd-d11d7e537c35}" id="{dd2783fe-4da2-44a5-ac95-24192e220762}" parentId="{2b6adec3-b609-440f-9cbb-36dfbc125125}">
    <x18tc:text xml:space="preserve">Thanks for the clearification! I was just wondering what the process of updating this is in case it isn't true (anymore). If it comes from a single dev that had a bad experience maybe it shouldn't be the only comment there? Just asking bc I'd like to know how "reliable" the comments are for other publishers as well if the come from a single person kind of like a 1 review thing.</x18tc:text>
  </x18tc:threadedComment>
  <x18tc:threadedComment ref="U124" dT="2024-07-26T12:00:42.00" personId="{7376cc8f-8234-4e80-ae44-11e858da18e5}" id="{b2903135-c73c-4927-98b6-3dae17a35c58}" parentId="{2b6adec3-b609-440f-9cbb-36dfbc125125}">
    <x18tc:text xml:space="preserve">Part of the comments are made by myself, and part of them are made by the publishers themselves or other devs. I curate the comments every month. But yes, don't assume they're 100% correct. This is an open-source sheet and everyone can contribute to it.</x18tc:text>
  </x18tc:threadedComment>
  <x18tc:threadedComment ref="U124" dT="2024-08-05T06:17:27.00" personId="{7376cc8f-8234-4e80-ae44-11e858da18e5}" id="{90b5acb6-0031-46e3-9e7a-8904c4ecffc8}" parentId="{2b6adec3-b609-440f-9cbb-36dfbc125125}">
    <x18tc:text xml:space="preserve">Marked as resolved</x18tc:text>
  </x18tc:threadedComment>
  <x18tc:threadedComment ref="U124" dT="2024-09-22T13:46:39.00" personId="{0c1efa53-f1e2-448b-8b25-74b1ba019bbc}" id="{138741bc-e1bf-429d-a990-c25b8b4e3633}" parentId="{2b6adec3-b609-440f-9cbb-36dfbc125125}">
    <x18tc:text xml:space="preserve">Re-opened</x18tc:text>
  </x18tc:threadedComment>
  <x18tc:threadedComment ref="S6" dT="2024-08-16T13:30:53.00" personId="{49ca837c-37f0-465e-bb91-5f37aed2a677}" id="{27b146df-4be2-42c9-9256-54d9bfb32d5e}" done="1">
    <x18tc:text xml:space="preserve">Indie*</x18tc:text>
  </x18tc:threadedComment>
  <x18tc:threadedComment ref="S6" dT="2024-08-16T13:44:32.00" personId="{7376cc8f-8234-4e80-ae44-11e858da18e5}" id="{227c8121-9e64-4fe8-a0cf-6e6dc0ba2970}" parentId="{27b146df-4be2-42c9-9256-54d9bfb32d5e}">
    <x18tc:text xml:space="preserve">Fixed. Tnx</x18tc:text>
  </x18tc:threadedComment>
  <x18tc:threadedComment ref="A1" dT="2025-01-13T20:06:57.00" personId="{5eed90d2-74b4-4d54-8a92-100cb3b112b0}" id="{48a17e9b-4cdc-4427-abf0-7c11934263b5}" done="1">
    <x18tc:text xml:space="preserve">Hello, you can include https://nogravitygames.com/ I see it's not listed.</x18tc:text>
    <x18tc:extLst>
      <ext uri="{F7C98A9C-CBB3-438F-8F68-D28B6AF4A901}">
        <xltc2:checksum/>
        <xltc2:hyperlink startIndex="23" length="27" url="https://nogravitygames.com/"/>
      </ext>
    </x18tc:extLst>
  </x18tc:threadedComment>
  <x18tc:threadedComment ref="A1" dT="2025-01-13T20:14:49.00" personId="{7376cc8f-8234-4e80-ae44-11e858da18e5}" id="{d72487bc-ea08-4cb3-b81d-f86270c2fa4b}" parentId="{48a17e9b-4cdc-4427-abf0-7c11934263b5}">
    <x18tc:text xml:space="preserve">Hi. NoGravityGames is a console-only publisher. This list is primarily focus on Steam.</x18tc:text>
  </x18tc:threadedComment>
  <x18tc:threadedComment ref="A1" dT="2025-01-13T20:57:05.00" personId="{5eed90d2-74b4-4d54-8a92-100cb3b112b0}" id="{d7f4e332-4b64-47be-803d-d12124b82772}" parentId="{48a17e9b-4cdc-4427-abf0-7c11934263b5}">
    <x18tc:text xml:space="preserve">Ahh, I'm not sure I understand; it seems they also publish on Steam, is that correct?
https://store.steampowered.com/publisher/nogravitygames</x18tc:text>
    <x18tc:extLst>
      <ext uri="{F7C98A9C-CBB3-438F-8F68-D28B6AF4A901}">
        <xltc2:checksum/>
        <xltc2:hyperlink startIndex="87" length="55" url="https://store.steampowered.com/publisher/nogravitygames"/>
      </ext>
    </x18tc:extLst>
  </x18tc:threadedComment>
  <x18tc:threadedComment ref="A1" dT="2025-01-13T21:35:55.00" personId="{7376cc8f-8234-4e80-ae44-11e858da18e5}" id="{9bd80c64-33ba-4507-9bd9-d10d943ebdb9}" parentId="{48a17e9b-4cdc-4427-abf0-7c11934263b5}">
    <x18tc:text xml:space="preserve">Oh sorry I thought they only do console. Sure no problem, I'll add them to the list. Thanks for the heads up</x18tc:text>
  </x18tc:threadedComment>
  <x18tc:threadedComment ref="A1" dT="2025-01-13T21:43:58.00" personId="{5eed90d2-74b4-4d54-8a92-100cb3b112b0}" id="{df6b372c-4dcc-4270-9786-da4c4c09fd9d}" parentId="{48a17e9b-4cdc-4427-abf0-7c11934263b5}">
    <x18tc:text xml:space="preserve">No problem!.</x18tc:text>
  </x18tc:threadedComment>
  <x18tc:threadedComment ref="A1" dT="2025-01-16T08:21:41.00" personId="{7376cc8f-8234-4e80-ae44-11e858da18e5}" id="{11516923-1b28-45a9-a271-18e1fc825116}" parentId="{48a17e9b-4cdc-4427-abf0-7c11934263b5}">
    <x18tc:text xml:space="preserve">Marked as resolved</x18tc:text>
  </x18tc:threadedComment>
  <x18tc:threadedComment ref="A1" dT="2025-02-04T21:03:34.00" personId="{5eed90d2-74b4-4d54-8a92-100cb3b112b0}" id="{92d7639e-b865-4ce7-8941-7f23da191661}" parentId="{48a17e9b-4cdc-4427-abf0-7c11934263b5}">
    <x18tc:text xml:space="preserve">Hello again,
https://www.astrolabe-games.ca/
could be added to the list. sorry for my english.
Re-opened</x18tc:text>
    <x18tc:extLst>
      <ext uri="{F7C98A9C-CBB3-438F-8F68-D28B6AF4A901}">
        <xltc2:checksum/>
        <xltc2:hyperlink startIndex="13" length="31" url="https://www.astrolabe-games.ca/"/>
      </ext>
    </x18tc:extLst>
  </x18tc:threadedComment>
  <x18tc:threadedComment ref="E32" dT="2025-01-16T00:34:40.00" personId="{1a93a863-68b9-46e8-affc-4f6df742ff3d}" id="{7f6dc73b-c58c-4bfb-a8b3-7f261c87c760}" done="1">
    <x18tc:text xml:space="preserve">Incorrect information, email address is bizdev@daedalic.de</x18tc:text>
  </x18tc:threadedComment>
  <x18tc:threadedComment ref="E32" dT="2025-01-16T08:21:22.00" personId="{7376cc8f-8234-4e80-ae44-11e858da18e5}" id="{01a6f7ef-25bf-4ca8-a119-c1e2892badc8}" parentId="{7f6dc73b-c58c-4bfb-a8b3-7f261c87c760}">
    <x18tc:text xml:space="preserve">Thank you! Fixed</x18tc:text>
  </x18tc:threadedComment>
  <x18tc:threadedComment ref="E201" dT="2025-02-04T21:01:36.00" personId="{9f602663-4b84-42c4-87a8-d5cfd8fd8725}" id="{75417135-d748-43fd-b029-b0a98269fd03}" done="1">
    <x18tc:text xml:space="preserve">They "are not accepting pitches at this time'. Feb 2025.</x18tc:text>
  </x18tc:threadedComment>
  <x18tc:threadedComment ref="E201" dT="2025-02-05T13:01:08.00" personId="{7376cc8f-8234-4e80-ae44-11e858da18e5}" id="{3b080408-b0b9-46a8-80e9-ed69d988f1bf}" parentId="{75417135-d748-43fd-b029-b0a98269fd03}">
    <x18tc:text xml:space="preserve">Thanks. It seems they have closed their publishing arm. I'll remove them from the list</x18tc:text>
  </x18tc:threadedComment>
  <x18tc:threadedComment ref="F55" dT="2025-06-24T19:09:45.00" personId="{4910cf34-d536-4c6c-aee0-9c3c2e71bca9}" id="{69bac964-870f-44e3-99de-0e7a259388eb}" done="1">
    <x18tc:text xml:space="preserve">Lance James / lance@digitalbandidos.com</x18tc:text>
  </x18tc:threadedComment>
  <x18tc:threadedComment ref="F55" dT="2025-06-25T07:35:33.00" personId="{7376cc8f-8234-4e80-ae44-11e858da18e5}" id="{57fa8703-18e0-4678-afb1-77eeeea881bf}" parentId="{69bac964-870f-44e3-99de-0e7a259388eb}">
    <x18tc:text xml:space="preserve">Thanks. Done!</x18tc:text>
  </x18tc:threadedComment>
  <x18tc:threadedComment ref="A210" dT="2025-09-08T10:17:30.00" personId="{e5658613-fd0d-4250-814c-4b8240b7167e}" id="{19f6cf95-d0ce-45d6-9046-d1681a03f883}" done="1">
    <x18tc:text xml:space="preserve">Pixmain killed by Bytedance already.</x18tc:text>
  </x18tc:threadedComment>
  <x18tc:threadedComment ref="A210" dT="2025-09-08T11:04:34.00" personId="{7376cc8f-8234-4e80-ae44-11e858da18e5}" id="{10205c80-9cf4-4d21-b3af-d21c12ea2964}" parentId="{19f6cf95-d0ce-45d6-9046-d1681a03f883}">
    <x18tc:text xml:space="preserve">Thanks. Will update.</x18tc:text>
  </x18tc:threadedComment>
  <x18tc:threadedComment ref="U66" dT="2025-09-29T18:40:43.00" personId="{3ca4b05f-4d4a-4bb6-acad-6a992019ac65}" id="{9c217a3b-fc5f-4993-ad3c-d00f7ba9c97e}" done="1">
    <x18tc:text xml:space="preserve">May want to recommend using a dedicated email address to pitch them. They've started sending marketing spam to the address I used.</x18tc:text>
  </x18tc:threadedComment>
  <x18tc:threadedComment ref="U66" dT="2025-09-29T19:04:17.00" personId="{7376cc8f-8234-4e80-ae44-11e858da18e5}" id="{e91f3855-e763-4901-ac92-65bb7981ed1d}" parentId="{9c217a3b-fc5f-4993-ad3c-d00f7ba9c97e}">
    <x18tc:text xml:space="preserve">Good to know. Thanks for the heads up</x18tc:text>
  </x18tc:threadedComment>
  <x18tc:threadedComment ref="A81" dT="2025-09-30T21:56:26.00" personId="{e83b9e0d-8db9-44b9-b2a5-a3de19e818f0}" id="{2cb3490e-5a52-4882-9c76-7fa12a0f866c}" done="1">
    <x18tc:text xml:space="preserve">Alex from Yogscast is the nicest, softest-spoken person on Earth. They don't look for new games until later in 2026 (Atleast not for action roguelikes)</x18tc:text>
  </x18tc:threadedComment>
  <x18tc:threadedComment ref="F58" dT="2025-10-14T19:45:01.00" personId="{4723268b-64d6-4388-b4da-af8786785efd}" id="{8fdf93e8-21ec-4025-b0fe-1e5a937ab479}" done="1">
    <x18tc:text xml:space="preserve">Just reached out to Trisha Lee, she is no longer with United Label</x18tc:text>
  </x18tc:threadedComment>
  <x18tc:threadedComment ref="F58" dT="2025-10-14T19:51:43.00" personId="{7376cc8f-8234-4e80-ae44-11e858da18e5}" id="{0b99917a-5dbe-4996-a41f-54454d06d72a}" parentId="{8fdf93e8-21ec-4025-b0fe-1e5a937ab479}">
    <x18tc:text xml:space="preserve">Thanks. Will remove it.</x18tc:text>
  </x18tc:threadedComment>
  <x18tc:threadedComment ref="Q83" dT="2025-11-05T03:19:30.00" personId="{3ca4b05f-4d4a-4bb6-acad-6a992019ac65}" id="{5ca0d763-e986-4caf-be69-9c71fefcd3e3}" done="1">
    <x18tc:text xml:space="preserve">Their top end is ~$250k</x18tc:text>
  </x18tc:threadedComment>
  <x18tc:threadedComment ref="Q83" dT="2025-11-05T07:58:41.00" personId="{7376cc8f-8234-4e80-ae44-11e858da18e5}" id="{94589743-95d4-4c9d-b78c-d3a934d7e637}" parentId="{5ca0d763-e986-4caf-be69-9c71fefcd3e3}">
    <x18tc:text xml:space="preserve">Good to know. will edit this.</x18tc:text>
  </x18tc:threadedComment>
  <x18tc:threadedComment ref="U47" dT="2026-01-21T10:50:28.00" personId="{c436f2b5-4ce9-4d4b-a998-65c85bc91d98}" id="{e963ba2d-7f01-46fc-b548-880db6ad6d24}" done="1">
    <x18tc:text xml:space="preserve">As a group working with many independent developers, we do not expect equity in the companies we cooperate with. Our revenue share is set at a standard, industry-accepted level and reflects the scope of our publishing and development support. Our focus is on building fair, long-term partnerships based on trust and mutual benefit.</x18tc:text>
  </x18tc:threadedComment>
  <x18tc:threadedComment ref="U47" dT="2026-01-21T12:05:57.00" personId="{7376cc8f-8234-4e80-ae44-11e858da18e5}" id="{a30507ec-d852-486d-a73e-b72502528fb7}" parentId="{e963ba2d-7f01-46fc-b548-880db6ad6d24}">
    <x18tc:text xml:space="preserve">Thanks. I will edit this entry. May I ask if you work at Playway?</x18tc:text>
  </x18tc:threadedComment>
  <x18tc:threadedComment ref="U47" dT="2026-01-21T12:26:14.00" personId="{c436f2b5-4ce9-4d4b-a998-65c85bc91d98}" id="{6392c37f-8dd8-4d26-aff8-18a19d9e60c0}" parentId="{e963ba2d-7f01-46fc-b548-880db6ad6d24}">
    <x18tc:text xml:space="preserve">Yes - michal@playway.com or publish@playway.com</x18tc:text>
  </x18tc:threadedComment>
  <x18tc:threadedComment ref="U47" dT="2026-01-21T15:03:09.00" personId="{7376cc8f-8234-4e80-ae44-11e858da18e5}" id="{85dd95ef-6bc5-495e-8571-4d4885d1f4e7}" parentId="{e963ba2d-7f01-46fc-b548-880db6ad6d24}">
    <x18tc:text xml:space="preserve">Thanks. I've remove the last part. If you want to add anything else to the current entry, please let me know.
Also for your info, majority of the info on publishers are community contributions, either by publishers themselves or the devs.</x18tc:text>
  </x18tc:threadedComment>
  <x18tc:threadedComment ref="F27" dT="2026-08-02T17:55:15.00" personId="{e83b9e0d-8db9-44b9-b2a5-a3de19e818f0}" id="{122e9327-7f2b-405e-ac40-59b76c30980a}" done="1">
    <x18tc:text xml:space="preserve">Matt left DD in Feb 2026</x18tc:text>
  </x18tc:threadedComment>
  <x18tc:threadedComment ref="I126" dT="2026-09-17T13:53:28.00" personId="{dacbfce7-c732-4023-89c2-b6a5c99bdc18}" id="{58479916-490d-4c42-a636-462c7a5362d8}" done="1">
    <x18tc:text xml:space="preserve">This is at 69 now</x18tc:text>
  </x18tc:threadedComment>
  <x18tc:threadedComment ref="F37" dT="2026-09-23T13:57:00.00" personId="{e83b9e0d-8db9-44b9-b2a5-a3de19e818f0}" id="{ef055c4d-f234-4fbb-9a0a-aa0d335dfbe3}" done="1">
    <x18tc:text xml:space="preserve">Herb left tinyBuild in Dec 2023, works for Embark Studio now</x18tc:text>
  </x18tc:threadedComment>
  <x18tc:threadedComment ref="F37" dT="2026-09-23T14:37:04.00" personId="{7376cc8f-8234-4e80-ae44-11e858da18e5}" id="{6604e514-7c58-4182-9e42-84d8cd1ed6f7}" parentId="{ef055c4d-f234-4fbb-9a0a-aa0d335dfbe3}">
    <x18tc:text xml:space="preserve">ok thanks. will update now</x18tc:text>
  </x18tc:threadedComment>
  <x18tc:threadedComment ref="F20" dT="2026-09-23T18:18:29.00" personId="{e83b9e0d-8db9-44b9-b2a5-a3de19e818f0}" id="{31304351-e5e0-4019-9301-d3276d62ac59}" done="1">
    <x18tc:text xml:space="preserve">Benjamin Ellis leads Everplay/Team17 scouting/cotent acquisition team:
https://www.linkedin.com/in/benjaminmjellis/</x18tc:text>
    <x18tc:extLst>
      <ext uri="{F7C98A9C-CBB3-438F-8F68-D28B6AF4A901}">
        <xltc2:checksum/>
        <xltc2:hyperlink startIndex="71" length="44" url="https://www.linkedin.com/in/benjaminmjellis/"/>
      </ext>
    </x18tc:extLst>
  </x18tc:threadedComment>
  <x18tc:threadedComment ref="F20" dT="2026-09-23T18:25:20.00" personId="{7376cc8f-8234-4e80-ae44-11e858da18e5}" id="{afabed2c-02e8-46de-af4d-38a5cb9ebc5d}" parentId="{31304351-e5e0-4019-9301-d3276d62ac59}">
    <x18tc:text xml:space="preserve">thanks. will update now</x18tc:text>
  </x18tc:threadedComment>
  <x18tc:threadedComment ref="F153" dT="2026-09-24T12:14:02.00" personId="{e83b9e0d-8db9-44b9-b2a5-a3de19e818f0}" id="{bcbed8b9-f19c-4bac-8676-a2d704f13d26}" done="1">
    <x18tc:text xml:space="preserve">You can also contact Ben Tucker:
https://www.linkedin.com/in/ben-tucker-164a49159/</x18tc:text>
    <x18tc:extLst>
      <ext uri="{F7C98A9C-CBB3-438F-8F68-D28B6AF4A901}">
        <xltc2:checksum/>
        <xltc2:hyperlink startIndex="33" length="49" url="https://www.linkedin.com/in/ben-tucker-164a49159/"/>
      </ext>
    </x18tc:extLst>
  </x18tc:threadedComment>
  <x18tc:threadedComment ref="F153" dT="2026-09-24T12:21:33.00" personId="{7376cc8f-8234-4e80-ae44-11e858da18e5}" id="{f2364188-282f-49df-8540-7350f9c323c0}" parentId="{bcbed8b9-f19c-4bac-8676-a2d704f13d26}">
    <x18tc:text xml:space="preserve">thanks adding now.
Bro I don't know who you are but thank you so much for contributing :)</x18tc:text>
  </x18tc:threadedComment>
  <x18tc:threadedComment ref="F153" dT="2026-09-24T12:27:39.00" personId="{e83b9e0d-8db9-44b9-b2a5-a3de19e818f0}" id="{ceb184e9-e841-4ae8-9394-61559e715cc5}" parentId="{bcbed8b9-f19c-4bac-8676-a2d704f13d26}">
    <x18tc:text xml:space="preserve">We talked on LinkedIn few weeks ago. Happy to help :)</x18tc:text>
  </x18tc:threadedComment>
  <x18tc:threadedComment ref="F153" dT="2026-09-24T12:39:41.00" personId="{7376cc8f-8234-4e80-ae44-11e858da18e5}" id="{eed54f8a-5581-49af-8f76-ad421af24ece}" parentId="{bcbed8b9-f19c-4bac-8676-a2d704f13d26}">
    <x18tc:text xml:space="preserve">Oh yes! Thanks again for helping :)</x18tc:text>
  </x18tc:threadedComment>
  <x18tc:threadedComment ref="U26" dT="2026-09-24T17:01:49.00" personId="{e83b9e0d-8db9-44b9-b2a5-a3de19e818f0}" id="{4d585cba-b563-4902-a70a-02226b19f15b}" done="1">
    <x18tc:text xml:space="preserve">They started publishing indie games through 505 Pulse:
https://505pulse.com/
Might be worth adding as a separate entity. I will talk to someone to learn more about that.
Contact email:
pitchyourgame@505pulse.com</x18tc:text>
    <x18tc:extLst>
      <ext uri="{F7C98A9C-CBB3-438F-8F68-D28B6AF4A901}">
        <xltc2:checksum/>
        <xltc2:hyperlink startIndex="55" length="21" url="https://505pulse.com/"/>
      </ext>
    </x18tc:extLst>
  </x18tc:threadedComment>
  <x18tc:threadedComment ref="U26" dT="2026-09-25T07:50:53.00" personId="{7376cc8f-8234-4e80-ae44-11e858da18e5}" id="{4f160e75-1a9a-4941-8144-0c50cf78476c}" parentId="{4d585cba-b563-4902-a70a-02226b19f15b}">
    <x18tc:text xml:space="preserve">oh very cool. I'll take a look too</x18tc:text>
  </x18tc:threadedComment>
  <x18tc:threadedComment ref="U30" dT="2026-09-25T19:46:46.00" personId="{e83b9e0d-8db9-44b9-b2a5-a3de19e818f0}" id="{0a185610-93ef-4a91-b0aa-9937a9a143d2}" done="1">
    <x18tc:text xml:space="preserve">Budgets between 100k and 700k, but looked at projects both below and above that</x18tc:text>
  </x18tc:threadedComment>
  <x18tc:threadedComment ref="F45" dT="2026-10-23T07:32:59.00" personId="{e83b9e0d-8db9-44b9-b2a5-a3de19e818f0}" id="{d53a2713-8ae5-46a5-a7a4-04800004df93}" done="1">
    <x18tc:text xml:space="preserve">Anton left Fulqrum in August 2026</x18tc:text>
  </x18tc:threadedComment>
  <x18tc:threadedComment ref="F45" dT="2026-10-23T07:39:36.00" personId="{7376cc8f-8234-4e80-ae44-11e858da18e5}" id="{9f4fc96e-e044-4b10-91d1-3f7fe0f99210}" parentId="{d53a2713-8ae5-46a5-a7a4-04800004df93}">
    <x18tc:text xml:space="preserve">Thanks!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6" dT="2025-01-29T13:55:31.00" personId="{70d245df-9806-4c4f-8ae5-58029c128098}" id="{41e768cc-e367-4788-9bf5-acd3af035190}" done="1">
    <x18tc:text xml:space="preserve">https://wearesecretmode.com/  Secret Mode missing.</x18tc:text>
    <x18tc:extLst>
      <ext uri="{F7C98A9C-CBB3-438F-8F68-D28B6AF4A901}">
        <xltc2:checksum/>
        <xltc2:hyperlink startIndex="0" length="29" url="https://wearesecretmode.com/ "/>
      </ext>
    </x18tc:extLst>
  </x18tc:threadedComment>
  <x18tc:threadedComment ref="A196" dT="2025-02-03T12:53:20.00" personId="{7376cc8f-8234-4e80-ae44-11e858da18e5}" id="{30c4a509-9b6f-4295-96e4-4f4bdbe1ed67}" parentId="{41e768cc-e367-4788-9bf5-acd3af035190}">
    <x18tc:text xml:space="preserve">Hi. Secret Mode is on the list. Is there an info that is missing?</x18tc:text>
  </x18tc:threadedComment>
  <x18tc:threadedComment ref="A226" dT="2025-05-14T09:34:45.00" personId="{6cb46c63-a518-4676-a0e6-718f9c4e8f42}" id="{880cd5ed-9661-4393-845b-5815b5904440}" done="1">
    <x18tc:text xml:space="preserve">PID Games was closed last year (i was the Game Scout :P)</x18tc:text>
  </x18tc:threadedComment>
  <x18tc:threadedComment ref="A226" dT="2025-05-14T10:11:26.00" personId="{7376cc8f-8234-4e80-ae44-11e858da18e5}" id="{3846653f-9696-4f30-b42f-02e852b2e4e1}" parentId="{880cd5ed-9661-4393-845b-5815b5904440}">
    <x18tc:text xml:space="preserve">Thanks! Will update this.</x18tc:text>
  </x18tc:threadedComment>
  <x18tc:threadedComment ref="F25" dT="2025-05-14T09:35:59.00" personId="{6cb46c63-a518-4676-a0e6-718f9c4e8f42}" id="{1405c111-ba2a-4a9c-a94b-811d84425ea6}" done="1">
    <x18tc:text xml:space="preserve">Not me anymore :p (i will tell you who will be the new game scout)</x18tc:text>
  </x18tc:threadedComment>
  <x18tc:threadedComment ref="F25" dT="2025-05-14T10:12:20.00" personId="{7376cc8f-8234-4e80-ae44-11e858da18e5}" id="{e6afba86-6fd9-4913-b00b-4a6062551896}" parentId="{1405c111-ba2a-4a9c-a94b-811d84425ea6}">
    <x18tc:text xml:space="preserve">Thank you!</x18tc:text>
  </x18tc:threadedComment>
  <x18tc:threadedComment ref="F35" dT="2025-09-14T18:57:28.00" personId="{588bc9bf-2b0e-433f-9f0f-0747bac2281b}" id="{20e8e27a-e79b-406b-ba3a-675b36036b81}" done="1">
    <x18tc:text xml:space="preserve">Wang will leave the company, contact will be changed from Oct</x18tc:text>
  </x18tc:threadedComment>
  <x18tc:threadedComment ref="F35" dT="2025-09-15T09:35:05.00" personId="{7376cc8f-8234-4e80-ae44-11e858da18e5}" id="{08420250-aaca-42b3-86ac-dad91d1d4e3f}" parentId="{20e8e27a-e79b-406b-ba3a-675b36036b81}">
    <x18tc:text xml:space="preserve">Thanks for updating this. I updated the other sheet too.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5-07-26T19:31:41.00" personId="{663d1d66-6070-4bf9-be29-042c550f8785}" id="{98e7f120-4c0f-4c80-a5fc-8c8d9c525a74}" done="1">
    <x18tc:text xml:space="preserve">https://www.linkedin.com/in/krriyo/</x18tc:text>
    <x18tc:extLst>
      <ext uri="{F7C98A9C-CBB3-438F-8F68-D28B6AF4A901}">
        <xltc2:checksum/>
        <xltc2:hyperlink startIndex="0" length="35" url="https://www.linkedin.com/in/krriyo/"/>
      </ext>
    </x18tc:extLst>
  </x18tc:threadedComment>
  <x18tc:threadedComment ref="E11" dT="2025-07-26T19:37:58.00" personId="{7376cc8f-8234-4e80-ae44-11e858da18e5}" id="{42ca2866-75ff-4e01-8813-d84b8d7fca2a}" parentId="{98e7f120-4c0f-4c80-a5fc-8c8d9c525a74}">
    <x18tc:text xml:space="preserve">Thanks. Will add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crytivo.com/" TargetMode="External"/><Relationship Id="rId194" Type="http://schemas.openxmlformats.org/officeDocument/2006/relationships/hyperlink" Target="https://www.paradoxinteractive.com/" TargetMode="External"/><Relationship Id="rId193" Type="http://schemas.openxmlformats.org/officeDocument/2006/relationships/hyperlink" Target="https://gamalytic.com/publisher/Crytivo" TargetMode="External"/><Relationship Id="rId192" Type="http://schemas.openxmlformats.org/officeDocument/2006/relationships/hyperlink" Target="https://store.steampowered.com/publisher/Crytivo" TargetMode="External"/><Relationship Id="rId191" Type="http://schemas.openxmlformats.org/officeDocument/2006/relationships/hyperlink" Target="https://crytivo.com/en/publishing" TargetMode="External"/><Relationship Id="rId187" Type="http://schemas.openxmlformats.org/officeDocument/2006/relationships/hyperlink" Target="https://www.linkedin.com/in/alex-arsentiev-7243b8204/" TargetMode="External"/><Relationship Id="rId186" Type="http://schemas.openxmlformats.org/officeDocument/2006/relationships/hyperlink" Target="https://alawar.com/pitch" TargetMode="External"/><Relationship Id="rId185" Type="http://schemas.openxmlformats.org/officeDocument/2006/relationships/hyperlink" Target="https://alawar.com/" TargetMode="External"/><Relationship Id="rId184" Type="http://schemas.openxmlformats.org/officeDocument/2006/relationships/hyperlink" Target="https://gamalytic.com/publisher/Oro%20Interactive" TargetMode="External"/><Relationship Id="rId189" Type="http://schemas.openxmlformats.org/officeDocument/2006/relationships/hyperlink" Target="https://gamalytic.com/publisher/Alawar" TargetMode="External"/><Relationship Id="rId188" Type="http://schemas.openxmlformats.org/officeDocument/2006/relationships/hyperlink" Target="https://store.steampowered.com/publisher/alawar" TargetMode="External"/><Relationship Id="rId183" Type="http://schemas.openxmlformats.org/officeDocument/2006/relationships/hyperlink" Target="https://store.steampowered.com/publisher/orointeractive" TargetMode="External"/><Relationship Id="rId182" Type="http://schemas.openxmlformats.org/officeDocument/2006/relationships/hyperlink" Target="https://www.linkedin.com/in/daniel-lyozov-348495133/" TargetMode="External"/><Relationship Id="rId181" Type="http://schemas.openxmlformats.org/officeDocument/2006/relationships/hyperlink" Target="https://www.orointeractive.com/" TargetMode="External"/><Relationship Id="rId180" Type="http://schemas.openxmlformats.org/officeDocument/2006/relationships/hyperlink" Target="https://gamalytic.com/publisher/The%20Arcade%20Crew" TargetMode="External"/><Relationship Id="rId176" Type="http://schemas.openxmlformats.org/officeDocument/2006/relationships/hyperlink" Target="https://gamalytic.com/publisher/Balor%20Games" TargetMode="External"/><Relationship Id="rId297" Type="http://schemas.openxmlformats.org/officeDocument/2006/relationships/hyperlink" Target="https://store.steampowered.com/developer/yogscastgames" TargetMode="External"/><Relationship Id="rId175" Type="http://schemas.openxmlformats.org/officeDocument/2006/relationships/hyperlink" Target="https://store.steampowered.com/publisher/BalorGames" TargetMode="External"/><Relationship Id="rId296" Type="http://schemas.openxmlformats.org/officeDocument/2006/relationships/hyperlink" Target="https://www.yogscast.games/" TargetMode="External"/><Relationship Id="rId174" Type="http://schemas.openxmlformats.org/officeDocument/2006/relationships/hyperlink" Target="https://www.linkedin.com/in/marknash/" TargetMode="External"/><Relationship Id="rId295" Type="http://schemas.openxmlformats.org/officeDocument/2006/relationships/hyperlink" Target="https://www.yogscast.games/" TargetMode="External"/><Relationship Id="rId173" Type="http://schemas.openxmlformats.org/officeDocument/2006/relationships/hyperlink" Target="https://www.goodgamesgroup.com/" TargetMode="External"/><Relationship Id="rId294" Type="http://schemas.openxmlformats.org/officeDocument/2006/relationships/hyperlink" Target="https://gamalytic.com/publisher/Kasedo%20Games" TargetMode="External"/><Relationship Id="rId179" Type="http://schemas.openxmlformats.org/officeDocument/2006/relationships/hyperlink" Target="https://store.steampowered.com/publisher/TheArcadeCrew" TargetMode="External"/><Relationship Id="rId178" Type="http://schemas.openxmlformats.org/officeDocument/2006/relationships/hyperlink" Target="https://www.thearcadecrew.com/contact/" TargetMode="External"/><Relationship Id="rId299" Type="http://schemas.openxmlformats.org/officeDocument/2006/relationships/hyperlink" Target="http://alibi.games/" TargetMode="External"/><Relationship Id="rId177" Type="http://schemas.openxmlformats.org/officeDocument/2006/relationships/hyperlink" Target="https://www.thearcadecrew.com/" TargetMode="External"/><Relationship Id="rId298" Type="http://schemas.openxmlformats.org/officeDocument/2006/relationships/hyperlink" Target="https://gamalytic.com/publisher/Yogscast%20Games" TargetMode="External"/><Relationship Id="rId198" Type="http://schemas.openxmlformats.org/officeDocument/2006/relationships/hyperlink" Target="https://gamalytic.com/publisher/Paradox%20Arc" TargetMode="External"/><Relationship Id="rId197" Type="http://schemas.openxmlformats.org/officeDocument/2006/relationships/hyperlink" Target="https://store.steampowered.com/publisher/ParadoxArc" TargetMode="External"/><Relationship Id="rId196" Type="http://schemas.openxmlformats.org/officeDocument/2006/relationships/hyperlink" Target="https://www.linkedin.com/in/denis-ilecic-5952a563/" TargetMode="External"/><Relationship Id="rId195" Type="http://schemas.openxmlformats.org/officeDocument/2006/relationships/hyperlink" Target="https://www.paradoxinteractive.com/contact/pitch-your-game-to-paradox" TargetMode="External"/><Relationship Id="rId199" Type="http://schemas.openxmlformats.org/officeDocument/2006/relationships/hyperlink" Target="https://www.tripwireinteractive.com/" TargetMode="External"/><Relationship Id="rId150" Type="http://schemas.openxmlformats.org/officeDocument/2006/relationships/hyperlink" Target="https://store.steampowered.com/publisher/thunderfulpublishing" TargetMode="External"/><Relationship Id="rId271" Type="http://schemas.openxmlformats.org/officeDocument/2006/relationships/hyperlink" Target="https://gamalytic.com/publisher/Gambit%20Digital" TargetMode="External"/><Relationship Id="rId392" Type="http://schemas.openxmlformats.org/officeDocument/2006/relationships/hyperlink" Target="https://store.steampowered.com/publisher/DECK13" TargetMode="External"/><Relationship Id="rId270" Type="http://schemas.openxmlformats.org/officeDocument/2006/relationships/hyperlink" Target="https://store.steampowered.com/search/?publisher=Gambit%20Digital" TargetMode="External"/><Relationship Id="rId391" Type="http://schemas.openxmlformats.org/officeDocument/2006/relationships/hyperlink" Target="https://www.linkedin.com/in/phil-pradel-581180188/" TargetMode="External"/><Relationship Id="rId390" Type="http://schemas.openxmlformats.org/officeDocument/2006/relationships/hyperlink" Target="https://spotlight.deck13.com/contact-us/" TargetMode="External"/><Relationship Id="rId1" Type="http://schemas.openxmlformats.org/officeDocument/2006/relationships/hyperlink" Target="https://www.isolatedgames.com/" TargetMode="External"/><Relationship Id="rId2" Type="http://schemas.openxmlformats.org/officeDocument/2006/relationships/hyperlink" Target="mailto:andres.ruiz@isolatedgames.com" TargetMode="External"/><Relationship Id="rId3" Type="http://schemas.openxmlformats.org/officeDocument/2006/relationships/hyperlink" Target="https://store.steampowered.com/developer/isolatedgames" TargetMode="External"/><Relationship Id="rId149" Type="http://schemas.openxmlformats.org/officeDocument/2006/relationships/hyperlink" Target="https://thunderfulgames.com/pitch-a-game/" TargetMode="External"/><Relationship Id="rId4" Type="http://schemas.openxmlformats.org/officeDocument/2006/relationships/hyperlink" Target="https://gamalytic.com/publisher/Isolated%20Games" TargetMode="External"/><Relationship Id="rId148" Type="http://schemas.openxmlformats.org/officeDocument/2006/relationships/hyperlink" Target="https://thunderfulgames.com/" TargetMode="External"/><Relationship Id="rId269" Type="http://schemas.openxmlformats.org/officeDocument/2006/relationships/hyperlink" Target="https://www.linkedin.com/in/zac-antonaci-ba782836/" TargetMode="External"/><Relationship Id="rId9" Type="http://schemas.openxmlformats.org/officeDocument/2006/relationships/hyperlink" Target="https://coffeestain.com/publishing" TargetMode="External"/><Relationship Id="rId143" Type="http://schemas.openxmlformats.org/officeDocument/2006/relationships/hyperlink" Target="https://store.steampowered.com/publisher/forklift" TargetMode="External"/><Relationship Id="rId264" Type="http://schemas.openxmlformats.org/officeDocument/2006/relationships/hyperlink" Target="https://3drealms.com/" TargetMode="External"/><Relationship Id="rId385" Type="http://schemas.openxmlformats.org/officeDocument/2006/relationships/hyperlink" Target="https://www.walesinteractive.com/contact" TargetMode="External"/><Relationship Id="rId142" Type="http://schemas.openxmlformats.org/officeDocument/2006/relationships/hyperlink" Target="https://www.linkedin.com/in/podopriguez/" TargetMode="External"/><Relationship Id="rId263" Type="http://schemas.openxmlformats.org/officeDocument/2006/relationships/hyperlink" Target="https://gamalytic.com/publisher/Metaroot" TargetMode="External"/><Relationship Id="rId384" Type="http://schemas.openxmlformats.org/officeDocument/2006/relationships/hyperlink" Target="https://www.walesinteractive.com/" TargetMode="External"/><Relationship Id="rId141" Type="http://schemas.openxmlformats.org/officeDocument/2006/relationships/hyperlink" Target="https://www.forklift.gg/" TargetMode="External"/><Relationship Id="rId262" Type="http://schemas.openxmlformats.org/officeDocument/2006/relationships/hyperlink" Target="https://store.steampowered.com/franchise/Metaroot" TargetMode="External"/><Relationship Id="rId383" Type="http://schemas.openxmlformats.org/officeDocument/2006/relationships/hyperlink" Target="https://gamalytic.com/publisher/Games%20Operators" TargetMode="External"/><Relationship Id="rId140" Type="http://schemas.openxmlformats.org/officeDocument/2006/relationships/hyperlink" Target="https://gamalytic.com/publisher/META%20Publishing" TargetMode="External"/><Relationship Id="rId261" Type="http://schemas.openxmlformats.org/officeDocument/2006/relationships/hyperlink" Target="https://www.metaroot.ch/" TargetMode="External"/><Relationship Id="rId382" Type="http://schemas.openxmlformats.org/officeDocument/2006/relationships/hyperlink" Target="https://store.steampowered.com/publisher/gameops" TargetMode="External"/><Relationship Id="rId5" Type="http://schemas.openxmlformats.org/officeDocument/2006/relationships/hyperlink" Target="https://store.steampowered.com/publisher/bilibili" TargetMode="External"/><Relationship Id="rId147" Type="http://schemas.openxmlformats.org/officeDocument/2006/relationships/hyperlink" Target="https://gamalytic.com/publisher/NAGA" TargetMode="External"/><Relationship Id="rId268" Type="http://schemas.openxmlformats.org/officeDocument/2006/relationships/hyperlink" Target="https://gambitdigital.ca/" TargetMode="External"/><Relationship Id="rId389" Type="http://schemas.openxmlformats.org/officeDocument/2006/relationships/hyperlink" Target="https://spotlight.deck13.com/" TargetMode="External"/><Relationship Id="rId6" Type="http://schemas.openxmlformats.org/officeDocument/2006/relationships/hyperlink" Target="https://store.steampowered.com/publisher/bilibili" TargetMode="External"/><Relationship Id="rId146" Type="http://schemas.openxmlformats.org/officeDocument/2006/relationships/hyperlink" Target="https://store.steampowered.com/curator/45630690" TargetMode="External"/><Relationship Id="rId267" Type="http://schemas.openxmlformats.org/officeDocument/2006/relationships/hyperlink" Target="https://gamalytic.com/publisher/3D%20Realms" TargetMode="External"/><Relationship Id="rId388" Type="http://schemas.openxmlformats.org/officeDocument/2006/relationships/hyperlink" Target="https://gamalytic.com/publisher/Wales%20Interactive" TargetMode="External"/><Relationship Id="rId7" Type="http://schemas.openxmlformats.org/officeDocument/2006/relationships/hyperlink" Target="https://gamalytic.com/publisher/bilibili" TargetMode="External"/><Relationship Id="rId145" Type="http://schemas.openxmlformats.org/officeDocument/2006/relationships/hyperlink" Target="https://www.naga-publishing.com/" TargetMode="External"/><Relationship Id="rId266" Type="http://schemas.openxmlformats.org/officeDocument/2006/relationships/hyperlink" Target="https://store.steampowered.com/publisher/3DREALMS" TargetMode="External"/><Relationship Id="rId387" Type="http://schemas.openxmlformats.org/officeDocument/2006/relationships/hyperlink" Target="https://store.steampowered.com/publisher/WalesInteractive" TargetMode="External"/><Relationship Id="rId8" Type="http://schemas.openxmlformats.org/officeDocument/2006/relationships/hyperlink" Target="https://www.coffeestainpublishing.com/" TargetMode="External"/><Relationship Id="rId144" Type="http://schemas.openxmlformats.org/officeDocument/2006/relationships/hyperlink" Target="https://gamalytic.com/publisher/Forklift%20Interactive" TargetMode="External"/><Relationship Id="rId265" Type="http://schemas.openxmlformats.org/officeDocument/2006/relationships/hyperlink" Target="https://www.linkedin.com/in/justburnham/" TargetMode="External"/><Relationship Id="rId386" Type="http://schemas.openxmlformats.org/officeDocument/2006/relationships/hyperlink" Target="https://www.linkedin.com/in/davidbanner/" TargetMode="External"/><Relationship Id="rId260" Type="http://schemas.openxmlformats.org/officeDocument/2006/relationships/hyperlink" Target="https://gamalytic.com/publisher/Secret%20Mode" TargetMode="External"/><Relationship Id="rId381" Type="http://schemas.openxmlformats.org/officeDocument/2006/relationships/hyperlink" Target="https://www.linkedin.com/in/konrad-chmielewski-dev/" TargetMode="External"/><Relationship Id="rId380" Type="http://schemas.openxmlformats.org/officeDocument/2006/relationships/hyperlink" Target="http://www.gameops.pl/en/about-us/" TargetMode="External"/><Relationship Id="rId139" Type="http://schemas.openxmlformats.org/officeDocument/2006/relationships/hyperlink" Target="https://store.steampowered.com/publisher/MetaPublishing" TargetMode="External"/><Relationship Id="rId138" Type="http://schemas.openxmlformats.org/officeDocument/2006/relationships/hyperlink" Target="https://www.linkedin.com/in/ilyagrabelnikov/" TargetMode="External"/><Relationship Id="rId259" Type="http://schemas.openxmlformats.org/officeDocument/2006/relationships/hyperlink" Target="https://store.steampowered.com/publisher/SecretMode" TargetMode="External"/><Relationship Id="rId137" Type="http://schemas.openxmlformats.org/officeDocument/2006/relationships/hyperlink" Target="https://metapublishing.io/for-developers/" TargetMode="External"/><Relationship Id="rId258" Type="http://schemas.openxmlformats.org/officeDocument/2006/relationships/hyperlink" Target="https://www.linkedin.com/in/joshua-garrity-261a6148/" TargetMode="External"/><Relationship Id="rId379" Type="http://schemas.openxmlformats.org/officeDocument/2006/relationships/hyperlink" Target="https://gamalytic.com/publisher/DANGEN%20Entertainment" TargetMode="External"/><Relationship Id="rId132" Type="http://schemas.openxmlformats.org/officeDocument/2006/relationships/hyperlink" Target="https://www.unitedlabelgames.com/" TargetMode="External"/><Relationship Id="rId253" Type="http://schemas.openxmlformats.org/officeDocument/2006/relationships/hyperlink" Target="https://www.linkedin.com/in/rita-lebedeva-196629bb/" TargetMode="External"/><Relationship Id="rId374" Type="http://schemas.openxmlformats.org/officeDocument/2006/relationships/hyperlink" Target="https://gamalytic.com/publisher/Super%20Rare%20Originals" TargetMode="External"/><Relationship Id="rId495" Type="http://schemas.openxmlformats.org/officeDocument/2006/relationships/hyperlink" Target="https://store.steampowered.com/publisher/Erabit//" TargetMode="External"/><Relationship Id="rId131" Type="http://schemas.openxmlformats.org/officeDocument/2006/relationships/hyperlink" Target="https://gamalytic.com/publisher/NEOWIZ" TargetMode="External"/><Relationship Id="rId252" Type="http://schemas.openxmlformats.org/officeDocument/2006/relationships/hyperlink" Target="https://docs.google.com/forms/d/e/1FAIpQLScDZGJZZlYFa2ZBDcSR-PQ1-ajdwcDVpqePcrNBDXaTWke0xw/viewform" TargetMode="External"/><Relationship Id="rId373" Type="http://schemas.openxmlformats.org/officeDocument/2006/relationships/hyperlink" Target="https://store.steampowered.com/publisher/SUPERRAREGAMES" TargetMode="External"/><Relationship Id="rId494" Type="http://schemas.openxmlformats.org/officeDocument/2006/relationships/hyperlink" Target="https://www.linkedin.com/in/daisylock/" TargetMode="External"/><Relationship Id="rId130" Type="http://schemas.openxmlformats.org/officeDocument/2006/relationships/hyperlink" Target="https://store.steampowered.com/publisher/NEOWIZ" TargetMode="External"/><Relationship Id="rId251" Type="http://schemas.openxmlformats.org/officeDocument/2006/relationships/hyperlink" Target="https://www.criticalreflex.com/" TargetMode="External"/><Relationship Id="rId372" Type="http://schemas.openxmlformats.org/officeDocument/2006/relationships/hyperlink" Target="https://www.linkedin.com/in/george-perkins/" TargetMode="External"/><Relationship Id="rId493" Type="http://schemas.openxmlformats.org/officeDocument/2006/relationships/hyperlink" Target="http://erabitstudios.com/" TargetMode="External"/><Relationship Id="rId250" Type="http://schemas.openxmlformats.org/officeDocument/2006/relationships/hyperlink" Target="https://gamalytic.com/publisher/Mad%20Mushroom" TargetMode="External"/><Relationship Id="rId371" Type="http://schemas.openxmlformats.org/officeDocument/2006/relationships/hyperlink" Target="mailto:publishmygame@superraregames.com" TargetMode="External"/><Relationship Id="rId492" Type="http://schemas.openxmlformats.org/officeDocument/2006/relationships/hyperlink" Target="https://gamalytic.com/publisher/Untold%20Tales" TargetMode="External"/><Relationship Id="rId136" Type="http://schemas.openxmlformats.org/officeDocument/2006/relationships/hyperlink" Target="https://metapublishing.io/" TargetMode="External"/><Relationship Id="rId257" Type="http://schemas.openxmlformats.org/officeDocument/2006/relationships/hyperlink" Target="https://wearesecretmode.com/publishing" TargetMode="External"/><Relationship Id="rId378" Type="http://schemas.openxmlformats.org/officeDocument/2006/relationships/hyperlink" Target="https://store.steampowered.com/publisher/dangen" TargetMode="External"/><Relationship Id="rId499" Type="http://schemas.openxmlformats.org/officeDocument/2006/relationships/hyperlink" Target="https://store.steampowered.com/publisher/akuparagames" TargetMode="External"/><Relationship Id="rId135" Type="http://schemas.openxmlformats.org/officeDocument/2006/relationships/hyperlink" Target="https://gamalytic.com/publisher/United%20Label" TargetMode="External"/><Relationship Id="rId256" Type="http://schemas.openxmlformats.org/officeDocument/2006/relationships/hyperlink" Target="https://wearesecretmode.com/" TargetMode="External"/><Relationship Id="rId377" Type="http://schemas.openxmlformats.org/officeDocument/2006/relationships/hyperlink" Target="https://www.linkedin.com/in/dan-stern-55177a24" TargetMode="External"/><Relationship Id="rId498" Type="http://schemas.openxmlformats.org/officeDocument/2006/relationships/hyperlink" Target="https://www.akuparagames.com/contact-us/" TargetMode="External"/><Relationship Id="rId134" Type="http://schemas.openxmlformats.org/officeDocument/2006/relationships/hyperlink" Target="https://store.steampowered.com/curator/35979300-United-Label" TargetMode="External"/><Relationship Id="rId255" Type="http://schemas.openxmlformats.org/officeDocument/2006/relationships/hyperlink" Target="https://gamalytic.com/publisher/CRITICAL%20REFLEX" TargetMode="External"/><Relationship Id="rId376" Type="http://schemas.openxmlformats.org/officeDocument/2006/relationships/hyperlink" Target="https://pitch.dangenentertainment.com/?_xm=13900.283328865470775310" TargetMode="External"/><Relationship Id="rId497" Type="http://schemas.openxmlformats.org/officeDocument/2006/relationships/hyperlink" Target="https://www.akuparagames.com/" TargetMode="External"/><Relationship Id="rId133" Type="http://schemas.openxmlformats.org/officeDocument/2006/relationships/hyperlink" Target="https://forms.monday.com/forms/347d5f193a6463eb9f0a11a38599bf57?r=euc1" TargetMode="External"/><Relationship Id="rId254" Type="http://schemas.openxmlformats.org/officeDocument/2006/relationships/hyperlink" Target="https://store.steampowered.com/curator/40619234" TargetMode="External"/><Relationship Id="rId375" Type="http://schemas.openxmlformats.org/officeDocument/2006/relationships/hyperlink" Target="https://dangenentertainment.com/" TargetMode="External"/><Relationship Id="rId496" Type="http://schemas.openxmlformats.org/officeDocument/2006/relationships/hyperlink" Target="https://gamalytic.com/publisher/Erabit" TargetMode="External"/><Relationship Id="rId172" Type="http://schemas.openxmlformats.org/officeDocument/2006/relationships/hyperlink" Target="https://gamalytic.com/publisher/Gameforge%204D%20GmbH" TargetMode="External"/><Relationship Id="rId293" Type="http://schemas.openxmlformats.org/officeDocument/2006/relationships/hyperlink" Target="https://store.steampowered.com/publisher/Kasedo" TargetMode="External"/><Relationship Id="rId171" Type="http://schemas.openxmlformats.org/officeDocument/2006/relationships/hyperlink" Target="https://store.steampowered.com/publisher/Gameforge" TargetMode="External"/><Relationship Id="rId292" Type="http://schemas.openxmlformats.org/officeDocument/2006/relationships/hyperlink" Target="https://www.linkedin.com/in/edvitimea/" TargetMode="External"/><Relationship Id="rId170" Type="http://schemas.openxmlformats.org/officeDocument/2006/relationships/hyperlink" Target="https://gameforge.com/en-GB/" TargetMode="External"/><Relationship Id="rId291" Type="http://schemas.openxmlformats.org/officeDocument/2006/relationships/hyperlink" Target="https://www.kasedogames.com/pitch-to-us" TargetMode="External"/><Relationship Id="rId290" Type="http://schemas.openxmlformats.org/officeDocument/2006/relationships/hyperlink" Target="https://www.kasedogames.com/" TargetMode="External"/><Relationship Id="rId165" Type="http://schemas.openxmlformats.org/officeDocument/2006/relationships/hyperlink" Target="https://www.devolverdigital.com/" TargetMode="External"/><Relationship Id="rId286" Type="http://schemas.openxmlformats.org/officeDocument/2006/relationships/hyperlink" Target="https://www.tinybuild.com/how-to-pitch-your-game" TargetMode="External"/><Relationship Id="rId164" Type="http://schemas.openxmlformats.org/officeDocument/2006/relationships/hyperlink" Target="https://gamalytic.com/publisher/505%20Games" TargetMode="External"/><Relationship Id="rId285" Type="http://schemas.openxmlformats.org/officeDocument/2006/relationships/hyperlink" Target="https://www.tinybuild.com/" TargetMode="External"/><Relationship Id="rId163" Type="http://schemas.openxmlformats.org/officeDocument/2006/relationships/hyperlink" Target="https://store.steampowered.com/developer/505Games" TargetMode="External"/><Relationship Id="rId284" Type="http://schemas.openxmlformats.org/officeDocument/2006/relationships/hyperlink" Target="https://gamalytic.com/publisher/Aerosoft%20GmbH" TargetMode="External"/><Relationship Id="rId162" Type="http://schemas.openxmlformats.org/officeDocument/2006/relationships/hyperlink" Target="https://505games.com/" TargetMode="External"/><Relationship Id="rId283" Type="http://schemas.openxmlformats.org/officeDocument/2006/relationships/hyperlink" Target="https://store.steampowered.com/publisher/aerosoft" TargetMode="External"/><Relationship Id="rId169" Type="http://schemas.openxmlformats.org/officeDocument/2006/relationships/hyperlink" Target="https://gamalytic.com/publisher/Devolver%20Digital" TargetMode="External"/><Relationship Id="rId168" Type="http://schemas.openxmlformats.org/officeDocument/2006/relationships/hyperlink" Target="https://store.steampowered.com/developer/DevolverDigital" TargetMode="External"/><Relationship Id="rId289" Type="http://schemas.openxmlformats.org/officeDocument/2006/relationships/hyperlink" Target="https://gamalytic.com/publisher/tinyBuild" TargetMode="External"/><Relationship Id="rId167" Type="http://schemas.openxmlformats.org/officeDocument/2006/relationships/hyperlink" Target="https://www.linkedin.com/in/hyodelatorre/" TargetMode="External"/><Relationship Id="rId288" Type="http://schemas.openxmlformats.org/officeDocument/2006/relationships/hyperlink" Target="https://store.steampowered.com/developer/tinybuild/" TargetMode="External"/><Relationship Id="rId166" Type="http://schemas.openxmlformats.org/officeDocument/2006/relationships/hyperlink" Target="https://pitch.devolverdigital.com/" TargetMode="External"/><Relationship Id="rId287" Type="http://schemas.openxmlformats.org/officeDocument/2006/relationships/hyperlink" Target="https://www.linkedin.com/in/tom-brien-034aa23b/" TargetMode="External"/><Relationship Id="rId161" Type="http://schemas.openxmlformats.org/officeDocument/2006/relationships/hyperlink" Target="https://gamalytic.com/publisher/Kwalee" TargetMode="External"/><Relationship Id="rId282" Type="http://schemas.openxmlformats.org/officeDocument/2006/relationships/hyperlink" Target="https://www.linkedin.com/in/maartenjanello/" TargetMode="External"/><Relationship Id="rId160" Type="http://schemas.openxmlformats.org/officeDocument/2006/relationships/hyperlink" Target="https://store.steampowered.com/publisher/Kwalee" TargetMode="External"/><Relationship Id="rId281" Type="http://schemas.openxmlformats.org/officeDocument/2006/relationships/hyperlink" Target="https://www.aerosoft.com/" TargetMode="External"/><Relationship Id="rId280" Type="http://schemas.openxmlformats.org/officeDocument/2006/relationships/hyperlink" Target="https://gamalytic.com/publisher/Tribute%20Games%20Inc." TargetMode="External"/><Relationship Id="rId159" Type="http://schemas.openxmlformats.org/officeDocument/2006/relationships/hyperlink" Target="https://uk.linkedin.com/in/jack-griffin2142" TargetMode="External"/><Relationship Id="rId154" Type="http://schemas.openxmlformats.org/officeDocument/2006/relationships/hyperlink" Target="https://store.steampowered.com/publisher/marveloususa" TargetMode="External"/><Relationship Id="rId275" Type="http://schemas.openxmlformats.org/officeDocument/2006/relationships/hyperlink" Target="https://store.steampowered.com/publisher/twinsailsinteractive" TargetMode="External"/><Relationship Id="rId396" Type="http://schemas.openxmlformats.org/officeDocument/2006/relationships/hyperlink" Target="https://store.steampowered.com/publisher/Exothermic" TargetMode="External"/><Relationship Id="rId153" Type="http://schemas.openxmlformats.org/officeDocument/2006/relationships/hyperlink" Target="https://www.xseedgames.com/pitch-us-your-game/" TargetMode="External"/><Relationship Id="rId274" Type="http://schemas.openxmlformats.org/officeDocument/2006/relationships/hyperlink" Target="https://www.linkedin.com/in/nicolasgb/" TargetMode="External"/><Relationship Id="rId395" Type="http://schemas.openxmlformats.org/officeDocument/2006/relationships/hyperlink" Target="mailto:support@exothermic.co" TargetMode="External"/><Relationship Id="rId152" Type="http://schemas.openxmlformats.org/officeDocument/2006/relationships/hyperlink" Target="https://www.xseedgames.com/" TargetMode="External"/><Relationship Id="rId273" Type="http://schemas.openxmlformats.org/officeDocument/2006/relationships/hyperlink" Target="https://twin-sails.com/en/publish/" TargetMode="External"/><Relationship Id="rId394" Type="http://schemas.openxmlformats.org/officeDocument/2006/relationships/hyperlink" Target="https://exothermic.co/" TargetMode="External"/><Relationship Id="rId151" Type="http://schemas.openxmlformats.org/officeDocument/2006/relationships/hyperlink" Target="https://gamalytic.com/publisher/Thunderful%20Publishing" TargetMode="External"/><Relationship Id="rId272" Type="http://schemas.openxmlformats.org/officeDocument/2006/relationships/hyperlink" Target="https://twin-sails.com/en/" TargetMode="External"/><Relationship Id="rId393" Type="http://schemas.openxmlformats.org/officeDocument/2006/relationships/hyperlink" Target="https://gamalytic.com/publisher/Deck13" TargetMode="External"/><Relationship Id="rId158" Type="http://schemas.openxmlformats.org/officeDocument/2006/relationships/hyperlink" Target="https://www.kwalee.com/campaign/submit-your-game" TargetMode="External"/><Relationship Id="rId279" Type="http://schemas.openxmlformats.org/officeDocument/2006/relationships/hyperlink" Target="https://store.steampowered.com/publisher/tributegames" TargetMode="External"/><Relationship Id="rId157" Type="http://schemas.openxmlformats.org/officeDocument/2006/relationships/hyperlink" Target="https://docs.google.com/presentation/d/1_wYa-BnT4yZfFOynQSyOXI4L97F_v-lUoqCN4Quz7Vw/edit" TargetMode="External"/><Relationship Id="rId278" Type="http://schemas.openxmlformats.org/officeDocument/2006/relationships/hyperlink" Target="https://www.linkedin.com/in/strych9/" TargetMode="External"/><Relationship Id="rId399" Type="http://schemas.openxmlformats.org/officeDocument/2006/relationships/hyperlink" Target="https://armorgamesstudios.com/publishing" TargetMode="External"/><Relationship Id="rId156" Type="http://schemas.openxmlformats.org/officeDocument/2006/relationships/hyperlink" Target="https://www.kwalee.com/" TargetMode="External"/><Relationship Id="rId277" Type="http://schemas.openxmlformats.org/officeDocument/2006/relationships/hyperlink" Target="https://tributegames.com/" TargetMode="External"/><Relationship Id="rId398" Type="http://schemas.openxmlformats.org/officeDocument/2006/relationships/hyperlink" Target="https://armorgamesstudios.com" TargetMode="External"/><Relationship Id="rId155" Type="http://schemas.openxmlformats.org/officeDocument/2006/relationships/hyperlink" Target="https://gamalytic.com/publisher/XSEED%20Games" TargetMode="External"/><Relationship Id="rId276" Type="http://schemas.openxmlformats.org/officeDocument/2006/relationships/hyperlink" Target="https://gamalytic.com/publisher/Twin%20Sails%20Interactive" TargetMode="External"/><Relationship Id="rId397" Type="http://schemas.openxmlformats.org/officeDocument/2006/relationships/hyperlink" Target="https://gamalytic.com/publisher/Exothermic" TargetMode="External"/><Relationship Id="rId40" Type="http://schemas.openxmlformats.org/officeDocument/2006/relationships/hyperlink" Target="https://www.linkedin.com/in/naman-budhwar-958744145/" TargetMode="External"/><Relationship Id="rId42" Type="http://schemas.openxmlformats.org/officeDocument/2006/relationships/hyperlink" Target="https://gamalytic.com/publisher/Playstack" TargetMode="External"/><Relationship Id="rId41" Type="http://schemas.openxmlformats.org/officeDocument/2006/relationships/hyperlink" Target="https://store.steampowered.com/publisher/Playstack" TargetMode="External"/><Relationship Id="rId44" Type="http://schemas.openxmlformats.org/officeDocument/2006/relationships/hyperlink" Target="https://www.linkedin.com/in/melvin-frank/" TargetMode="External"/><Relationship Id="rId43" Type="http://schemas.openxmlformats.org/officeDocument/2006/relationships/hyperlink" Target="https://sidekickpublishing.com/" TargetMode="External"/><Relationship Id="rId46" Type="http://schemas.openxmlformats.org/officeDocument/2006/relationships/hyperlink" Target="https://gamalytic.com/publisher/Sidekick%20Publishing" TargetMode="External"/><Relationship Id="rId45" Type="http://schemas.openxmlformats.org/officeDocument/2006/relationships/hyperlink" Target="https://store.steampowered.com/publisher/sidekick" TargetMode="External"/><Relationship Id="rId509" Type="http://schemas.openxmlformats.org/officeDocument/2006/relationships/hyperlink" Target="https://www.linkedin.com/in/twinsenito/" TargetMode="External"/><Relationship Id="rId508" Type="http://schemas.openxmlformats.org/officeDocument/2006/relationships/hyperlink" Target="https://corp.101xp.com/publishing" TargetMode="External"/><Relationship Id="rId629" Type="http://schemas.openxmlformats.org/officeDocument/2006/relationships/hyperlink" Target="https://practicalmedia.io/" TargetMode="External"/><Relationship Id="rId503" Type="http://schemas.openxmlformats.org/officeDocument/2006/relationships/hyperlink" Target="https://www.linkedin.com/in/dan-mccreadie-9b83599a/" TargetMode="External"/><Relationship Id="rId624" Type="http://schemas.openxmlformats.org/officeDocument/2006/relationships/hyperlink" Target="https://gamalytic.com/publisher/Tiny%20Dragon" TargetMode="External"/><Relationship Id="rId502" Type="http://schemas.openxmlformats.org/officeDocument/2006/relationships/hyperlink" Target="https://outrightgames.com/contact/" TargetMode="External"/><Relationship Id="rId623" Type="http://schemas.openxmlformats.org/officeDocument/2006/relationships/hyperlink" Target="https://store.steampowered.com/publisher/tinydragon" TargetMode="External"/><Relationship Id="rId501" Type="http://schemas.openxmlformats.org/officeDocument/2006/relationships/hyperlink" Target="https://outrightgames.com/" TargetMode="External"/><Relationship Id="rId622" Type="http://schemas.openxmlformats.org/officeDocument/2006/relationships/hyperlink" Target="mailto:sean@tinydragongames.com" TargetMode="External"/><Relationship Id="rId500" Type="http://schemas.openxmlformats.org/officeDocument/2006/relationships/hyperlink" Target="https://gamalytic.com/publisher/Akupara%20Games" TargetMode="External"/><Relationship Id="rId621" Type="http://schemas.openxmlformats.org/officeDocument/2006/relationships/hyperlink" Target="https://www.tinydragongames.com/services" TargetMode="External"/><Relationship Id="rId507" Type="http://schemas.openxmlformats.org/officeDocument/2006/relationships/hyperlink" Target="https://corp.101xp.com/publishing" TargetMode="External"/><Relationship Id="rId628" Type="http://schemas.openxmlformats.org/officeDocument/2006/relationships/hyperlink" Target="https://gamalytic.com/publisher/Bonus%20Stage%20Publishing" TargetMode="External"/><Relationship Id="rId506" Type="http://schemas.openxmlformats.org/officeDocument/2006/relationships/hyperlink" Target="https://en.101xp.com/" TargetMode="External"/><Relationship Id="rId627" Type="http://schemas.openxmlformats.org/officeDocument/2006/relationships/hyperlink" Target="https://store.steampowered.com/publisher/bonusstage" TargetMode="External"/><Relationship Id="rId505" Type="http://schemas.openxmlformats.org/officeDocument/2006/relationships/hyperlink" Target="https://gamalytic.com/publisher/Outright%20Games%20Ltd." TargetMode="External"/><Relationship Id="rId626" Type="http://schemas.openxmlformats.org/officeDocument/2006/relationships/hyperlink" Target="https://www.bonusstage.co/developers" TargetMode="External"/><Relationship Id="rId504" Type="http://schemas.openxmlformats.org/officeDocument/2006/relationships/hyperlink" Target="https://store.steampowered.com/publisher/outrightgames" TargetMode="External"/><Relationship Id="rId625" Type="http://schemas.openxmlformats.org/officeDocument/2006/relationships/hyperlink" Target="https://www.bonusstage.co/" TargetMode="External"/><Relationship Id="rId48" Type="http://schemas.openxmlformats.org/officeDocument/2006/relationships/hyperlink" Target="https://11bitstudios.com/publishing/" TargetMode="External"/><Relationship Id="rId47" Type="http://schemas.openxmlformats.org/officeDocument/2006/relationships/hyperlink" Target="https://11bitstudios.com/" TargetMode="External"/><Relationship Id="rId49" Type="http://schemas.openxmlformats.org/officeDocument/2006/relationships/hyperlink" Target="https://11bitstudios.com/submit-your-game/" TargetMode="External"/><Relationship Id="rId620" Type="http://schemas.openxmlformats.org/officeDocument/2006/relationships/hyperlink" Target="https://www.tinydragongames.com/" TargetMode="External"/><Relationship Id="rId31" Type="http://schemas.openxmlformats.org/officeDocument/2006/relationships/hyperlink" Target="https://kepler-interactive.com/" TargetMode="External"/><Relationship Id="rId30" Type="http://schemas.openxmlformats.org/officeDocument/2006/relationships/hyperlink" Target="https://gamalytic.com/publisher/Envar%20Publishing" TargetMode="External"/><Relationship Id="rId33" Type="http://schemas.openxmlformats.org/officeDocument/2006/relationships/hyperlink" Target="https://store.steampowered.com/publisher/kepler" TargetMode="External"/><Relationship Id="rId32" Type="http://schemas.openxmlformats.org/officeDocument/2006/relationships/hyperlink" Target="https://kepler-interactive.com/form" TargetMode="External"/><Relationship Id="rId35" Type="http://schemas.openxmlformats.org/officeDocument/2006/relationships/hyperlink" Target="https://www.focus-entmt.com/en" TargetMode="External"/><Relationship Id="rId34" Type="http://schemas.openxmlformats.org/officeDocument/2006/relationships/hyperlink" Target="https://gamalytic.com/publisher/Kepler%20Interactive" TargetMode="External"/><Relationship Id="rId619" Type="http://schemas.openxmlformats.org/officeDocument/2006/relationships/hyperlink" Target="https://gamalytic.com/publisher/Perfect%20Gen" TargetMode="External"/><Relationship Id="rId618" Type="http://schemas.openxmlformats.org/officeDocument/2006/relationships/hyperlink" Target="https://store.steampowered.com/search/?developer=Perfect%20Gen" TargetMode="External"/><Relationship Id="rId613" Type="http://schemas.openxmlformats.org/officeDocument/2006/relationships/hyperlink" Target="https://catnessgames.com/" TargetMode="External"/><Relationship Id="rId612" Type="http://schemas.openxmlformats.org/officeDocument/2006/relationships/hyperlink" Target="https://gamalytic.com/publisher/Dionous%20Games" TargetMode="External"/><Relationship Id="rId611" Type="http://schemas.openxmlformats.org/officeDocument/2006/relationships/hyperlink" Target="https://store.steampowered.com/developer/dionous" TargetMode="External"/><Relationship Id="rId610" Type="http://schemas.openxmlformats.org/officeDocument/2006/relationships/hyperlink" Target="https://www.dionous.com/game-pitches/" TargetMode="External"/><Relationship Id="rId617" Type="http://schemas.openxmlformats.org/officeDocument/2006/relationships/hyperlink" Target="https://docs.google.com/forms/d/e/1FAIpQLSfptLb2VsdkmVH1T1eq_kTgzs2uFUtAIp3zRo5caQzcy4CYfQ/viewform" TargetMode="External"/><Relationship Id="rId616" Type="http://schemas.openxmlformats.org/officeDocument/2006/relationships/hyperlink" Target="https://www.pg-publishing.com/" TargetMode="External"/><Relationship Id="rId615" Type="http://schemas.openxmlformats.org/officeDocument/2006/relationships/hyperlink" Target="https://gamalytic.com/publisher/Catness%20Game%20Studios" TargetMode="External"/><Relationship Id="rId614" Type="http://schemas.openxmlformats.org/officeDocument/2006/relationships/hyperlink" Target="https://store.steampowered.com/publisher/catnessgames" TargetMode="External"/><Relationship Id="rId37" Type="http://schemas.openxmlformats.org/officeDocument/2006/relationships/hyperlink" Target="https://gamalytic.com/publisher/Focus%20Entertainment" TargetMode="External"/><Relationship Id="rId36" Type="http://schemas.openxmlformats.org/officeDocument/2006/relationships/hyperlink" Target="https://store.steampowered.com/developer/Focus" TargetMode="External"/><Relationship Id="rId39" Type="http://schemas.openxmlformats.org/officeDocument/2006/relationships/hyperlink" Target="https://playstack.com/" TargetMode="External"/><Relationship Id="rId38" Type="http://schemas.openxmlformats.org/officeDocument/2006/relationships/hyperlink" Target="https://playstack.com/" TargetMode="External"/><Relationship Id="rId20" Type="http://schemas.openxmlformats.org/officeDocument/2006/relationships/hyperlink" Target="https://store.steampowered.com/publisher/HoodedHorse" TargetMode="External"/><Relationship Id="rId22" Type="http://schemas.openxmlformats.org/officeDocument/2006/relationships/hyperlink" Target="https://www.rokaplay.com/home" TargetMode="External"/><Relationship Id="rId21" Type="http://schemas.openxmlformats.org/officeDocument/2006/relationships/hyperlink" Target="https://gamalytic.com/publisher/Hooded%20Horse" TargetMode="External"/><Relationship Id="rId24" Type="http://schemas.openxmlformats.org/officeDocument/2006/relationships/hyperlink" Target="https://store.steampowered.com/publisher/rokaplay" TargetMode="External"/><Relationship Id="rId23" Type="http://schemas.openxmlformats.org/officeDocument/2006/relationships/hyperlink" Target="https://form.asana.com/?hash=bf71a1c626d56f46682e1c2fd3c288becaf9bd530a6b5e697186a0f2c7175ec5&amp;id=1182547895946643" TargetMode="External"/><Relationship Id="rId409" Type="http://schemas.openxmlformats.org/officeDocument/2006/relationships/hyperlink" Target="https://gamalytic.com/publisher/Blumhouse%20Games" TargetMode="External"/><Relationship Id="rId404" Type="http://schemas.openxmlformats.org/officeDocument/2006/relationships/hyperlink" Target="https://www.linkedin.com/in/tgenre/" TargetMode="External"/><Relationship Id="rId525" Type="http://schemas.openxmlformats.org/officeDocument/2006/relationships/hyperlink" Target="https://whitethorngames.com/" TargetMode="External"/><Relationship Id="rId646" Type="http://schemas.openxmlformats.org/officeDocument/2006/relationships/hyperlink" Target="https://gamalytic.com/publisher/No%20Gravity%20Games" TargetMode="External"/><Relationship Id="rId403" Type="http://schemas.openxmlformats.org/officeDocument/2006/relationships/hyperlink" Target="https://maximument.com/publishing/" TargetMode="External"/><Relationship Id="rId524" Type="http://schemas.openxmlformats.org/officeDocument/2006/relationships/hyperlink" Target="https://gamalytic.com/publisher/1312%20Interactive" TargetMode="External"/><Relationship Id="rId645" Type="http://schemas.openxmlformats.org/officeDocument/2006/relationships/hyperlink" Target="https://store.steampowered.com/publisher/nogravitygames" TargetMode="External"/><Relationship Id="rId402" Type="http://schemas.openxmlformats.org/officeDocument/2006/relationships/hyperlink" Target="https://maximument.com/" TargetMode="External"/><Relationship Id="rId523" Type="http://schemas.openxmlformats.org/officeDocument/2006/relationships/hyperlink" Target="https://store.steampowered.com/curator/45877783" TargetMode="External"/><Relationship Id="rId644" Type="http://schemas.openxmlformats.org/officeDocument/2006/relationships/hyperlink" Target="https://www.linkedin.com/in/aleksierzega/" TargetMode="External"/><Relationship Id="rId401" Type="http://schemas.openxmlformats.org/officeDocument/2006/relationships/hyperlink" Target="https://gamalytic.com/publisher/Armor%20Games%20Studios" TargetMode="External"/><Relationship Id="rId522" Type="http://schemas.openxmlformats.org/officeDocument/2006/relationships/hyperlink" Target="https://1312interactive.com/" TargetMode="External"/><Relationship Id="rId643" Type="http://schemas.openxmlformats.org/officeDocument/2006/relationships/hyperlink" Target="http://www.nogravitygames.com/" TargetMode="External"/><Relationship Id="rId408" Type="http://schemas.openxmlformats.org/officeDocument/2006/relationships/hyperlink" Target="https://store.steampowered.com/publisher/blumhousegames" TargetMode="External"/><Relationship Id="rId529" Type="http://schemas.openxmlformats.org/officeDocument/2006/relationships/hyperlink" Target="https://noodlecake.com/" TargetMode="External"/><Relationship Id="rId407" Type="http://schemas.openxmlformats.org/officeDocument/2006/relationships/hyperlink" Target="https://www.blumhouse.com/games" TargetMode="External"/><Relationship Id="rId528" Type="http://schemas.openxmlformats.org/officeDocument/2006/relationships/hyperlink" Target="https://gamalytic.com/publisher/Whitethorn%20Games" TargetMode="External"/><Relationship Id="rId649" Type="http://schemas.openxmlformats.org/officeDocument/2006/relationships/hyperlink" Target="https://www.linkedin.com/in/eduardofmenezes/" TargetMode="External"/><Relationship Id="rId406" Type="http://schemas.openxmlformats.org/officeDocument/2006/relationships/hyperlink" Target="https://gamalytic.com/publisher/Maximum%20Entertainment" TargetMode="External"/><Relationship Id="rId527" Type="http://schemas.openxmlformats.org/officeDocument/2006/relationships/hyperlink" Target="https://store.steampowered.com/publisher/whitethorngames" TargetMode="External"/><Relationship Id="rId648" Type="http://schemas.openxmlformats.org/officeDocument/2006/relationships/hyperlink" Target="https://www.alchemy.games/home" TargetMode="External"/><Relationship Id="rId405" Type="http://schemas.openxmlformats.org/officeDocument/2006/relationships/hyperlink" Target="https://store.steampowered.com/developer/maximumentertainment" TargetMode="External"/><Relationship Id="rId526" Type="http://schemas.openxmlformats.org/officeDocument/2006/relationships/hyperlink" Target="https://www.linkedin.com/in/blanketswilson/" TargetMode="External"/><Relationship Id="rId647" Type="http://schemas.openxmlformats.org/officeDocument/2006/relationships/hyperlink" Target="https://www.alchemy.games/" TargetMode="External"/><Relationship Id="rId26" Type="http://schemas.openxmlformats.org/officeDocument/2006/relationships/hyperlink" Target="https://www.envarstudio.com/" TargetMode="External"/><Relationship Id="rId25" Type="http://schemas.openxmlformats.org/officeDocument/2006/relationships/hyperlink" Target="https://gamalytic.com/publisher/rokaplay" TargetMode="External"/><Relationship Id="rId28" Type="http://schemas.openxmlformats.org/officeDocument/2006/relationships/hyperlink" Target="https://www.linkedin.com/in/liam-o-neill-45068750/" TargetMode="External"/><Relationship Id="rId27" Type="http://schemas.openxmlformats.org/officeDocument/2006/relationships/hyperlink" Target="https://www.envarstudio.com/publishing" TargetMode="External"/><Relationship Id="rId400" Type="http://schemas.openxmlformats.org/officeDocument/2006/relationships/hyperlink" Target="https://store.steampowered.com/publisher/armorgamesstudios" TargetMode="External"/><Relationship Id="rId521" Type="http://schemas.openxmlformats.org/officeDocument/2006/relationships/hyperlink" Target="https://gamalytic.com/publisher/Anshar%20Publishing" TargetMode="External"/><Relationship Id="rId642" Type="http://schemas.openxmlformats.org/officeDocument/2006/relationships/hyperlink" Target="https://gamalytic.com/publisher/JanduSoft" TargetMode="External"/><Relationship Id="rId29" Type="http://schemas.openxmlformats.org/officeDocument/2006/relationships/hyperlink" Target="https://store.steampowered.com/search/?publisher=Envar%20Publishing" TargetMode="External"/><Relationship Id="rId520" Type="http://schemas.openxmlformats.org/officeDocument/2006/relationships/hyperlink" Target="https://store.steampowered.com/publisher/AnsharPublishing" TargetMode="External"/><Relationship Id="rId641" Type="http://schemas.openxmlformats.org/officeDocument/2006/relationships/hyperlink" Target="https://store.steampowered.com/publisher/jandusoft" TargetMode="External"/><Relationship Id="rId640" Type="http://schemas.openxmlformats.org/officeDocument/2006/relationships/hyperlink" Target="https://www.linkedin.com/in/jandujar2/" TargetMode="External"/><Relationship Id="rId11" Type="http://schemas.openxmlformats.org/officeDocument/2006/relationships/hyperlink" Target="https://store.steampowered.com/developer/coffeestain" TargetMode="External"/><Relationship Id="rId10" Type="http://schemas.openxmlformats.org/officeDocument/2006/relationships/hyperlink" Target="https://www.linkedin.com/in/gustavnisser/" TargetMode="External"/><Relationship Id="rId13" Type="http://schemas.openxmlformats.org/officeDocument/2006/relationships/hyperlink" Target="https://tarkgames.com/" TargetMode="External"/><Relationship Id="rId12" Type="http://schemas.openxmlformats.org/officeDocument/2006/relationships/hyperlink" Target="https://gamalytic.com/publisher/Coffee%20Stain%20Publishing" TargetMode="External"/><Relationship Id="rId519" Type="http://schemas.openxmlformats.org/officeDocument/2006/relationships/hyperlink" Target="https://www.linkedin.com/in/jakub-kwinta" TargetMode="External"/><Relationship Id="rId514" Type="http://schemas.openxmlformats.org/officeDocument/2006/relationships/hyperlink" Target="https://gamalytic.com/publisher/Fulqrum%20Publishing" TargetMode="External"/><Relationship Id="rId635" Type="http://schemas.openxmlformats.org/officeDocument/2006/relationships/hyperlink" Target="https://www.qubyteinteractive.com/site/" TargetMode="External"/><Relationship Id="rId513" Type="http://schemas.openxmlformats.org/officeDocument/2006/relationships/hyperlink" Target="https://store.steampowered.com/franchise/FulqrumPublishing" TargetMode="External"/><Relationship Id="rId634" Type="http://schemas.openxmlformats.org/officeDocument/2006/relationships/hyperlink" Target="https://www.darkproduct.com/" TargetMode="External"/><Relationship Id="rId512" Type="http://schemas.openxmlformats.org/officeDocument/2006/relationships/hyperlink" Target="https://www.fulqrumpublishing.com/" TargetMode="External"/><Relationship Id="rId633" Type="http://schemas.openxmlformats.org/officeDocument/2006/relationships/hyperlink" Target="https://gamalytic.com/publisher/Practical%20Media" TargetMode="External"/><Relationship Id="rId511" Type="http://schemas.openxmlformats.org/officeDocument/2006/relationships/hyperlink" Target="https://gamalytic.com/publisher/101XP" TargetMode="External"/><Relationship Id="rId632" Type="http://schemas.openxmlformats.org/officeDocument/2006/relationships/hyperlink" Target="https://store.steampowered.com/publisher/practicalmedia" TargetMode="External"/><Relationship Id="rId518" Type="http://schemas.openxmlformats.org/officeDocument/2006/relationships/hyperlink" Target="http://ansharpublishing.com" TargetMode="External"/><Relationship Id="rId639" Type="http://schemas.openxmlformats.org/officeDocument/2006/relationships/hyperlink" Target="https://www.jandusoft.com/pitchusyourgame/" TargetMode="External"/><Relationship Id="rId517" Type="http://schemas.openxmlformats.org/officeDocument/2006/relationships/hyperlink" Target="https://gamalytic.com/publisher/MicroProse%20Software" TargetMode="External"/><Relationship Id="rId638" Type="http://schemas.openxmlformats.org/officeDocument/2006/relationships/hyperlink" Target="https://www.jandusoft.com/" TargetMode="External"/><Relationship Id="rId516" Type="http://schemas.openxmlformats.org/officeDocument/2006/relationships/hyperlink" Target="https://store.steampowered.com/publisher/microprose" TargetMode="External"/><Relationship Id="rId637" Type="http://schemas.openxmlformats.org/officeDocument/2006/relationships/hyperlink" Target="https://gamalytic.com/publisher/QUByte%20Interactive" TargetMode="External"/><Relationship Id="rId515" Type="http://schemas.openxmlformats.org/officeDocument/2006/relationships/hyperlink" Target="https://www.microprose.com/" TargetMode="External"/><Relationship Id="rId636" Type="http://schemas.openxmlformats.org/officeDocument/2006/relationships/hyperlink" Target="https://store.steampowered.com/publisher/qubyte" TargetMode="External"/><Relationship Id="rId15" Type="http://schemas.openxmlformats.org/officeDocument/2006/relationships/hyperlink" Target="https://store.steampowered.com/publisher/tark" TargetMode="External"/><Relationship Id="rId14" Type="http://schemas.openxmlformats.org/officeDocument/2006/relationships/hyperlink" Target="https://tarkgames.com/submit" TargetMode="External"/><Relationship Id="rId17" Type="http://schemas.openxmlformats.org/officeDocument/2006/relationships/hyperlink" Target="https://hoodedhorse.com/" TargetMode="External"/><Relationship Id="rId16" Type="http://schemas.openxmlformats.org/officeDocument/2006/relationships/hyperlink" Target="https://gamalytic.com/publisher/TARK" TargetMode="External"/><Relationship Id="rId19" Type="http://schemas.openxmlformats.org/officeDocument/2006/relationships/hyperlink" Target="https://www.linkedin.com/in/jamesgardineruk/" TargetMode="External"/><Relationship Id="rId510" Type="http://schemas.openxmlformats.org/officeDocument/2006/relationships/hyperlink" Target="https://store.steampowered.com/publisher/101xp" TargetMode="External"/><Relationship Id="rId631" Type="http://schemas.openxmlformats.org/officeDocument/2006/relationships/hyperlink" Target="https://www.linkedin.com/in/practicalnpc" TargetMode="External"/><Relationship Id="rId18" Type="http://schemas.openxmlformats.org/officeDocument/2006/relationships/hyperlink" Target="https://hoodedhorse.com/developers/" TargetMode="External"/><Relationship Id="rId630" Type="http://schemas.openxmlformats.org/officeDocument/2006/relationships/hyperlink" Target="https://practicalmedia.com/contact" TargetMode="External"/><Relationship Id="rId84" Type="http://schemas.openxmlformats.org/officeDocument/2006/relationships/hyperlink" Target="https://www.paradoxinteractive.com/our-games/discover" TargetMode="External"/><Relationship Id="rId83" Type="http://schemas.openxmlformats.org/officeDocument/2006/relationships/hyperlink" Target="https://gamalytic.com/publisher/Mythwright" TargetMode="External"/><Relationship Id="rId86" Type="http://schemas.openxmlformats.org/officeDocument/2006/relationships/hyperlink" Target="https://www.paradoxinteractive.com/contact/pitch-your-game-to-paradox" TargetMode="External"/><Relationship Id="rId85" Type="http://schemas.openxmlformats.org/officeDocument/2006/relationships/hyperlink" Target="https://www.paradoxinteractive.com/contact/pitch-your-game-to-paradox" TargetMode="External"/><Relationship Id="rId88" Type="http://schemas.openxmlformats.org/officeDocument/2006/relationships/hyperlink" Target="https://gamalytic.com/publisher/Paradox%20Interactive" TargetMode="External"/><Relationship Id="rId87" Type="http://schemas.openxmlformats.org/officeDocument/2006/relationships/hyperlink" Target="https://store.steampowered.com/developer/paradoxinteractive" TargetMode="External"/><Relationship Id="rId89" Type="http://schemas.openxmlformats.org/officeDocument/2006/relationships/hyperlink" Target="http://www.marvelousgames.com/" TargetMode="External"/><Relationship Id="rId80" Type="http://schemas.openxmlformats.org/officeDocument/2006/relationships/hyperlink" Target="https://gamalytic.com/publisher/Digital%20Bandidos" TargetMode="External"/><Relationship Id="rId82" Type="http://schemas.openxmlformats.org/officeDocument/2006/relationships/hyperlink" Target="https://store.steampowered.com/publisher/mythwright" TargetMode="External"/><Relationship Id="rId81" Type="http://schemas.openxmlformats.org/officeDocument/2006/relationships/hyperlink" Target="https://mythwright.com/" TargetMode="External"/><Relationship Id="rId73" Type="http://schemas.openxmlformats.org/officeDocument/2006/relationships/hyperlink" Target="https://www.linkedin.com/in/ivan-bell-40671041/" TargetMode="External"/><Relationship Id="rId72" Type="http://schemas.openxmlformats.org/officeDocument/2006/relationships/hyperlink" Target="https://hypetraindigital.com/" TargetMode="External"/><Relationship Id="rId75" Type="http://schemas.openxmlformats.org/officeDocument/2006/relationships/hyperlink" Target="https://gamalytic.com/publisher/HypeTrain%20Digital" TargetMode="External"/><Relationship Id="rId74" Type="http://schemas.openxmlformats.org/officeDocument/2006/relationships/hyperlink" Target="https://store.steampowered.com/publisher/HypeTrainDigital" TargetMode="External"/><Relationship Id="rId77" Type="http://schemas.openxmlformats.org/officeDocument/2006/relationships/hyperlink" Target="https://digitalbandidos.com/submit-a-game/" TargetMode="External"/><Relationship Id="rId76" Type="http://schemas.openxmlformats.org/officeDocument/2006/relationships/hyperlink" Target="https://digitalbandidos.com/" TargetMode="External"/><Relationship Id="rId79" Type="http://schemas.openxmlformats.org/officeDocument/2006/relationships/hyperlink" Target="https://store.steampowered.com/curator/45135283" TargetMode="External"/><Relationship Id="rId78" Type="http://schemas.openxmlformats.org/officeDocument/2006/relationships/hyperlink" Target="https://www.linkedin.com/in/lcj0025/" TargetMode="External"/><Relationship Id="rId71" Type="http://schemas.openxmlformats.org/officeDocument/2006/relationships/hyperlink" Target="https://gamalytic.com/publisher/Behaviour%20Interactive%20Inc." TargetMode="External"/><Relationship Id="rId70" Type="http://schemas.openxmlformats.org/officeDocument/2006/relationships/hyperlink" Target="https://store.steampowered.com/curator/33367148" TargetMode="External"/><Relationship Id="rId62" Type="http://schemas.openxmlformats.org/officeDocument/2006/relationships/hyperlink" Target="https://store.steampowered.com/developer/squareenix" TargetMode="External"/><Relationship Id="rId61" Type="http://schemas.openxmlformats.org/officeDocument/2006/relationships/hyperlink" Target="https://www.linkedin.com/in/csillabudai/" TargetMode="External"/><Relationship Id="rId64" Type="http://schemas.openxmlformats.org/officeDocument/2006/relationships/hyperlink" Target="https://offbrand.gg/" TargetMode="External"/><Relationship Id="rId63" Type="http://schemas.openxmlformats.org/officeDocument/2006/relationships/hyperlink" Target="https://gamalytic.com/publisher/Square%20Enix" TargetMode="External"/><Relationship Id="rId66" Type="http://schemas.openxmlformats.org/officeDocument/2006/relationships/hyperlink" Target="https://store.steampowered.com/publisher/offbrandgames" TargetMode="External"/><Relationship Id="rId65" Type="http://schemas.openxmlformats.org/officeDocument/2006/relationships/hyperlink" Target="https://offbrand.gg/devs/" TargetMode="External"/><Relationship Id="rId68" Type="http://schemas.openxmlformats.org/officeDocument/2006/relationships/hyperlink" Target="https://www.bhvr.com/" TargetMode="External"/><Relationship Id="rId67" Type="http://schemas.openxmlformats.org/officeDocument/2006/relationships/hyperlink" Target="https://gamalytic.com/publisher/offbrand%20games" TargetMode="External"/><Relationship Id="rId609" Type="http://schemas.openxmlformats.org/officeDocument/2006/relationships/hyperlink" Target="https://www.dionous.com/" TargetMode="External"/><Relationship Id="rId608" Type="http://schemas.openxmlformats.org/officeDocument/2006/relationships/hyperlink" Target="https://gamalytic.com/publisher/Green%20Man%20Gaming%20Publishing" TargetMode="External"/><Relationship Id="rId607" Type="http://schemas.openxmlformats.org/officeDocument/2006/relationships/hyperlink" Target="https://store.steampowered.com/publisher/GMG" TargetMode="External"/><Relationship Id="rId60" Type="http://schemas.openxmlformats.org/officeDocument/2006/relationships/hyperlink" Target="https://collective.square-enix-games.com/en_GB/contact" TargetMode="External"/><Relationship Id="rId602" Type="http://schemas.openxmlformats.org/officeDocument/2006/relationships/hyperlink" Target="https://pineapple.works/" TargetMode="External"/><Relationship Id="rId601" Type="http://schemas.openxmlformats.org/officeDocument/2006/relationships/hyperlink" Target="https://gamalytic.com/publisher/Selecta%20Play" TargetMode="External"/><Relationship Id="rId600" Type="http://schemas.openxmlformats.org/officeDocument/2006/relationships/hyperlink" Target="https://store.steampowered.com/publisher/SelectaPlay" TargetMode="External"/><Relationship Id="rId606" Type="http://schemas.openxmlformats.org/officeDocument/2006/relationships/hyperlink" Target="https://www.linkedin.com/in/ben-tucker-164a49159/" TargetMode="External"/><Relationship Id="rId605" Type="http://schemas.openxmlformats.org/officeDocument/2006/relationships/hyperlink" Target="https://www.greenmangaming.com/" TargetMode="External"/><Relationship Id="rId604" Type="http://schemas.openxmlformats.org/officeDocument/2006/relationships/hyperlink" Target="https://gamalytic.com/publisher/Pineapple%20Works" TargetMode="External"/><Relationship Id="rId603" Type="http://schemas.openxmlformats.org/officeDocument/2006/relationships/hyperlink" Target="https://store.steampowered.com/developer/pineappleworks" TargetMode="External"/><Relationship Id="rId69" Type="http://schemas.openxmlformats.org/officeDocument/2006/relationships/hyperlink" Target="https://www.linkedin.com/in/orangeqi/" TargetMode="External"/><Relationship Id="rId51" Type="http://schemas.openxmlformats.org/officeDocument/2006/relationships/hyperlink" Target="https://store.steampowered.com/developer/11bitstudios" TargetMode="External"/><Relationship Id="rId50" Type="http://schemas.openxmlformats.org/officeDocument/2006/relationships/hyperlink" Target="https://www.linkedin.com/in/chris-wigley-828356209/" TargetMode="External"/><Relationship Id="rId53" Type="http://schemas.openxmlformats.org/officeDocument/2006/relationships/hyperlink" Target="https://bigcheesestudio.com/index.php/en/home-eng/" TargetMode="External"/><Relationship Id="rId52" Type="http://schemas.openxmlformats.org/officeDocument/2006/relationships/hyperlink" Target="https://gamalytic.com/publisher/11%20bit%20studios" TargetMode="External"/><Relationship Id="rId55" Type="http://schemas.openxmlformats.org/officeDocument/2006/relationships/hyperlink" Target="https://www.linkedin.com/in/mateusz-dudkowski-35b586168/" TargetMode="External"/><Relationship Id="rId54" Type="http://schemas.openxmlformats.org/officeDocument/2006/relationships/hyperlink" Target="https://bigcheesestudio.com/index.php/en/contact/" TargetMode="External"/><Relationship Id="rId57" Type="http://schemas.openxmlformats.org/officeDocument/2006/relationships/hyperlink" Target="https://gamalytic.com/publisher/Big%20Cheese%20Studio" TargetMode="External"/><Relationship Id="rId56" Type="http://schemas.openxmlformats.org/officeDocument/2006/relationships/hyperlink" Target="https://store.steampowered.com/developer/bigcheesestudio" TargetMode="External"/><Relationship Id="rId59" Type="http://schemas.openxmlformats.org/officeDocument/2006/relationships/hyperlink" Target="https://collective.square-enix.com/" TargetMode="External"/><Relationship Id="rId58" Type="http://schemas.openxmlformats.org/officeDocument/2006/relationships/hyperlink" Target="https://collective.square-enix.com/" TargetMode="External"/><Relationship Id="rId590" Type="http://schemas.openxmlformats.org/officeDocument/2006/relationships/hyperlink" Target="https://www.togeproductions.com/" TargetMode="External"/><Relationship Id="rId107" Type="http://schemas.openxmlformats.org/officeDocument/2006/relationships/hyperlink" Target="https://gamalytic.com/publisher/Chucklefish" TargetMode="External"/><Relationship Id="rId228" Type="http://schemas.openxmlformats.org/officeDocument/2006/relationships/hyperlink" Target="https://store.steampowered.com/developer/Toplitz" TargetMode="External"/><Relationship Id="rId349" Type="http://schemas.openxmlformats.org/officeDocument/2006/relationships/hyperlink" Target="https://docs.google.com/presentation/d/1cPGGyCFQXaeOEAhcDcwL_16CHzMX0qru_YIumn7hhss/edit" TargetMode="External"/><Relationship Id="rId106" Type="http://schemas.openxmlformats.org/officeDocument/2006/relationships/hyperlink" Target="https://store.steampowered.com/developer/chucklefish" TargetMode="External"/><Relationship Id="rId227" Type="http://schemas.openxmlformats.org/officeDocument/2006/relationships/hyperlink" Target="https://www.toplitz-productions.com/contact-933.html" TargetMode="External"/><Relationship Id="rId348" Type="http://schemas.openxmlformats.org/officeDocument/2006/relationships/hyperlink" Target="https://www.prettysoon.games/" TargetMode="External"/><Relationship Id="rId469" Type="http://schemas.openxmlformats.org/officeDocument/2006/relationships/hyperlink" Target="https://store.steampowered.com/publisher/CrunchingKoalas" TargetMode="External"/><Relationship Id="rId105" Type="http://schemas.openxmlformats.org/officeDocument/2006/relationships/hyperlink" Target="https://www.linkedin.com/in/katyellis/" TargetMode="External"/><Relationship Id="rId226" Type="http://schemas.openxmlformats.org/officeDocument/2006/relationships/hyperlink" Target="https://www.toplitz-productions.com/home.html" TargetMode="External"/><Relationship Id="rId347" Type="http://schemas.openxmlformats.org/officeDocument/2006/relationships/hyperlink" Target="https://gamalytic.com/publisher/H2%20Interactive%20Co.,%20Ltd." TargetMode="External"/><Relationship Id="rId468" Type="http://schemas.openxmlformats.org/officeDocument/2006/relationships/hyperlink" Target="http://crunchingkoalas.com/" TargetMode="External"/><Relationship Id="rId589" Type="http://schemas.openxmlformats.org/officeDocument/2006/relationships/hyperlink" Target="https://gamalytic.com/publisher/Forever%20Entertainment%20S.%20A." TargetMode="External"/><Relationship Id="rId104" Type="http://schemas.openxmlformats.org/officeDocument/2006/relationships/hyperlink" Target="https://chucklefish.org/submit/" TargetMode="External"/><Relationship Id="rId225" Type="http://schemas.openxmlformats.org/officeDocument/2006/relationships/hyperlink" Target="https://gamalytic.com/publisher/Smilegate%20Entertainment" TargetMode="External"/><Relationship Id="rId346" Type="http://schemas.openxmlformats.org/officeDocument/2006/relationships/hyperlink" Target="https://store.steampowered.com/publisher/h2interactive" TargetMode="External"/><Relationship Id="rId467" Type="http://schemas.openxmlformats.org/officeDocument/2006/relationships/hyperlink" Target="https://gamalytic.com/publisher/Double%20Eleven" TargetMode="External"/><Relationship Id="rId588" Type="http://schemas.openxmlformats.org/officeDocument/2006/relationships/hyperlink" Target="https://store.steampowered.com/publisher/foreverentert" TargetMode="External"/><Relationship Id="rId109" Type="http://schemas.openxmlformats.org/officeDocument/2006/relationships/hyperlink" Target="https://www.team17.com/submit-game/" TargetMode="External"/><Relationship Id="rId108" Type="http://schemas.openxmlformats.org/officeDocument/2006/relationships/hyperlink" Target="https://www.team17.com/" TargetMode="External"/><Relationship Id="rId229" Type="http://schemas.openxmlformats.org/officeDocument/2006/relationships/hyperlink" Target="https://gamalytic.com/publisher/Toplitz%20Productions" TargetMode="External"/><Relationship Id="rId220" Type="http://schemas.openxmlformats.org/officeDocument/2006/relationships/hyperlink" Target="https://store.steampowered.com/publisher/nomorerobots" TargetMode="External"/><Relationship Id="rId341" Type="http://schemas.openxmlformats.org/officeDocument/2006/relationships/hyperlink" Target="https://www.firesquid.fr/publishing/" TargetMode="External"/><Relationship Id="rId462" Type="http://schemas.openxmlformats.org/officeDocument/2006/relationships/hyperlink" Target="https://gamalytic.com/publisher/HeroCraft%20PC" TargetMode="External"/><Relationship Id="rId583" Type="http://schemas.openxmlformats.org/officeDocument/2006/relationships/hyperlink" Target="https://nuntiusgames.com/" TargetMode="External"/><Relationship Id="rId340" Type="http://schemas.openxmlformats.org/officeDocument/2006/relationships/hyperlink" Target="https://www.firesquid.fr/" TargetMode="External"/><Relationship Id="rId461" Type="http://schemas.openxmlformats.org/officeDocument/2006/relationships/hyperlink" Target="https://store.steampowered.com/publisher/HeroCraft_PC" TargetMode="External"/><Relationship Id="rId582" Type="http://schemas.openxmlformats.org/officeDocument/2006/relationships/hyperlink" Target="https://gamalytic.com/publisher/GrabTheGames" TargetMode="External"/><Relationship Id="rId460" Type="http://schemas.openxmlformats.org/officeDocument/2006/relationships/hyperlink" Target="https://www.linkedin.com/in/vasiliytedeev/" TargetMode="External"/><Relationship Id="rId581" Type="http://schemas.openxmlformats.org/officeDocument/2006/relationships/hyperlink" Target="https://store.steampowered.com/publisher/GrabTheGames" TargetMode="External"/><Relationship Id="rId580" Type="http://schemas.openxmlformats.org/officeDocument/2006/relationships/hyperlink" Target="https://www.grabthegames.com/" TargetMode="External"/><Relationship Id="rId103" Type="http://schemas.openxmlformats.org/officeDocument/2006/relationships/hyperlink" Target="https://chucklefish.org/publishing-with-chucklefish/" TargetMode="External"/><Relationship Id="rId224" Type="http://schemas.openxmlformats.org/officeDocument/2006/relationships/hyperlink" Target="https://store.steampowered.com/search/?developer=Smilegate%20RPG" TargetMode="External"/><Relationship Id="rId345" Type="http://schemas.openxmlformats.org/officeDocument/2006/relationships/hyperlink" Target="http://www.h2int.com/" TargetMode="External"/><Relationship Id="rId466" Type="http://schemas.openxmlformats.org/officeDocument/2006/relationships/hyperlink" Target="https://store.steampowered.com/curator/41245051-Double-Eleven-Official/" TargetMode="External"/><Relationship Id="rId587" Type="http://schemas.openxmlformats.org/officeDocument/2006/relationships/hyperlink" Target="https://www.linkedin.com/in/dominika-chyli%C5%84ska-55a77511a/" TargetMode="External"/><Relationship Id="rId102" Type="http://schemas.openxmlformats.org/officeDocument/2006/relationships/hyperlink" Target="https://chucklefish.org/" TargetMode="External"/><Relationship Id="rId223" Type="http://schemas.openxmlformats.org/officeDocument/2006/relationships/hyperlink" Target="https://www.linkedin.com/in/techmarketer/" TargetMode="External"/><Relationship Id="rId344" Type="http://schemas.openxmlformats.org/officeDocument/2006/relationships/hyperlink" Target="https://gamalytic.com/publisher/Firesquid" TargetMode="External"/><Relationship Id="rId465" Type="http://schemas.openxmlformats.org/officeDocument/2006/relationships/hyperlink" Target="https://www.linkedin.com/in/kirsten-cummins-6a5a774b/" TargetMode="External"/><Relationship Id="rId586" Type="http://schemas.openxmlformats.org/officeDocument/2006/relationships/hyperlink" Target="https://forever-entertainment.com/" TargetMode="External"/><Relationship Id="rId101" Type="http://schemas.openxmlformats.org/officeDocument/2006/relationships/hyperlink" Target="https://gamalytic.com/publisher/Spiral%20Up%20Games" TargetMode="External"/><Relationship Id="rId222" Type="http://schemas.openxmlformats.org/officeDocument/2006/relationships/hyperlink" Target="https://www.smilegate.com/en/" TargetMode="External"/><Relationship Id="rId343" Type="http://schemas.openxmlformats.org/officeDocument/2006/relationships/hyperlink" Target="https://store.steampowered.com/publisher/firesquid" TargetMode="External"/><Relationship Id="rId464" Type="http://schemas.openxmlformats.org/officeDocument/2006/relationships/hyperlink" Target="https://double11.com/contact-us" TargetMode="External"/><Relationship Id="rId585" Type="http://schemas.openxmlformats.org/officeDocument/2006/relationships/hyperlink" Target="https://gamalytic.com/publisher/Nuntius%20Games" TargetMode="External"/><Relationship Id="rId100" Type="http://schemas.openxmlformats.org/officeDocument/2006/relationships/hyperlink" Target="https://store.steampowered.com/publisher/spiralupgames" TargetMode="External"/><Relationship Id="rId221" Type="http://schemas.openxmlformats.org/officeDocument/2006/relationships/hyperlink" Target="https://gamalytic.com/publisher/No%20More%20Robots" TargetMode="External"/><Relationship Id="rId342" Type="http://schemas.openxmlformats.org/officeDocument/2006/relationships/hyperlink" Target="https://forms.gle/KbsYdYxqyoKUjg7i9" TargetMode="External"/><Relationship Id="rId463" Type="http://schemas.openxmlformats.org/officeDocument/2006/relationships/hyperlink" Target="https://double11.com" TargetMode="External"/><Relationship Id="rId584" Type="http://schemas.openxmlformats.org/officeDocument/2006/relationships/hyperlink" Target="https://store.steampowered.com/publisher/nuntiusgames/" TargetMode="External"/><Relationship Id="rId217" Type="http://schemas.openxmlformats.org/officeDocument/2006/relationships/hyperlink" Target="https://gamalytic.com/publisher/Astra%20Logical" TargetMode="External"/><Relationship Id="rId338" Type="http://schemas.openxmlformats.org/officeDocument/2006/relationships/hyperlink" Target="https://store.steampowered.com/publisher/iceberg" TargetMode="External"/><Relationship Id="rId459" Type="http://schemas.openxmlformats.org/officeDocument/2006/relationships/hyperlink" Target="https://www.herocraft.com/release/pc/" TargetMode="External"/><Relationship Id="rId216" Type="http://schemas.openxmlformats.org/officeDocument/2006/relationships/hyperlink" Target="https://store.steampowered.com/publisher/AstraLogical" TargetMode="External"/><Relationship Id="rId337" Type="http://schemas.openxmlformats.org/officeDocument/2006/relationships/hyperlink" Target="https://www.linkedin.com/in/raymondsnippe/" TargetMode="External"/><Relationship Id="rId458" Type="http://schemas.openxmlformats.org/officeDocument/2006/relationships/hyperlink" Target="https://www.herocraft.com/" TargetMode="External"/><Relationship Id="rId579" Type="http://schemas.openxmlformats.org/officeDocument/2006/relationships/hyperlink" Target="https://gamalytic.com/publisher/Blowfish%20Studios" TargetMode="External"/><Relationship Id="rId215" Type="http://schemas.openxmlformats.org/officeDocument/2006/relationships/hyperlink" Target="https://astralogical.org/pitch" TargetMode="External"/><Relationship Id="rId336" Type="http://schemas.openxmlformats.org/officeDocument/2006/relationships/hyperlink" Target="https://www.iceberg-games.com/fordevelopers/" TargetMode="External"/><Relationship Id="rId457" Type="http://schemas.openxmlformats.org/officeDocument/2006/relationships/hyperlink" Target="https://gamalytic.com/publisher/Wired%20Productions" TargetMode="External"/><Relationship Id="rId578" Type="http://schemas.openxmlformats.org/officeDocument/2006/relationships/hyperlink" Target="https://store.steampowered.com/publisher/blowfishstudios" TargetMode="External"/><Relationship Id="rId214" Type="http://schemas.openxmlformats.org/officeDocument/2006/relationships/hyperlink" Target="https://astralogical.org/" TargetMode="External"/><Relationship Id="rId335" Type="http://schemas.openxmlformats.org/officeDocument/2006/relationships/hyperlink" Target="https://www.iceberg-games.com/" TargetMode="External"/><Relationship Id="rId456" Type="http://schemas.openxmlformats.org/officeDocument/2006/relationships/hyperlink" Target="https://store.steampowered.com/publisher/WIRED" TargetMode="External"/><Relationship Id="rId577" Type="http://schemas.openxmlformats.org/officeDocument/2006/relationships/hyperlink" Target="https://www.blowfishstudios.com/" TargetMode="External"/><Relationship Id="rId219" Type="http://schemas.openxmlformats.org/officeDocument/2006/relationships/hyperlink" Target="https://www.linkedin.com/in/stacey-satchell-64134615a/" TargetMode="External"/><Relationship Id="rId218" Type="http://schemas.openxmlformats.org/officeDocument/2006/relationships/hyperlink" Target="https://nomorerobots.io/" TargetMode="External"/><Relationship Id="rId339" Type="http://schemas.openxmlformats.org/officeDocument/2006/relationships/hyperlink" Target="https://gamalytic.com/publisher/Iceberg%20Interactive" TargetMode="External"/><Relationship Id="rId330" Type="http://schemas.openxmlformats.org/officeDocument/2006/relationships/hyperlink" Target="https://gamalytic.com/publisher/Slitherine%20Ltd." TargetMode="External"/><Relationship Id="rId451" Type="http://schemas.openxmlformats.org/officeDocument/2006/relationships/hyperlink" Target="https://store.steampowered.com/publisher/Dear-Villagers" TargetMode="External"/><Relationship Id="rId572" Type="http://schemas.openxmlformats.org/officeDocument/2006/relationships/hyperlink" Target="http://indie.io" TargetMode="External"/><Relationship Id="rId450" Type="http://schemas.openxmlformats.org/officeDocument/2006/relationships/hyperlink" Target="https://dearvillagers.com/pitch-your-game-form/" TargetMode="External"/><Relationship Id="rId571" Type="http://schemas.openxmlformats.org/officeDocument/2006/relationships/hyperlink" Target="https://gamalytic.com/publisher/RockGame%20S.A." TargetMode="External"/><Relationship Id="rId570" Type="http://schemas.openxmlformats.org/officeDocument/2006/relationships/hyperlink" Target="https://store.steampowered.com/publisher/RockGame" TargetMode="External"/><Relationship Id="rId213" Type="http://schemas.openxmlformats.org/officeDocument/2006/relationships/hyperlink" Target="https://gamalytic.com/publisher/Skystone%20Games" TargetMode="External"/><Relationship Id="rId334" Type="http://schemas.openxmlformats.org/officeDocument/2006/relationships/hyperlink" Target="https://gamalytic.com/publisher/Nordcurrent%20Labs" TargetMode="External"/><Relationship Id="rId455" Type="http://schemas.openxmlformats.org/officeDocument/2006/relationships/hyperlink" Target="https://www.linkedin.com/in/kevinleathersuk/" TargetMode="External"/><Relationship Id="rId576" Type="http://schemas.openxmlformats.org/officeDocument/2006/relationships/hyperlink" Target="https://gamalytic.com/publisher/indie.io" TargetMode="External"/><Relationship Id="rId212" Type="http://schemas.openxmlformats.org/officeDocument/2006/relationships/hyperlink" Target="https://store.steampowered.com/publisher/skystone" TargetMode="External"/><Relationship Id="rId333" Type="http://schemas.openxmlformats.org/officeDocument/2006/relationships/hyperlink" Target="https://store.steampowered.com/publisher/NordcurrentLabs" TargetMode="External"/><Relationship Id="rId454" Type="http://schemas.openxmlformats.org/officeDocument/2006/relationships/hyperlink" Target="https://wiredproductions.com/contact/" TargetMode="External"/><Relationship Id="rId575" Type="http://schemas.openxmlformats.org/officeDocument/2006/relationships/hyperlink" Target="https://store.steampowered.com/franchise/indieio" TargetMode="External"/><Relationship Id="rId211" Type="http://schemas.openxmlformats.org/officeDocument/2006/relationships/hyperlink" Target="https://www.linkedin.com/in/billwang1/" TargetMode="External"/><Relationship Id="rId332" Type="http://schemas.openxmlformats.org/officeDocument/2006/relationships/hyperlink" Target="https://www.linkedin.com/in/arunas-mieliauskas-8a8194138/" TargetMode="External"/><Relationship Id="rId453" Type="http://schemas.openxmlformats.org/officeDocument/2006/relationships/hyperlink" Target="https://wiredproductions.com/" TargetMode="External"/><Relationship Id="rId574" Type="http://schemas.openxmlformats.org/officeDocument/2006/relationships/hyperlink" Target="https://www.indie.io/signup" TargetMode="External"/><Relationship Id="rId210" Type="http://schemas.openxmlformats.org/officeDocument/2006/relationships/hyperlink" Target="https://skystone.games/" TargetMode="External"/><Relationship Id="rId331" Type="http://schemas.openxmlformats.org/officeDocument/2006/relationships/hyperlink" Target="http://www.nordcurrent.com/" TargetMode="External"/><Relationship Id="rId452" Type="http://schemas.openxmlformats.org/officeDocument/2006/relationships/hyperlink" Target="https://gamalytic.com/publisher/Dear%20Villagers" TargetMode="External"/><Relationship Id="rId573" Type="http://schemas.openxmlformats.org/officeDocument/2006/relationships/hyperlink" Target="https://www.indie.io/" TargetMode="External"/><Relationship Id="rId370" Type="http://schemas.openxmlformats.org/officeDocument/2006/relationships/hyperlink" Target="https://www.superrareoriginals.com/" TargetMode="External"/><Relationship Id="rId491" Type="http://schemas.openxmlformats.org/officeDocument/2006/relationships/hyperlink" Target="https://store.steampowered.com/publisher/untoldtales" TargetMode="External"/><Relationship Id="rId490" Type="http://schemas.openxmlformats.org/officeDocument/2006/relationships/hyperlink" Target="https://www.linkedin.com/in/pawelskaba/" TargetMode="External"/><Relationship Id="rId129" Type="http://schemas.openxmlformats.org/officeDocument/2006/relationships/hyperlink" Target="https://www.linkedin.com/in/justin-carnahan/" TargetMode="External"/><Relationship Id="rId128" Type="http://schemas.openxmlformats.org/officeDocument/2006/relationships/hyperlink" Target="https://www.neowiz.com/" TargetMode="External"/><Relationship Id="rId249" Type="http://schemas.openxmlformats.org/officeDocument/2006/relationships/hyperlink" Target="https://store.steampowered.com/publisher/madmushroommedia?snr=1_5_9__408" TargetMode="External"/><Relationship Id="rId127" Type="http://schemas.openxmlformats.org/officeDocument/2006/relationships/hyperlink" Target="https://gamalytic.com/publisher/Annapurna%20Interactive" TargetMode="External"/><Relationship Id="rId248" Type="http://schemas.openxmlformats.org/officeDocument/2006/relationships/hyperlink" Target="https://www.madmushroom.gg/submit-your-game" TargetMode="External"/><Relationship Id="rId369" Type="http://schemas.openxmlformats.org/officeDocument/2006/relationships/hyperlink" Target="https://gamalytic.com/publisher/Top%20Hat%20Studios,%20Inc." TargetMode="External"/><Relationship Id="rId126" Type="http://schemas.openxmlformats.org/officeDocument/2006/relationships/hyperlink" Target="https://store.steampowered.com/publisher/annapurnainteractive" TargetMode="External"/><Relationship Id="rId247" Type="http://schemas.openxmlformats.org/officeDocument/2006/relationships/hyperlink" Target="https://www.madmushroom.gg/" TargetMode="External"/><Relationship Id="rId368" Type="http://schemas.openxmlformats.org/officeDocument/2006/relationships/hyperlink" Target="https://store.steampowered.com/publisher/tophatstudios/" TargetMode="External"/><Relationship Id="rId489" Type="http://schemas.openxmlformats.org/officeDocument/2006/relationships/hyperlink" Target="https://untoldtales.games/" TargetMode="External"/><Relationship Id="rId121" Type="http://schemas.openxmlformats.org/officeDocument/2006/relationships/hyperlink" Target="https://excalibur-games.com/" TargetMode="External"/><Relationship Id="rId242" Type="http://schemas.openxmlformats.org/officeDocument/2006/relationships/hyperlink" Target="https://store.steampowered.com/publisher/kitfoxgames" TargetMode="External"/><Relationship Id="rId363" Type="http://schemas.openxmlformats.org/officeDocument/2006/relationships/hyperlink" Target="https://www.linkedin.com/in/kevin-ye-634284215/" TargetMode="External"/><Relationship Id="rId484" Type="http://schemas.openxmlformats.org/officeDocument/2006/relationships/hyperlink" Target="https://gamalytic.com/publisher/Mystic%20Forge" TargetMode="External"/><Relationship Id="rId120" Type="http://schemas.openxmlformats.org/officeDocument/2006/relationships/hyperlink" Target="https://gamalytic.com/publisher/Elda%20Entertainment" TargetMode="External"/><Relationship Id="rId241" Type="http://schemas.openxmlformats.org/officeDocument/2006/relationships/hyperlink" Target="https://www.linkedin.com/in/tanyashort/" TargetMode="External"/><Relationship Id="rId362" Type="http://schemas.openxmlformats.org/officeDocument/2006/relationships/hyperlink" Target="https://www.indieark.com/en/" TargetMode="External"/><Relationship Id="rId483" Type="http://schemas.openxmlformats.org/officeDocument/2006/relationships/hyperlink" Target="https://store.steampowered.com/developer/MysticForge" TargetMode="External"/><Relationship Id="rId240" Type="http://schemas.openxmlformats.org/officeDocument/2006/relationships/hyperlink" Target="https://www.kitfoxgames.com/en" TargetMode="External"/><Relationship Id="rId361" Type="http://schemas.openxmlformats.org/officeDocument/2006/relationships/hyperlink" Target="https://gamalytic.com/publisher/Playtonic%20Friends" TargetMode="External"/><Relationship Id="rId482" Type="http://schemas.openxmlformats.org/officeDocument/2006/relationships/hyperlink" Target="https://www.mysticforge.com/" TargetMode="External"/><Relationship Id="rId360" Type="http://schemas.openxmlformats.org/officeDocument/2006/relationships/hyperlink" Target="https://store.steampowered.com/publisher/PlaytonicFriends" TargetMode="External"/><Relationship Id="rId481" Type="http://schemas.openxmlformats.org/officeDocument/2006/relationships/hyperlink" Target="https://store.steampowered.com/publisher/Pantaloon?action=follow" TargetMode="External"/><Relationship Id="rId125" Type="http://schemas.openxmlformats.org/officeDocument/2006/relationships/hyperlink" Target="https://annapurnainteractive.com/en" TargetMode="External"/><Relationship Id="rId246" Type="http://schemas.openxmlformats.org/officeDocument/2006/relationships/hyperlink" Target="https://gamalytic.com/publisher/Panic" TargetMode="External"/><Relationship Id="rId367" Type="http://schemas.openxmlformats.org/officeDocument/2006/relationships/hyperlink" Target="https://tophat.studio/publishing.html" TargetMode="External"/><Relationship Id="rId488" Type="http://schemas.openxmlformats.org/officeDocument/2006/relationships/hyperlink" Target="https://gamalytic.com/publisher/2P%20Games" TargetMode="External"/><Relationship Id="rId124" Type="http://schemas.openxmlformats.org/officeDocument/2006/relationships/hyperlink" Target="https://gamalytic.com/publisher/Excalibur%20Games" TargetMode="External"/><Relationship Id="rId245" Type="http://schemas.openxmlformats.org/officeDocument/2006/relationships/hyperlink" Target="https://store.steampowered.com/publisher/Panic" TargetMode="External"/><Relationship Id="rId366" Type="http://schemas.openxmlformats.org/officeDocument/2006/relationships/hyperlink" Target="https://tophat.studio" TargetMode="External"/><Relationship Id="rId487" Type="http://schemas.openxmlformats.org/officeDocument/2006/relationships/hyperlink" Target="https://store.steampowered.com/publisher/2pgames" TargetMode="External"/><Relationship Id="rId123" Type="http://schemas.openxmlformats.org/officeDocument/2006/relationships/hyperlink" Target="https://store.steampowered.com/publisher/excalibur-games" TargetMode="External"/><Relationship Id="rId244" Type="http://schemas.openxmlformats.org/officeDocument/2006/relationships/hyperlink" Target="https://panic.com/" TargetMode="External"/><Relationship Id="rId365" Type="http://schemas.openxmlformats.org/officeDocument/2006/relationships/hyperlink" Target="https://gamalytic.com/publisher/IndieArk" TargetMode="External"/><Relationship Id="rId486" Type="http://schemas.openxmlformats.org/officeDocument/2006/relationships/hyperlink" Target="http://www.linkedin.com/in/steven-zeng-648517a5" TargetMode="External"/><Relationship Id="rId122" Type="http://schemas.openxmlformats.org/officeDocument/2006/relationships/hyperlink" Target="https://www.linkedin.com/in/steve-stopps-5628508/" TargetMode="External"/><Relationship Id="rId243" Type="http://schemas.openxmlformats.org/officeDocument/2006/relationships/hyperlink" Target="https://gamalytic.com/publisher/Kitfox%20Games" TargetMode="External"/><Relationship Id="rId364" Type="http://schemas.openxmlformats.org/officeDocument/2006/relationships/hyperlink" Target="https://store.steampowered.com/publisher/IndieArk" TargetMode="External"/><Relationship Id="rId485" Type="http://schemas.openxmlformats.org/officeDocument/2006/relationships/hyperlink" Target="https://2pgames.net/en/" TargetMode="External"/><Relationship Id="rId95" Type="http://schemas.openxmlformats.org/officeDocument/2006/relationships/hyperlink" Target="https://about.my.games/publishing" TargetMode="External"/><Relationship Id="rId94" Type="http://schemas.openxmlformats.org/officeDocument/2006/relationships/hyperlink" Target="https://my.games/" TargetMode="External"/><Relationship Id="rId97" Type="http://schemas.openxmlformats.org/officeDocument/2006/relationships/hyperlink" Target="https://gamalytic.com/publisher/MY.GAMES" TargetMode="External"/><Relationship Id="rId96" Type="http://schemas.openxmlformats.org/officeDocument/2006/relationships/hyperlink" Target="https://store.steampowered.com/publisher/mygames" TargetMode="External"/><Relationship Id="rId99" Type="http://schemas.openxmlformats.org/officeDocument/2006/relationships/hyperlink" Target="https://docs.google.com/forms/d/e/1FAIpQLSdXiem_6fw-1FZIDa_xEPKlJ0o_LRPxzdYiXuExx7Aw2obXBA/viewform" TargetMode="External"/><Relationship Id="rId480" Type="http://schemas.openxmlformats.org/officeDocument/2006/relationships/hyperlink" Target="https://www.pantaloon.io/games" TargetMode="External"/><Relationship Id="rId98" Type="http://schemas.openxmlformats.org/officeDocument/2006/relationships/hyperlink" Target="https://www.spiralupgames.com/" TargetMode="External"/><Relationship Id="rId91" Type="http://schemas.openxmlformats.org/officeDocument/2006/relationships/hyperlink" Target="https://www.linkedin.com/in/sjeburns/" TargetMode="External"/><Relationship Id="rId90" Type="http://schemas.openxmlformats.org/officeDocument/2006/relationships/hyperlink" Target="https://marvelousgames.com/submit-game" TargetMode="External"/><Relationship Id="rId93" Type="http://schemas.openxmlformats.org/officeDocument/2006/relationships/hyperlink" Target="https://gamalytic.com/publisher/Marvelous%20Europe" TargetMode="External"/><Relationship Id="rId92" Type="http://schemas.openxmlformats.org/officeDocument/2006/relationships/hyperlink" Target="https://store.steampowered.com/developer/MarvelousEurope" TargetMode="External"/><Relationship Id="rId118" Type="http://schemas.openxmlformats.org/officeDocument/2006/relationships/hyperlink" Target="https://www.elda-entertainment.com/" TargetMode="External"/><Relationship Id="rId239" Type="http://schemas.openxmlformats.org/officeDocument/2006/relationships/hyperlink" Target="https://gamalytic.com/publisher/Raw%20Fury" TargetMode="External"/><Relationship Id="rId117" Type="http://schemas.openxmlformats.org/officeDocument/2006/relationships/hyperlink" Target="https://gamalytic.com/publisher/Dotemu" TargetMode="External"/><Relationship Id="rId238" Type="http://schemas.openxmlformats.org/officeDocument/2006/relationships/hyperlink" Target="https://store.steampowered.com/publisher/rawfury" TargetMode="External"/><Relationship Id="rId359" Type="http://schemas.openxmlformats.org/officeDocument/2006/relationships/hyperlink" Target="https://www.linkedin.com/in/oliver-smith-a3122982/" TargetMode="External"/><Relationship Id="rId116" Type="http://schemas.openxmlformats.org/officeDocument/2006/relationships/hyperlink" Target="https://store.steampowered.com/publisher/Dotemu" TargetMode="External"/><Relationship Id="rId237" Type="http://schemas.openxmlformats.org/officeDocument/2006/relationships/hyperlink" Target="https://www.linkedin.com/in/jtoresson/" TargetMode="External"/><Relationship Id="rId358" Type="http://schemas.openxmlformats.org/officeDocument/2006/relationships/hyperlink" Target="https://www.playtonicgames.com/" TargetMode="External"/><Relationship Id="rId479" Type="http://schemas.openxmlformats.org/officeDocument/2006/relationships/hyperlink" Target="https://gamalytic.com/publisher/Assemble%20Entertainment" TargetMode="External"/><Relationship Id="rId115" Type="http://schemas.openxmlformats.org/officeDocument/2006/relationships/hyperlink" Target="https://www.dotemu.com/contact/" TargetMode="External"/><Relationship Id="rId236" Type="http://schemas.openxmlformats.org/officeDocument/2006/relationships/hyperlink" Target="https://form.asana.com/?k=SF4rPk6Y5L-NFSrVml5JOg&amp;d=1123805143377851" TargetMode="External"/><Relationship Id="rId357" Type="http://schemas.openxmlformats.org/officeDocument/2006/relationships/hyperlink" Target="https://gamalytic.com/publisher/Goblinz%20Publishing" TargetMode="External"/><Relationship Id="rId478" Type="http://schemas.openxmlformats.org/officeDocument/2006/relationships/hyperlink" Target="https://store.steampowered.com/publisher/AssembleEntertainment" TargetMode="External"/><Relationship Id="rId599" Type="http://schemas.openxmlformats.org/officeDocument/2006/relationships/hyperlink" Target="https://selecta-play.com/en/" TargetMode="External"/><Relationship Id="rId119" Type="http://schemas.openxmlformats.org/officeDocument/2006/relationships/hyperlink" Target="https://store.steampowered.com/search/?publisher=Elda%20Entertainment" TargetMode="External"/><Relationship Id="rId110" Type="http://schemas.openxmlformats.org/officeDocument/2006/relationships/hyperlink" Target="https://www.team17.com/submit-game/submit/" TargetMode="External"/><Relationship Id="rId231" Type="http://schemas.openxmlformats.org/officeDocument/2006/relationships/hyperlink" Target="https://www.linkedin.com/in/jonas-h%C3%BCsges-206612164/" TargetMode="External"/><Relationship Id="rId352" Type="http://schemas.openxmlformats.org/officeDocument/2006/relationships/hyperlink" Target="https://gamalytic.com/publisher/Pretty%20Soon" TargetMode="External"/><Relationship Id="rId473" Type="http://schemas.openxmlformats.org/officeDocument/2006/relationships/hyperlink" Target="https://www.linkedin.com/in/ariel-hui-yu-p-65214989/" TargetMode="External"/><Relationship Id="rId594" Type="http://schemas.openxmlformats.org/officeDocument/2006/relationships/hyperlink" Target="https://gamalytic.com/publisher/Toge%20Productions" TargetMode="External"/><Relationship Id="rId230" Type="http://schemas.openxmlformats.org/officeDocument/2006/relationships/hyperlink" Target="https://www.daedalic.com/" TargetMode="External"/><Relationship Id="rId351" Type="http://schemas.openxmlformats.org/officeDocument/2006/relationships/hyperlink" Target="https://store.steampowered.com/publisher/prettysoon" TargetMode="External"/><Relationship Id="rId472" Type="http://schemas.openxmlformats.org/officeDocument/2006/relationships/hyperlink" Target="https://pqube.co.uk/submit-a-game/" TargetMode="External"/><Relationship Id="rId593" Type="http://schemas.openxmlformats.org/officeDocument/2006/relationships/hyperlink" Target="https://store.steampowered.com/publisher/togeproductions" TargetMode="External"/><Relationship Id="rId350" Type="http://schemas.openxmlformats.org/officeDocument/2006/relationships/hyperlink" Target="https://www.linkedin.com/in/krzysztof-masternak/?locale=en_US" TargetMode="External"/><Relationship Id="rId471" Type="http://schemas.openxmlformats.org/officeDocument/2006/relationships/hyperlink" Target="https://pqube.co.uk/" TargetMode="External"/><Relationship Id="rId592" Type="http://schemas.openxmlformats.org/officeDocument/2006/relationships/hyperlink" Target="https://www.linkedin.com/in/kris-antoni-hadiputra-a675b819/?originalSubdomain=id" TargetMode="External"/><Relationship Id="rId470" Type="http://schemas.openxmlformats.org/officeDocument/2006/relationships/hyperlink" Target="https://gamalytic.com/publisher/Crunching%20Koalas" TargetMode="External"/><Relationship Id="rId591" Type="http://schemas.openxmlformats.org/officeDocument/2006/relationships/hyperlink" Target="https://docs.google.com/presentation/d/1bWWQTIaMJ1Rc39ttsoz7sgeWPY7MmlzuVHGw22VTRPg/edit" TargetMode="External"/><Relationship Id="rId114" Type="http://schemas.openxmlformats.org/officeDocument/2006/relationships/hyperlink" Target="https://www.dotemu.com/" TargetMode="External"/><Relationship Id="rId235" Type="http://schemas.openxmlformats.org/officeDocument/2006/relationships/hyperlink" Target="https://rawfury.com/talk/" TargetMode="External"/><Relationship Id="rId356" Type="http://schemas.openxmlformats.org/officeDocument/2006/relationships/hyperlink" Target="https://store.steampowered.com/dev/goblinz_publishing" TargetMode="External"/><Relationship Id="rId477" Type="http://schemas.openxmlformats.org/officeDocument/2006/relationships/hyperlink" Target="https://www.linkedin.com/in/jerome-zenker-3098b5119/" TargetMode="External"/><Relationship Id="rId598" Type="http://schemas.openxmlformats.org/officeDocument/2006/relationships/hyperlink" Target="https://gamalytic.com/publisher/Judatone%20Studios" TargetMode="External"/><Relationship Id="rId113" Type="http://schemas.openxmlformats.org/officeDocument/2006/relationships/hyperlink" Target="https://gamalytic.com/publisher/Team17" TargetMode="External"/><Relationship Id="rId234" Type="http://schemas.openxmlformats.org/officeDocument/2006/relationships/hyperlink" Target="https://rawfury.com/" TargetMode="External"/><Relationship Id="rId355" Type="http://schemas.openxmlformats.org/officeDocument/2006/relationships/hyperlink" Target="https://www.linkedin.com/in/johannverbroucht/" TargetMode="External"/><Relationship Id="rId476" Type="http://schemas.openxmlformats.org/officeDocument/2006/relationships/hyperlink" Target="https://lnk.bio/AssembleEntertainment" TargetMode="External"/><Relationship Id="rId597" Type="http://schemas.openxmlformats.org/officeDocument/2006/relationships/hyperlink" Target="https://store.steampowered.com/search/?publisher=Judatone+Studios" TargetMode="External"/><Relationship Id="rId112" Type="http://schemas.openxmlformats.org/officeDocument/2006/relationships/hyperlink" Target="https://store.steampowered.com/developer/Team17" TargetMode="External"/><Relationship Id="rId233" Type="http://schemas.openxmlformats.org/officeDocument/2006/relationships/hyperlink" Target="https://gamalytic.com/publisher/Daedalic%20Entertainment" TargetMode="External"/><Relationship Id="rId354" Type="http://schemas.openxmlformats.org/officeDocument/2006/relationships/hyperlink" Target="https://goblinzstudio.com/publishing/" TargetMode="External"/><Relationship Id="rId475" Type="http://schemas.openxmlformats.org/officeDocument/2006/relationships/hyperlink" Target="https://gamalytic.com/publisher/PQube" TargetMode="External"/><Relationship Id="rId596" Type="http://schemas.openxmlformats.org/officeDocument/2006/relationships/hyperlink" Target="https://www.linkedin.com/in/antonio-assenza/" TargetMode="External"/><Relationship Id="rId111" Type="http://schemas.openxmlformats.org/officeDocument/2006/relationships/hyperlink" Target="https://www.linkedin.com/in/benjaminmjellis/" TargetMode="External"/><Relationship Id="rId232" Type="http://schemas.openxmlformats.org/officeDocument/2006/relationships/hyperlink" Target="https://store.steampowered.com/publisher/daedalic" TargetMode="External"/><Relationship Id="rId353" Type="http://schemas.openxmlformats.org/officeDocument/2006/relationships/hyperlink" Target="https://goblinzstudio.com/" TargetMode="External"/><Relationship Id="rId474" Type="http://schemas.openxmlformats.org/officeDocument/2006/relationships/hyperlink" Target="https://store.steampowered.com/publisher/PQube" TargetMode="External"/><Relationship Id="rId595" Type="http://schemas.openxmlformats.org/officeDocument/2006/relationships/hyperlink" Target="https://judatone.com/" TargetMode="External"/><Relationship Id="rId305" Type="http://schemas.openxmlformats.org/officeDocument/2006/relationships/hyperlink" Target="https://www.fellowtraveller.games/developers" TargetMode="External"/><Relationship Id="rId426" Type="http://schemas.openxmlformats.org/officeDocument/2006/relationships/hyperlink" Target="https://forms.clickup.com/p/f/2axdz-601/81QBJSB3SI99Q4WU8S/project-submission" TargetMode="External"/><Relationship Id="rId547" Type="http://schemas.openxmlformats.org/officeDocument/2006/relationships/hyperlink" Target="https://www.graffitigames.com/contact/pitch-your-game" TargetMode="External"/><Relationship Id="rId668" Type="http://schemas.openxmlformats.org/officeDocument/2006/relationships/hyperlink" Target="https://www.nightsight.games/" TargetMode="External"/><Relationship Id="rId304" Type="http://schemas.openxmlformats.org/officeDocument/2006/relationships/hyperlink" Target="https://www.fellowtraveller.games/" TargetMode="External"/><Relationship Id="rId425" Type="http://schemas.openxmlformats.org/officeDocument/2006/relationships/hyperlink" Target="https://5icube.com/index.html" TargetMode="External"/><Relationship Id="rId546" Type="http://schemas.openxmlformats.org/officeDocument/2006/relationships/hyperlink" Target="https://www.graffitigames.com/" TargetMode="External"/><Relationship Id="rId667" Type="http://schemas.openxmlformats.org/officeDocument/2006/relationships/hyperlink" Target="https://gamalytic.com/publisher/Farmear%20Games" TargetMode="External"/><Relationship Id="rId303" Type="http://schemas.openxmlformats.org/officeDocument/2006/relationships/hyperlink" Target="https://gamalytic.com/publisher/Alibi%20Games" TargetMode="External"/><Relationship Id="rId424" Type="http://schemas.openxmlformats.org/officeDocument/2006/relationships/hyperlink" Target="https://gamalytic.com/publisher/Ancient%20Forge" TargetMode="External"/><Relationship Id="rId545" Type="http://schemas.openxmlformats.org/officeDocument/2006/relationships/hyperlink" Target="https://gamalytic.com/publisher/First%20Break%20Labs" TargetMode="External"/><Relationship Id="rId666" Type="http://schemas.openxmlformats.org/officeDocument/2006/relationships/hyperlink" Target="https://store.steampowered.com/publisher/Farmear%20Games" TargetMode="External"/><Relationship Id="rId302" Type="http://schemas.openxmlformats.org/officeDocument/2006/relationships/hyperlink" Target="https://store.steampowered.com/publisher/AlibiGames" TargetMode="External"/><Relationship Id="rId423" Type="http://schemas.openxmlformats.org/officeDocument/2006/relationships/hyperlink" Target="https://store.steampowered.com/developer/ancientforge" TargetMode="External"/><Relationship Id="rId544" Type="http://schemas.openxmlformats.org/officeDocument/2006/relationships/hyperlink" Target="https://store.steampowered.com/developer/FirstBreakLabs" TargetMode="External"/><Relationship Id="rId665" Type="http://schemas.openxmlformats.org/officeDocument/2006/relationships/hyperlink" Target="https://www.linkedin.com/in/diegofreijo/" TargetMode="External"/><Relationship Id="rId309" Type="http://schemas.openxmlformats.org/officeDocument/2006/relationships/hyperlink" Target="https://serenityforge.com/publishing" TargetMode="External"/><Relationship Id="rId308" Type="http://schemas.openxmlformats.org/officeDocument/2006/relationships/hyperlink" Target="https://serenityforge.com/" TargetMode="External"/><Relationship Id="rId429" Type="http://schemas.openxmlformats.org/officeDocument/2006/relationships/hyperlink" Target="https://gamalytic.com/publisher/%E6%96%B9%E5%9D%97%E6%B8%B8%E6%88%8F%20(CubeGame)" TargetMode="External"/><Relationship Id="rId307" Type="http://schemas.openxmlformats.org/officeDocument/2006/relationships/hyperlink" Target="https://gamalytic.com/publisher/Fellow%20Traveller" TargetMode="External"/><Relationship Id="rId428" Type="http://schemas.openxmlformats.org/officeDocument/2006/relationships/hyperlink" Target="https://store.steampowered.com/developer/CubeGame" TargetMode="External"/><Relationship Id="rId549" Type="http://schemas.openxmlformats.org/officeDocument/2006/relationships/hyperlink" Target="https://store.steampowered.com/publisher/graffiti" TargetMode="External"/><Relationship Id="rId306" Type="http://schemas.openxmlformats.org/officeDocument/2006/relationships/hyperlink" Target="https://store.steampowered.com/publisher/fellowtraveller" TargetMode="External"/><Relationship Id="rId427" Type="http://schemas.openxmlformats.org/officeDocument/2006/relationships/hyperlink" Target="https://www.linkedin.com/in/ziya-wei-ab5ba941a/" TargetMode="External"/><Relationship Id="rId548" Type="http://schemas.openxmlformats.org/officeDocument/2006/relationships/hyperlink" Target="https://www.linkedin.com/in/andymessner/" TargetMode="External"/><Relationship Id="rId669" Type="http://schemas.openxmlformats.org/officeDocument/2006/relationships/hyperlink" Target="https://www.linkedin.com/in/michael-anderson-381a3952/" TargetMode="External"/><Relationship Id="rId660" Type="http://schemas.openxmlformats.org/officeDocument/2006/relationships/hyperlink" Target="https://www.entaltostudios.com/contact" TargetMode="External"/><Relationship Id="rId301" Type="http://schemas.openxmlformats.org/officeDocument/2006/relationships/hyperlink" Target="https://www.linkedin.com/in/futurejarv/" TargetMode="External"/><Relationship Id="rId422" Type="http://schemas.openxmlformats.org/officeDocument/2006/relationships/hyperlink" Target="https://www.linkedin.com/in/dushan-chaciej/" TargetMode="External"/><Relationship Id="rId543" Type="http://schemas.openxmlformats.org/officeDocument/2006/relationships/hyperlink" Target="https://www.linkedin.com/in/alfonsocubiasjr/" TargetMode="External"/><Relationship Id="rId664" Type="http://schemas.openxmlformats.org/officeDocument/2006/relationships/hyperlink" Target="https://www.farmeargames.com/" TargetMode="External"/><Relationship Id="rId300" Type="http://schemas.openxmlformats.org/officeDocument/2006/relationships/hyperlink" Target="https://www.alibi.games/submit" TargetMode="External"/><Relationship Id="rId421" Type="http://schemas.openxmlformats.org/officeDocument/2006/relationships/hyperlink" Target="https://ancientforgestudio.com/" TargetMode="External"/><Relationship Id="rId542" Type="http://schemas.openxmlformats.org/officeDocument/2006/relationships/hyperlink" Target="https://firstbreaklabs.com/" TargetMode="External"/><Relationship Id="rId663" Type="http://schemas.openxmlformats.org/officeDocument/2006/relationships/hyperlink" Target="https://gamalytic.com/publisher/Entalto%20Publishing" TargetMode="External"/><Relationship Id="rId420" Type="http://schemas.openxmlformats.org/officeDocument/2006/relationships/hyperlink" Target="https://gamalytic.com/publisher/DreadXP" TargetMode="External"/><Relationship Id="rId541" Type="http://schemas.openxmlformats.org/officeDocument/2006/relationships/hyperlink" Target="https://gamalytic.com/publisher/PlayWay%20S.A." TargetMode="External"/><Relationship Id="rId662" Type="http://schemas.openxmlformats.org/officeDocument/2006/relationships/hyperlink" Target="https://store.steampowered.com/publisher/EntaltoStudios/" TargetMode="External"/><Relationship Id="rId540" Type="http://schemas.openxmlformats.org/officeDocument/2006/relationships/hyperlink" Target="https://store.steampowered.com/developer/playway" TargetMode="External"/><Relationship Id="rId661" Type="http://schemas.openxmlformats.org/officeDocument/2006/relationships/hyperlink" Target="https://www.linkedin.com/in/enrique-martinez-romero/" TargetMode="External"/><Relationship Id="rId415" Type="http://schemas.openxmlformats.org/officeDocument/2006/relationships/hyperlink" Target="https://store.steampowered.com/publisher/Neverland" TargetMode="External"/><Relationship Id="rId536" Type="http://schemas.openxmlformats.org/officeDocument/2006/relationships/hyperlink" Target="https://store.steampowered.com/publisher/microids" TargetMode="External"/><Relationship Id="rId657" Type="http://schemas.openxmlformats.org/officeDocument/2006/relationships/hyperlink" Target="https://store.steampowered.com/dev/staticcitygames" TargetMode="External"/><Relationship Id="rId414" Type="http://schemas.openxmlformats.org/officeDocument/2006/relationships/hyperlink" Target="https://www.nlentmt.com/" TargetMode="External"/><Relationship Id="rId535" Type="http://schemas.openxmlformats.org/officeDocument/2006/relationships/hyperlink" Target="https://www.linkedin.com/in/alainmilly/" TargetMode="External"/><Relationship Id="rId656" Type="http://schemas.openxmlformats.org/officeDocument/2006/relationships/hyperlink" Target="https://twitter.com/scg_krasstv" TargetMode="External"/><Relationship Id="rId413" Type="http://schemas.openxmlformats.org/officeDocument/2006/relationships/hyperlink" Target="https://gamalytic.com/publisher/PLAYISM" TargetMode="External"/><Relationship Id="rId534" Type="http://schemas.openxmlformats.org/officeDocument/2006/relationships/hyperlink" Target="https://www.microids.com/contact/" TargetMode="External"/><Relationship Id="rId655" Type="http://schemas.openxmlformats.org/officeDocument/2006/relationships/hyperlink" Target="https://staticcitygames.com/" TargetMode="External"/><Relationship Id="rId412" Type="http://schemas.openxmlformats.org/officeDocument/2006/relationships/hyperlink" Target="https://store.steampowered.com/publisher/Playism" TargetMode="External"/><Relationship Id="rId533" Type="http://schemas.openxmlformats.org/officeDocument/2006/relationships/hyperlink" Target="https://www.microids.com/" TargetMode="External"/><Relationship Id="rId654" Type="http://schemas.openxmlformats.org/officeDocument/2006/relationships/hyperlink" Target="https://gamalytic.com/publisher/GIGATANK%203000" TargetMode="External"/><Relationship Id="rId419" Type="http://schemas.openxmlformats.org/officeDocument/2006/relationships/hyperlink" Target="https://store.steampowered.com/publisher/DreadXP" TargetMode="External"/><Relationship Id="rId418" Type="http://schemas.openxmlformats.org/officeDocument/2006/relationships/hyperlink" Target="https://www.linkedin.com/in/henryhoare/" TargetMode="External"/><Relationship Id="rId539" Type="http://schemas.openxmlformats.org/officeDocument/2006/relationships/hyperlink" Target="https://playway.com/en/fordevelopers" TargetMode="External"/><Relationship Id="rId417" Type="http://schemas.openxmlformats.org/officeDocument/2006/relationships/hyperlink" Target="https://www.dreadxp.com/" TargetMode="External"/><Relationship Id="rId538" Type="http://schemas.openxmlformats.org/officeDocument/2006/relationships/hyperlink" Target="https://playway.com/en/" TargetMode="External"/><Relationship Id="rId659" Type="http://schemas.openxmlformats.org/officeDocument/2006/relationships/hyperlink" Target="https://www.entaltostudios.com/" TargetMode="External"/><Relationship Id="rId416" Type="http://schemas.openxmlformats.org/officeDocument/2006/relationships/hyperlink" Target="https://gamalytic.com/publisher/Neverland%20Entertainment" TargetMode="External"/><Relationship Id="rId537" Type="http://schemas.openxmlformats.org/officeDocument/2006/relationships/hyperlink" Target="https://gamalytic.com/publisher/Microids" TargetMode="External"/><Relationship Id="rId658" Type="http://schemas.openxmlformats.org/officeDocument/2006/relationships/hyperlink" Target="https://gamalytic.com/publisher/Static%20City%20Games" TargetMode="External"/><Relationship Id="rId411" Type="http://schemas.openxmlformats.org/officeDocument/2006/relationships/hyperlink" Target="https://playism.com/en/contact/" TargetMode="External"/><Relationship Id="rId532" Type="http://schemas.openxmlformats.org/officeDocument/2006/relationships/hyperlink" Target="https://gamalytic.com/publisher/Noodlecake" TargetMode="External"/><Relationship Id="rId653" Type="http://schemas.openxmlformats.org/officeDocument/2006/relationships/hyperlink" Target="https://store.steampowered.com/publisher/GIGATANK3000" TargetMode="External"/><Relationship Id="rId410" Type="http://schemas.openxmlformats.org/officeDocument/2006/relationships/hyperlink" Target="https://playism.com/en/" TargetMode="External"/><Relationship Id="rId531" Type="http://schemas.openxmlformats.org/officeDocument/2006/relationships/hyperlink" Target="https://store.steampowered.com/publisher/NOODLECAKE" TargetMode="External"/><Relationship Id="rId652" Type="http://schemas.openxmlformats.org/officeDocument/2006/relationships/hyperlink" Target="https://twitter.com/GIGATANK3000" TargetMode="External"/><Relationship Id="rId530" Type="http://schemas.openxmlformats.org/officeDocument/2006/relationships/hyperlink" Target="https://noodlecake.com/publishing/" TargetMode="External"/><Relationship Id="rId651" Type="http://schemas.openxmlformats.org/officeDocument/2006/relationships/hyperlink" Target="https://gigatank3000.com/publishing/" TargetMode="External"/><Relationship Id="rId650" Type="http://schemas.openxmlformats.org/officeDocument/2006/relationships/hyperlink" Target="https://gigatank3000.com/" TargetMode="External"/><Relationship Id="rId206" Type="http://schemas.openxmlformats.org/officeDocument/2006/relationships/hyperlink" Target="https://fireshinegames.co.uk/pitch/" TargetMode="External"/><Relationship Id="rId327" Type="http://schemas.openxmlformats.org/officeDocument/2006/relationships/hyperlink" Target="https://www.slitherine.com/" TargetMode="External"/><Relationship Id="rId448" Type="http://schemas.openxmlformats.org/officeDocument/2006/relationships/hyperlink" Target="https://gamalytic.com/publisher/Aquila%20Interactive" TargetMode="External"/><Relationship Id="rId569" Type="http://schemas.openxmlformats.org/officeDocument/2006/relationships/hyperlink" Target="https://www.linkedin.com/in/daniel-kulaszewicz-a1336a65/" TargetMode="External"/><Relationship Id="rId205" Type="http://schemas.openxmlformats.org/officeDocument/2006/relationships/hyperlink" Target="https://fireshinegames.co.uk/" TargetMode="External"/><Relationship Id="rId326" Type="http://schemas.openxmlformats.org/officeDocument/2006/relationships/hyperlink" Target="https://gamalytic.com/publisher/Shiro%20Unlimited" TargetMode="External"/><Relationship Id="rId447" Type="http://schemas.openxmlformats.org/officeDocument/2006/relationships/hyperlink" Target="https://store.steampowered.com/publisher/AquilaInteractive" TargetMode="External"/><Relationship Id="rId568" Type="http://schemas.openxmlformats.org/officeDocument/2006/relationships/hyperlink" Target="https://rockgame.pl/" TargetMode="External"/><Relationship Id="rId204" Type="http://schemas.openxmlformats.org/officeDocument/2006/relationships/hyperlink" Target="https://gamalytic.com/publisher/Tripwire%20Interactive" TargetMode="External"/><Relationship Id="rId325" Type="http://schemas.openxmlformats.org/officeDocument/2006/relationships/hyperlink" Target="https://store.steampowered.com/publisher/shiro-unlimited" TargetMode="External"/><Relationship Id="rId446" Type="http://schemas.openxmlformats.org/officeDocument/2006/relationships/hyperlink" Target="https://www.linkedin.com/in/lampickas/" TargetMode="External"/><Relationship Id="rId567" Type="http://schemas.openxmlformats.org/officeDocument/2006/relationships/hyperlink" Target="https://gamalytic.com/publisher/Troglobytes%20Games" TargetMode="External"/><Relationship Id="rId203" Type="http://schemas.openxmlformats.org/officeDocument/2006/relationships/hyperlink" Target="https://store.steampowered.com/publisher/Tripwire" TargetMode="External"/><Relationship Id="rId324" Type="http://schemas.openxmlformats.org/officeDocument/2006/relationships/hyperlink" Target="https://fr.linkedin.com/in/adrien-dugue" TargetMode="External"/><Relationship Id="rId445" Type="http://schemas.openxmlformats.org/officeDocument/2006/relationships/hyperlink" Target="https://aquilainteractive.io/" TargetMode="External"/><Relationship Id="rId566" Type="http://schemas.openxmlformats.org/officeDocument/2006/relationships/hyperlink" Target="https://store.steampowered.com/developer/Troglobytes" TargetMode="External"/><Relationship Id="rId209" Type="http://schemas.openxmlformats.org/officeDocument/2006/relationships/hyperlink" Target="http://skystone.games" TargetMode="External"/><Relationship Id="rId208" Type="http://schemas.openxmlformats.org/officeDocument/2006/relationships/hyperlink" Target="https://gamalytic.com/publisher/Fireshine%20Games" TargetMode="External"/><Relationship Id="rId329" Type="http://schemas.openxmlformats.org/officeDocument/2006/relationships/hyperlink" Target="https://store.steampowered.com/publisher/Slitherine" TargetMode="External"/><Relationship Id="rId207" Type="http://schemas.openxmlformats.org/officeDocument/2006/relationships/hyperlink" Target="https://store.steampowered.com/publisher/FireshineGames" TargetMode="External"/><Relationship Id="rId328" Type="http://schemas.openxmlformats.org/officeDocument/2006/relationships/hyperlink" Target="https://www.linkedin.com/in/alberto-casulini-06015b12b/" TargetMode="External"/><Relationship Id="rId449" Type="http://schemas.openxmlformats.org/officeDocument/2006/relationships/hyperlink" Target="https://dearvillagers.com/" TargetMode="External"/><Relationship Id="rId440" Type="http://schemas.openxmlformats.org/officeDocument/2006/relationships/hyperlink" Target="https://www.silverliningint.com/pitch-your-game" TargetMode="External"/><Relationship Id="rId561" Type="http://schemas.openxmlformats.org/officeDocument/2006/relationships/hyperlink" Target="https://www.linkedin.com/in/adrien-larouz%C3%A9e-1b627112b/" TargetMode="External"/><Relationship Id="rId560" Type="http://schemas.openxmlformats.org/officeDocument/2006/relationships/hyperlink" Target="https://projets.arte.tv/en" TargetMode="External"/><Relationship Id="rId202" Type="http://schemas.openxmlformats.org/officeDocument/2006/relationships/hyperlink" Target="https://www.linkedin.com/in/jameslamorticelli/" TargetMode="External"/><Relationship Id="rId323" Type="http://schemas.openxmlformats.org/officeDocument/2006/relationships/hyperlink" Target="https://shiro-unlimited.com/" TargetMode="External"/><Relationship Id="rId444" Type="http://schemas.openxmlformats.org/officeDocument/2006/relationships/hyperlink" Target="https://gamalytic.com/publisher/Silver%20Lining%20Interactive" TargetMode="External"/><Relationship Id="rId565" Type="http://schemas.openxmlformats.org/officeDocument/2006/relationships/hyperlink" Target="https://www.linkedin.com/in/saverio-caporusso-155a7b47/" TargetMode="External"/><Relationship Id="rId201" Type="http://schemas.openxmlformats.org/officeDocument/2006/relationships/hyperlink" Target="https://docs.google.com/forms/d/e/1FAIpQLSf8Tw-NGr5lUmjfpJ3h_FND5qVnYHe7uaE_BxHHdM-Od4CAPQ/viewform" TargetMode="External"/><Relationship Id="rId322" Type="http://schemas.openxmlformats.org/officeDocument/2006/relationships/hyperlink" Target="https://gamalytic.com/publisher/Curve%20Games" TargetMode="External"/><Relationship Id="rId443" Type="http://schemas.openxmlformats.org/officeDocument/2006/relationships/hyperlink" Target="https://store.steampowered.com/curator/45287187" TargetMode="External"/><Relationship Id="rId564" Type="http://schemas.openxmlformats.org/officeDocument/2006/relationships/hyperlink" Target="https://troglobytesgames.com/" TargetMode="External"/><Relationship Id="rId200" Type="http://schemas.openxmlformats.org/officeDocument/2006/relationships/hyperlink" Target="https://www.tripwireinteractive.com/" TargetMode="External"/><Relationship Id="rId321" Type="http://schemas.openxmlformats.org/officeDocument/2006/relationships/hyperlink" Target="https://store.steampowered.com/publisher/curvedigital" TargetMode="External"/><Relationship Id="rId442" Type="http://schemas.openxmlformats.org/officeDocument/2006/relationships/hyperlink" Target="https://www.linkedin.com/in/thomas-griffiths-8572b518a/" TargetMode="External"/><Relationship Id="rId563" Type="http://schemas.openxmlformats.org/officeDocument/2006/relationships/hyperlink" Target="https://gamalytic.com/publisher/ARTE%20France" TargetMode="External"/><Relationship Id="rId320" Type="http://schemas.openxmlformats.org/officeDocument/2006/relationships/hyperlink" Target="https://www.linkedin.com/in/bradleycrooks/" TargetMode="External"/><Relationship Id="rId441" Type="http://schemas.openxmlformats.org/officeDocument/2006/relationships/hyperlink" Target="mailto:submissions@silverliningint.com" TargetMode="External"/><Relationship Id="rId562" Type="http://schemas.openxmlformats.org/officeDocument/2006/relationships/hyperlink" Target="https://store.steampowered.com/publisher/Arte" TargetMode="External"/><Relationship Id="rId316" Type="http://schemas.openxmlformats.org/officeDocument/2006/relationships/hyperlink" Target="https://store.steampowered.com/publisher/mooneye" TargetMode="External"/><Relationship Id="rId437" Type="http://schemas.openxmlformats.org/officeDocument/2006/relationships/hyperlink" Target="https://store.steampowered.com/publisher/gamirrorgames" TargetMode="External"/><Relationship Id="rId558" Type="http://schemas.openxmlformats.org/officeDocument/2006/relationships/hyperlink" Target="https://gamalytic.com/publisher/SOEDESCO" TargetMode="External"/><Relationship Id="rId315" Type="http://schemas.openxmlformats.org/officeDocument/2006/relationships/hyperlink" Target="https://www.linkedin.com/in/sinikka-compart-38a53031/" TargetMode="External"/><Relationship Id="rId436" Type="http://schemas.openxmlformats.org/officeDocument/2006/relationships/hyperlink" Target="https://jp.linkedin.com/in/uzuki" TargetMode="External"/><Relationship Id="rId557" Type="http://schemas.openxmlformats.org/officeDocument/2006/relationships/hyperlink" Target="https://store.steampowered.com/publisher/soedesco" TargetMode="External"/><Relationship Id="rId314" Type="http://schemas.openxmlformats.org/officeDocument/2006/relationships/hyperlink" Target="https://www.mooneyestudios.com/" TargetMode="External"/><Relationship Id="rId435" Type="http://schemas.openxmlformats.org/officeDocument/2006/relationships/hyperlink" Target="https://www.gamirrorgames.com/contact" TargetMode="External"/><Relationship Id="rId556" Type="http://schemas.openxmlformats.org/officeDocument/2006/relationships/hyperlink" Target="https://www.soedesco.com/contact" TargetMode="External"/><Relationship Id="rId313" Type="http://schemas.openxmlformats.org/officeDocument/2006/relationships/hyperlink" Target="https://gamalytic.com/publisher/Serenity%20Forge" TargetMode="External"/><Relationship Id="rId434" Type="http://schemas.openxmlformats.org/officeDocument/2006/relationships/hyperlink" Target="https://www.gamirrorgames.com/" TargetMode="External"/><Relationship Id="rId555" Type="http://schemas.openxmlformats.org/officeDocument/2006/relationships/hyperlink" Target="https://www.soedesco.com/" TargetMode="External"/><Relationship Id="rId319" Type="http://schemas.openxmlformats.org/officeDocument/2006/relationships/hyperlink" Target="https://curvegames.com/contact/im-a-developer/" TargetMode="External"/><Relationship Id="rId318" Type="http://schemas.openxmlformats.org/officeDocument/2006/relationships/hyperlink" Target="https://curvegames.com/" TargetMode="External"/><Relationship Id="rId439" Type="http://schemas.openxmlformats.org/officeDocument/2006/relationships/hyperlink" Target="https://www.silverliningint.com/" TargetMode="External"/><Relationship Id="rId317" Type="http://schemas.openxmlformats.org/officeDocument/2006/relationships/hyperlink" Target="https://gamalytic.com/publisher/Mooneye%20Studios" TargetMode="External"/><Relationship Id="rId438" Type="http://schemas.openxmlformats.org/officeDocument/2006/relationships/hyperlink" Target="https://gamalytic.com/publisher/Gamera%20Games" TargetMode="External"/><Relationship Id="rId559" Type="http://schemas.openxmlformats.org/officeDocument/2006/relationships/hyperlink" Target="https://arte.tv/videogames" TargetMode="External"/><Relationship Id="rId550" Type="http://schemas.openxmlformats.org/officeDocument/2006/relationships/hyperlink" Target="https://gamalytic.com/publisher/Graffiti%20Games" TargetMode="External"/><Relationship Id="rId671" Type="http://schemas.openxmlformats.org/officeDocument/2006/relationships/hyperlink" Target="https://www.linkedin.com/in/lili-zehui-zang-%E2%9C%88gamescom-86b20a164/" TargetMode="External"/><Relationship Id="rId670" Type="http://schemas.openxmlformats.org/officeDocument/2006/relationships/hyperlink" Target="https://www.agoragamingpartners.com/" TargetMode="External"/><Relationship Id="rId312" Type="http://schemas.openxmlformats.org/officeDocument/2006/relationships/hyperlink" Target="https://store.steampowered.com/publisher/serenityforge" TargetMode="External"/><Relationship Id="rId433" Type="http://schemas.openxmlformats.org/officeDocument/2006/relationships/hyperlink" Target="https://gamalytic.com/publisher/Headup%20Publishing" TargetMode="External"/><Relationship Id="rId554" Type="http://schemas.openxmlformats.org/officeDocument/2006/relationships/hyperlink" Target="https://gamalytic.com/publisher/Ultimate%20Games%20S.A." TargetMode="External"/><Relationship Id="rId675" Type="http://schemas.openxmlformats.org/officeDocument/2006/relationships/drawing" Target="../drawings/drawing2.xml"/><Relationship Id="rId311" Type="http://schemas.openxmlformats.org/officeDocument/2006/relationships/hyperlink" Target="https://www.linkedin.com/in/serenityz/" TargetMode="External"/><Relationship Id="rId432" Type="http://schemas.openxmlformats.org/officeDocument/2006/relationships/hyperlink" Target="https://store.steampowered.com/publisher/Headup" TargetMode="External"/><Relationship Id="rId553" Type="http://schemas.openxmlformats.org/officeDocument/2006/relationships/hyperlink" Target="https://store.steampowered.com/publisher/ultimategames" TargetMode="External"/><Relationship Id="rId674" Type="http://schemas.openxmlformats.org/officeDocument/2006/relationships/hyperlink" Target="https://www.neonhearth.ca/pitch" TargetMode="External"/><Relationship Id="rId310" Type="http://schemas.openxmlformats.org/officeDocument/2006/relationships/hyperlink" Target="https://serenity-forge.notion.site/1d58d6801c1880e18722e6ce28c4bc88" TargetMode="External"/><Relationship Id="rId431" Type="http://schemas.openxmlformats.org/officeDocument/2006/relationships/hyperlink" Target="https://www.linkedin.com/in/julialkenny/" TargetMode="External"/><Relationship Id="rId552" Type="http://schemas.openxmlformats.org/officeDocument/2006/relationships/hyperlink" Target="https://ultimate-games.com/kontakt/" TargetMode="External"/><Relationship Id="rId673" Type="http://schemas.openxmlformats.org/officeDocument/2006/relationships/hyperlink" Target="https://neonhearth.ca/" TargetMode="External"/><Relationship Id="rId430" Type="http://schemas.openxmlformats.org/officeDocument/2006/relationships/hyperlink" Target="https://twitter.com/HeadupGames" TargetMode="External"/><Relationship Id="rId551" Type="http://schemas.openxmlformats.org/officeDocument/2006/relationships/hyperlink" Target="https://ultimate-games.com/" TargetMode="External"/><Relationship Id="rId672" Type="http://schemas.openxmlformats.org/officeDocument/2006/relationships/hyperlink" Target="https://www.re-koup.com/"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amalytic.com/publisher/Fulqrum%20Publishing" TargetMode="External"/><Relationship Id="rId194" Type="http://schemas.openxmlformats.org/officeDocument/2006/relationships/hyperlink" Target="https://playway.com/en/" TargetMode="External"/><Relationship Id="rId193" Type="http://schemas.openxmlformats.org/officeDocument/2006/relationships/hyperlink" Target="https://gamalytic.com/publisher/MicroProse%20Software" TargetMode="External"/><Relationship Id="rId192" Type="http://schemas.openxmlformats.org/officeDocument/2006/relationships/hyperlink" Target="https://store.steampowered.com/publisher/microprose" TargetMode="External"/><Relationship Id="rId191" Type="http://schemas.openxmlformats.org/officeDocument/2006/relationships/hyperlink" Target="https://www.microprose.com/" TargetMode="External"/><Relationship Id="rId187" Type="http://schemas.openxmlformats.org/officeDocument/2006/relationships/hyperlink" Target="https://gamalytic.com/publisher/2P%20Games" TargetMode="External"/><Relationship Id="rId186" Type="http://schemas.openxmlformats.org/officeDocument/2006/relationships/hyperlink" Target="https://store.steampowered.com/publisher/2pgames" TargetMode="External"/><Relationship Id="rId185" Type="http://schemas.openxmlformats.org/officeDocument/2006/relationships/hyperlink" Target="http://www.linkedin.com/in/steven-zeng-648517a5" TargetMode="External"/><Relationship Id="rId184" Type="http://schemas.openxmlformats.org/officeDocument/2006/relationships/hyperlink" Target="https://2pgames.net/en/" TargetMode="External"/><Relationship Id="rId189" Type="http://schemas.openxmlformats.org/officeDocument/2006/relationships/hyperlink" Target="https://store.steampowered.com/franchise/FulqrumPublishing" TargetMode="External"/><Relationship Id="rId188" Type="http://schemas.openxmlformats.org/officeDocument/2006/relationships/hyperlink" Target="https://www.fulqrumpublishing.com/" TargetMode="External"/><Relationship Id="rId183" Type="http://schemas.openxmlformats.org/officeDocument/2006/relationships/hyperlink" Target="https://gamalytic.com/publisher/Gamera%20Games" TargetMode="External"/><Relationship Id="rId182" Type="http://schemas.openxmlformats.org/officeDocument/2006/relationships/hyperlink" Target="https://store.steampowered.com/publisher/gamirrorgames" TargetMode="External"/><Relationship Id="rId181" Type="http://schemas.openxmlformats.org/officeDocument/2006/relationships/hyperlink" Target="https://jp.linkedin.com/in/uzuki" TargetMode="External"/><Relationship Id="rId180" Type="http://schemas.openxmlformats.org/officeDocument/2006/relationships/hyperlink" Target="https://www.gamirrorgames.com/contact" TargetMode="External"/><Relationship Id="rId176" Type="http://schemas.openxmlformats.org/officeDocument/2006/relationships/hyperlink" Target="https://www.linkedin.com/in/ziya-wei-ab5ba941a/" TargetMode="External"/><Relationship Id="rId175" Type="http://schemas.openxmlformats.org/officeDocument/2006/relationships/hyperlink" Target="https://forms.clickup.com/p/f/2axdz-601/81QBJSB3SI99Q4WU8S/project-submission" TargetMode="External"/><Relationship Id="rId174" Type="http://schemas.openxmlformats.org/officeDocument/2006/relationships/hyperlink" Target="https://5icube.com/index.html" TargetMode="External"/><Relationship Id="rId173" Type="http://schemas.openxmlformats.org/officeDocument/2006/relationships/hyperlink" Target="https://store.steampowered.com/publisher/Playism" TargetMode="External"/><Relationship Id="rId179" Type="http://schemas.openxmlformats.org/officeDocument/2006/relationships/hyperlink" Target="https://www.gamirrorgames.com/" TargetMode="External"/><Relationship Id="rId178" Type="http://schemas.openxmlformats.org/officeDocument/2006/relationships/hyperlink" Target="https://gamalytic.com/publisher/%E6%96%B9%E5%9D%97%E6%B8%B8%E6%88%8F%20(CubeGame)" TargetMode="External"/><Relationship Id="rId177" Type="http://schemas.openxmlformats.org/officeDocument/2006/relationships/hyperlink" Target="https://store.steampowered.com/developer/CubeGame" TargetMode="External"/><Relationship Id="rId198" Type="http://schemas.openxmlformats.org/officeDocument/2006/relationships/hyperlink" Target="https://www.rokaplay.com/home" TargetMode="External"/><Relationship Id="rId197" Type="http://schemas.openxmlformats.org/officeDocument/2006/relationships/hyperlink" Target="https://gamalytic.com/publisher/PlayWay%20S.A." TargetMode="External"/><Relationship Id="rId196" Type="http://schemas.openxmlformats.org/officeDocument/2006/relationships/hyperlink" Target="https://store.steampowered.com/developer/playway" TargetMode="External"/><Relationship Id="rId195" Type="http://schemas.openxmlformats.org/officeDocument/2006/relationships/hyperlink" Target="https://playway.com/en/fordevelopers" TargetMode="External"/><Relationship Id="rId199" Type="http://schemas.openxmlformats.org/officeDocument/2006/relationships/hyperlink" Target="https://form.asana.com/?hash=bf71a1c626d56f46682e1c2fd3c288becaf9bd530a6b5e697186a0f2c7175ec5&amp;id=1182547895946643" TargetMode="External"/><Relationship Id="rId150" Type="http://schemas.openxmlformats.org/officeDocument/2006/relationships/hyperlink" Target="https://www.linkedin.com/in/maartenjanello/" TargetMode="External"/><Relationship Id="rId392" Type="http://schemas.openxmlformats.org/officeDocument/2006/relationships/hyperlink" Target="https://store.steampowered.com/publisher/tophatstudios/" TargetMode="External"/><Relationship Id="rId391" Type="http://schemas.openxmlformats.org/officeDocument/2006/relationships/hyperlink" Target="https://tophat.studio/publishing.html" TargetMode="External"/><Relationship Id="rId390" Type="http://schemas.openxmlformats.org/officeDocument/2006/relationships/hyperlink" Target="https://tophat.studio"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aerosoft.com/" TargetMode="External"/><Relationship Id="rId4" Type="http://schemas.openxmlformats.org/officeDocument/2006/relationships/hyperlink" Target="https://www.paradoxinteractive.com/our-games/discover" TargetMode="External"/><Relationship Id="rId148" Type="http://schemas.openxmlformats.org/officeDocument/2006/relationships/hyperlink" Target="https://gamalytic.com/publisher/Secret%20Mode" TargetMode="External"/><Relationship Id="rId9" Type="http://schemas.openxmlformats.org/officeDocument/2006/relationships/hyperlink" Target="https://www.coffeestainpublishing.com/" TargetMode="External"/><Relationship Id="rId143" Type="http://schemas.openxmlformats.org/officeDocument/2006/relationships/hyperlink" Target="https://gamalytic.com/publisher/Panic" TargetMode="External"/><Relationship Id="rId385" Type="http://schemas.openxmlformats.org/officeDocument/2006/relationships/hyperlink" Target="https://gamalytic.com/publisher/Goblinz%20Publishing" TargetMode="External"/><Relationship Id="rId142" Type="http://schemas.openxmlformats.org/officeDocument/2006/relationships/hyperlink" Target="https://store.steampowered.com/publisher/Panic" TargetMode="External"/><Relationship Id="rId384" Type="http://schemas.openxmlformats.org/officeDocument/2006/relationships/hyperlink" Target="https://store.steampowered.com/dev/goblinz_publishing" TargetMode="External"/><Relationship Id="rId141" Type="http://schemas.openxmlformats.org/officeDocument/2006/relationships/hyperlink" Target="https://www.linkedin.com/in/nsuttner/" TargetMode="External"/><Relationship Id="rId383" Type="http://schemas.openxmlformats.org/officeDocument/2006/relationships/hyperlink" Target="https://www.linkedin.com/in/johannverbroucht/" TargetMode="External"/><Relationship Id="rId140" Type="http://schemas.openxmlformats.org/officeDocument/2006/relationships/hyperlink" Target="https://panic.com/" TargetMode="External"/><Relationship Id="rId382" Type="http://schemas.openxmlformats.org/officeDocument/2006/relationships/hyperlink" Target="https://goblinzstudio.com/publishing/" TargetMode="External"/><Relationship Id="rId5" Type="http://schemas.openxmlformats.org/officeDocument/2006/relationships/hyperlink" Target="https://www.paradoxinteractive.com/contact/pitch-your-game-to-paradox" TargetMode="External"/><Relationship Id="rId147" Type="http://schemas.openxmlformats.org/officeDocument/2006/relationships/hyperlink" Target="https://store.steampowered.com/publisher/SecretMode" TargetMode="External"/><Relationship Id="rId389" Type="http://schemas.openxmlformats.org/officeDocument/2006/relationships/hyperlink" Target="https://gamalytic.com/publisher/Playtonic%20Friends" TargetMode="External"/><Relationship Id="rId6" Type="http://schemas.openxmlformats.org/officeDocument/2006/relationships/hyperlink" Target="https://www.paradoxinteractive.com/contact/pitch-your-game-to-paradox" TargetMode="External"/><Relationship Id="rId146" Type="http://schemas.openxmlformats.org/officeDocument/2006/relationships/hyperlink" Target="https://www.linkedin.com/in/joshua-garrity-261a6148/" TargetMode="External"/><Relationship Id="rId388" Type="http://schemas.openxmlformats.org/officeDocument/2006/relationships/hyperlink" Target="https://store.steampowered.com/publisher/PlaytonicFriends" TargetMode="External"/><Relationship Id="rId7" Type="http://schemas.openxmlformats.org/officeDocument/2006/relationships/hyperlink" Target="https://store.steampowered.com/developer/paradoxinteractive" TargetMode="External"/><Relationship Id="rId145" Type="http://schemas.openxmlformats.org/officeDocument/2006/relationships/hyperlink" Target="https://wearesecretmode.com/publishing" TargetMode="External"/><Relationship Id="rId387" Type="http://schemas.openxmlformats.org/officeDocument/2006/relationships/hyperlink" Target="https://www.linkedin.com/in/oliver-smith-a3122982/" TargetMode="External"/><Relationship Id="rId8" Type="http://schemas.openxmlformats.org/officeDocument/2006/relationships/hyperlink" Target="https://gamalytic.com/publisher/Paradox%20Interactive" TargetMode="External"/><Relationship Id="rId144" Type="http://schemas.openxmlformats.org/officeDocument/2006/relationships/hyperlink" Target="https://wearesecretmode.com/" TargetMode="External"/><Relationship Id="rId386" Type="http://schemas.openxmlformats.org/officeDocument/2006/relationships/hyperlink" Target="https://www.playtonicgames.com/" TargetMode="External"/><Relationship Id="rId381" Type="http://schemas.openxmlformats.org/officeDocument/2006/relationships/hyperlink" Target="https://goblinzstudio.com/" TargetMode="External"/><Relationship Id="rId380" Type="http://schemas.openxmlformats.org/officeDocument/2006/relationships/hyperlink" Target="https://gamalytic.com/publisher/Pretty%20Soon" TargetMode="External"/><Relationship Id="rId139" Type="http://schemas.openxmlformats.org/officeDocument/2006/relationships/hyperlink" Target="https://gamalytic.com/publisher/Raw%20Fury" TargetMode="External"/><Relationship Id="rId138" Type="http://schemas.openxmlformats.org/officeDocument/2006/relationships/hyperlink" Target="https://store.steampowered.com/publisher/rawfury" TargetMode="External"/><Relationship Id="rId137" Type="http://schemas.openxmlformats.org/officeDocument/2006/relationships/hyperlink" Target="https://www.linkedin.com/in/jtoresson/" TargetMode="External"/><Relationship Id="rId379" Type="http://schemas.openxmlformats.org/officeDocument/2006/relationships/hyperlink" Target="https://store.steampowered.com/publisher/prettysoon" TargetMode="External"/><Relationship Id="rId132" Type="http://schemas.openxmlformats.org/officeDocument/2006/relationships/hyperlink" Target="https://store.steampowered.com/publisher/daedalic" TargetMode="External"/><Relationship Id="rId374" Type="http://schemas.openxmlformats.org/officeDocument/2006/relationships/hyperlink" Target="https://store.steampowered.com/publisher/h2interactive" TargetMode="External"/><Relationship Id="rId131" Type="http://schemas.openxmlformats.org/officeDocument/2006/relationships/hyperlink" Target="https://www.linkedin.com/in/jonas-h%C3%BCsges-206612164/" TargetMode="External"/><Relationship Id="rId373" Type="http://schemas.openxmlformats.org/officeDocument/2006/relationships/hyperlink" Target="http://www.h2int.com/" TargetMode="External"/><Relationship Id="rId130" Type="http://schemas.openxmlformats.org/officeDocument/2006/relationships/hyperlink" Target="https://www.daedalic.com/" TargetMode="External"/><Relationship Id="rId372" Type="http://schemas.openxmlformats.org/officeDocument/2006/relationships/hyperlink" Target="https://gamalytic.com/publisher/Firesquid" TargetMode="External"/><Relationship Id="rId371" Type="http://schemas.openxmlformats.org/officeDocument/2006/relationships/hyperlink" Target="https://store.steampowered.com/publisher/firesquid" TargetMode="External"/><Relationship Id="rId136" Type="http://schemas.openxmlformats.org/officeDocument/2006/relationships/hyperlink" Target="https://form.asana.com/?k=SF4rPk6Y5L-NFSrVml5JOg&amp;d=1123805143377851" TargetMode="External"/><Relationship Id="rId378" Type="http://schemas.openxmlformats.org/officeDocument/2006/relationships/hyperlink" Target="https://www.linkedin.com/in/krzysztof-masternak/?locale=en_US" TargetMode="External"/><Relationship Id="rId135" Type="http://schemas.openxmlformats.org/officeDocument/2006/relationships/hyperlink" Target="https://rawfury.com/talk/" TargetMode="External"/><Relationship Id="rId377" Type="http://schemas.openxmlformats.org/officeDocument/2006/relationships/hyperlink" Target="https://docs.google.com/presentation/d/1cPGGyCFQXaeOEAhcDcwL_16CHzMX0qru_YIumn7hhss/edit" TargetMode="External"/><Relationship Id="rId134" Type="http://schemas.openxmlformats.org/officeDocument/2006/relationships/hyperlink" Target="https://rawfury.com/" TargetMode="External"/><Relationship Id="rId376" Type="http://schemas.openxmlformats.org/officeDocument/2006/relationships/hyperlink" Target="https://www.prettysoon.games/" TargetMode="External"/><Relationship Id="rId133" Type="http://schemas.openxmlformats.org/officeDocument/2006/relationships/hyperlink" Target="https://gamalytic.com/publisher/Daedalic%20Entertainment" TargetMode="External"/><Relationship Id="rId375" Type="http://schemas.openxmlformats.org/officeDocument/2006/relationships/hyperlink" Target="https://gamalytic.com/publisher/H2%20Interactive%20Co.,%20Ltd." TargetMode="External"/><Relationship Id="rId172" Type="http://schemas.openxmlformats.org/officeDocument/2006/relationships/hyperlink" Target="https://playism.com/en/contact/" TargetMode="External"/><Relationship Id="rId171" Type="http://schemas.openxmlformats.org/officeDocument/2006/relationships/hyperlink" Target="https://playism.com/en/" TargetMode="External"/><Relationship Id="rId170" Type="http://schemas.openxmlformats.org/officeDocument/2006/relationships/hyperlink" Target="https://gamalytic.com/publisher/IndieArk" TargetMode="External"/><Relationship Id="rId165" Type="http://schemas.openxmlformats.org/officeDocument/2006/relationships/hyperlink" Target="https://store.steampowered.com/publisher/Slitherine" TargetMode="External"/><Relationship Id="rId164" Type="http://schemas.openxmlformats.org/officeDocument/2006/relationships/hyperlink" Target="https://www.linkedin.com/in/alberto-casulini-06015b12b/" TargetMode="External"/><Relationship Id="rId163" Type="http://schemas.openxmlformats.org/officeDocument/2006/relationships/hyperlink" Target="https://www.slitherine.com/" TargetMode="External"/><Relationship Id="rId162" Type="http://schemas.openxmlformats.org/officeDocument/2006/relationships/hyperlink" Target="https://gamalytic.com/publisher/Curve%20Games" TargetMode="External"/><Relationship Id="rId169" Type="http://schemas.openxmlformats.org/officeDocument/2006/relationships/hyperlink" Target="https://store.steampowered.com/publisher/IndieArk" TargetMode="External"/><Relationship Id="rId168" Type="http://schemas.openxmlformats.org/officeDocument/2006/relationships/hyperlink" Target="https://www.linkedin.com/in/kevin-ye-634284215/" TargetMode="External"/><Relationship Id="rId167" Type="http://schemas.openxmlformats.org/officeDocument/2006/relationships/hyperlink" Target="https://www.indieark.com/en/" TargetMode="External"/><Relationship Id="rId166" Type="http://schemas.openxmlformats.org/officeDocument/2006/relationships/hyperlink" Target="https://gamalytic.com/publisher/Slitherine%20Ltd." TargetMode="External"/><Relationship Id="rId161" Type="http://schemas.openxmlformats.org/officeDocument/2006/relationships/hyperlink" Target="https://store.steampowered.com/publisher/curvedigital" TargetMode="External"/><Relationship Id="rId160" Type="http://schemas.openxmlformats.org/officeDocument/2006/relationships/hyperlink" Target="https://www.linkedin.com/in/bradleycrooks/" TargetMode="External"/><Relationship Id="rId159" Type="http://schemas.openxmlformats.org/officeDocument/2006/relationships/hyperlink" Target="https://curvegames.com/contact/im-a-developer/" TargetMode="External"/><Relationship Id="rId154" Type="http://schemas.openxmlformats.org/officeDocument/2006/relationships/hyperlink" Target="https://www.tinybuild.com/how-to-pitch-your-game" TargetMode="External"/><Relationship Id="rId396" Type="http://schemas.openxmlformats.org/officeDocument/2006/relationships/hyperlink" Target="https://www.linkedin.com/in/george-perkins/" TargetMode="External"/><Relationship Id="rId153" Type="http://schemas.openxmlformats.org/officeDocument/2006/relationships/hyperlink" Target="https://www.tinybuild.com/" TargetMode="External"/><Relationship Id="rId395" Type="http://schemas.openxmlformats.org/officeDocument/2006/relationships/hyperlink" Target="mailto:publishmygame@superraregames.com" TargetMode="External"/><Relationship Id="rId152" Type="http://schemas.openxmlformats.org/officeDocument/2006/relationships/hyperlink" Target="https://gamalytic.com/publisher/Aerosoft%20GmbH" TargetMode="External"/><Relationship Id="rId394" Type="http://schemas.openxmlformats.org/officeDocument/2006/relationships/hyperlink" Target="https://www.superrareoriginals.com/" TargetMode="External"/><Relationship Id="rId151" Type="http://schemas.openxmlformats.org/officeDocument/2006/relationships/hyperlink" Target="https://store.steampowered.com/publisher/aerosoft" TargetMode="External"/><Relationship Id="rId393" Type="http://schemas.openxmlformats.org/officeDocument/2006/relationships/hyperlink" Target="https://gamalytic.com/publisher/Top%20Hat%20Studios,%20Inc." TargetMode="External"/><Relationship Id="rId158" Type="http://schemas.openxmlformats.org/officeDocument/2006/relationships/hyperlink" Target="https://curvegames.com/" TargetMode="External"/><Relationship Id="rId157" Type="http://schemas.openxmlformats.org/officeDocument/2006/relationships/hyperlink" Target="https://gamalytic.com/publisher/tinyBuild" TargetMode="External"/><Relationship Id="rId399" Type="http://schemas.openxmlformats.org/officeDocument/2006/relationships/hyperlink" Target="https://dangenentertainment.com/" TargetMode="External"/><Relationship Id="rId156" Type="http://schemas.openxmlformats.org/officeDocument/2006/relationships/hyperlink" Target="https://store.steampowered.com/developer/tinybuild/" TargetMode="External"/><Relationship Id="rId398" Type="http://schemas.openxmlformats.org/officeDocument/2006/relationships/hyperlink" Target="https://gamalytic.com/publisher/Super%20Rare%20Originals" TargetMode="External"/><Relationship Id="rId155" Type="http://schemas.openxmlformats.org/officeDocument/2006/relationships/hyperlink" Target="https://www.linkedin.com/in/tom-brien-034aa23b/" TargetMode="External"/><Relationship Id="rId397" Type="http://schemas.openxmlformats.org/officeDocument/2006/relationships/hyperlink" Target="https://store.steampowered.com/publisher/SUPERRAREGAMES" TargetMode="External"/><Relationship Id="rId808" Type="http://schemas.openxmlformats.org/officeDocument/2006/relationships/hyperlink" Target="https://firestoke.games/developers/" TargetMode="External"/><Relationship Id="rId807" Type="http://schemas.openxmlformats.org/officeDocument/2006/relationships/hyperlink" Target="http://firestoke.games/the-pillars-of-a-firestoke-game/" TargetMode="External"/><Relationship Id="rId806" Type="http://schemas.openxmlformats.org/officeDocument/2006/relationships/hyperlink" Target="http://firestoke.games" TargetMode="External"/><Relationship Id="rId805" Type="http://schemas.openxmlformats.org/officeDocument/2006/relationships/hyperlink" Target="https://gamalytic.com/publisher/Modern%20Wolf" TargetMode="External"/><Relationship Id="rId809" Type="http://schemas.openxmlformats.org/officeDocument/2006/relationships/hyperlink" Target="https://www.linkedin.com/in/s-omar-khalil-98817277/" TargetMode="External"/><Relationship Id="rId800" Type="http://schemas.openxmlformats.org/officeDocument/2006/relationships/hyperlink" Target="https://store.steampowered.com/publisher/plug-in-digital" TargetMode="External"/><Relationship Id="rId804" Type="http://schemas.openxmlformats.org/officeDocument/2006/relationships/hyperlink" Target="https://store.steampowered.com/publisher/ModernWolf" TargetMode="External"/><Relationship Id="rId803" Type="http://schemas.openxmlformats.org/officeDocument/2006/relationships/hyperlink" Target="https://modernwolf.net/get-in-touch" TargetMode="External"/><Relationship Id="rId802" Type="http://schemas.openxmlformats.org/officeDocument/2006/relationships/hyperlink" Target="https://modernwolf.net/" TargetMode="External"/><Relationship Id="rId801" Type="http://schemas.openxmlformats.org/officeDocument/2006/relationships/hyperlink" Target="https://gamalytic.com/publisher/PID%20Games" TargetMode="External"/><Relationship Id="rId40" Type="http://schemas.openxmlformats.org/officeDocument/2006/relationships/hyperlink" Target="https://collective.square-enix-games.com/en_GB/contact" TargetMode="External"/><Relationship Id="rId42" Type="http://schemas.openxmlformats.org/officeDocument/2006/relationships/hyperlink" Target="https://store.steampowered.com/developer/squareenix" TargetMode="External"/><Relationship Id="rId41" Type="http://schemas.openxmlformats.org/officeDocument/2006/relationships/hyperlink" Target="https://www.linkedin.com/in/csillabudai/" TargetMode="External"/><Relationship Id="rId44" Type="http://schemas.openxmlformats.org/officeDocument/2006/relationships/hyperlink" Target="https://store.steampowered.com/publisher/bilibili" TargetMode="External"/><Relationship Id="rId43" Type="http://schemas.openxmlformats.org/officeDocument/2006/relationships/hyperlink" Target="https://gamalytic.com/publisher/Square%20Enix" TargetMode="External"/><Relationship Id="rId46" Type="http://schemas.openxmlformats.org/officeDocument/2006/relationships/hyperlink" Target="https://gamalytic.com/publisher/bilibili" TargetMode="External"/><Relationship Id="rId45" Type="http://schemas.openxmlformats.org/officeDocument/2006/relationships/hyperlink" Target="https://store.steampowered.com/publisher/bilibili" TargetMode="External"/><Relationship Id="rId509" Type="http://schemas.openxmlformats.org/officeDocument/2006/relationships/hyperlink" Target="https://lnk.bio/AssembleEntertainment" TargetMode="External"/><Relationship Id="rId508" Type="http://schemas.openxmlformats.org/officeDocument/2006/relationships/hyperlink" Target="https://gamalytic.com/publisher/PQube" TargetMode="External"/><Relationship Id="rId503" Type="http://schemas.openxmlformats.org/officeDocument/2006/relationships/hyperlink" Target="https://gamalytic.com/publisher/Crunching%20Koalas" TargetMode="External"/><Relationship Id="rId745" Type="http://schemas.openxmlformats.org/officeDocument/2006/relationships/hyperlink" Target="https://store.steampowered.com/publisher/HumbleGames" TargetMode="External"/><Relationship Id="rId502" Type="http://schemas.openxmlformats.org/officeDocument/2006/relationships/hyperlink" Target="https://store.steampowered.com/publisher/CrunchingKoalas" TargetMode="External"/><Relationship Id="rId744" Type="http://schemas.openxmlformats.org/officeDocument/2006/relationships/hyperlink" Target="https://www.linkedin.com/in/jonnymerritt/" TargetMode="External"/><Relationship Id="rId501" Type="http://schemas.openxmlformats.org/officeDocument/2006/relationships/hyperlink" Target="http://crunchingkoalas.com/" TargetMode="External"/><Relationship Id="rId743" Type="http://schemas.openxmlformats.org/officeDocument/2006/relationships/hyperlink" Target="https://humblebundleorg2022.my.site.com/SubmissionFormPortal/s/game-submission-form" TargetMode="External"/><Relationship Id="rId500" Type="http://schemas.openxmlformats.org/officeDocument/2006/relationships/hyperlink" Target="https://gamalytic.com/publisher/Double%20Eleven" TargetMode="External"/><Relationship Id="rId742" Type="http://schemas.openxmlformats.org/officeDocument/2006/relationships/hyperlink" Target="https://www.humblegames.com/submit-a-game/" TargetMode="External"/><Relationship Id="rId507" Type="http://schemas.openxmlformats.org/officeDocument/2006/relationships/hyperlink" Target="https://store.steampowered.com/publisher/PQube" TargetMode="External"/><Relationship Id="rId749" Type="http://schemas.openxmlformats.org/officeDocument/2006/relationships/hyperlink" Target="https://store.steampowered.com/publisher/PrivateDivision" TargetMode="External"/><Relationship Id="rId506" Type="http://schemas.openxmlformats.org/officeDocument/2006/relationships/hyperlink" Target="https://www.linkedin.com/in/ariel-hui-yu-p-65214989/" TargetMode="External"/><Relationship Id="rId748" Type="http://schemas.openxmlformats.org/officeDocument/2006/relationships/hyperlink" Target="https://www.linkedin.com/in/blakerochkind/" TargetMode="External"/><Relationship Id="rId505" Type="http://schemas.openxmlformats.org/officeDocument/2006/relationships/hyperlink" Target="https://pqube.co.uk/submit-a-game/" TargetMode="External"/><Relationship Id="rId747" Type="http://schemas.openxmlformats.org/officeDocument/2006/relationships/hyperlink" Target="https://www.privatedivision.com/" TargetMode="External"/><Relationship Id="rId504" Type="http://schemas.openxmlformats.org/officeDocument/2006/relationships/hyperlink" Target="https://pqube.co.uk/" TargetMode="External"/><Relationship Id="rId746" Type="http://schemas.openxmlformats.org/officeDocument/2006/relationships/hyperlink" Target="https://gamalytic.com/publisher/Humble%20Games" TargetMode="External"/><Relationship Id="rId48" Type="http://schemas.openxmlformats.org/officeDocument/2006/relationships/hyperlink" Target="https://www.linkedin.com/in/orangeqi/" TargetMode="External"/><Relationship Id="rId47" Type="http://schemas.openxmlformats.org/officeDocument/2006/relationships/hyperlink" Target="https://www.bhvr.com/" TargetMode="External"/><Relationship Id="rId49" Type="http://schemas.openxmlformats.org/officeDocument/2006/relationships/hyperlink" Target="https://store.steampowered.com/curator/33367148" TargetMode="External"/><Relationship Id="rId741" Type="http://schemas.openxmlformats.org/officeDocument/2006/relationships/hyperlink" Target="https://www.humblegames.com/" TargetMode="External"/><Relationship Id="rId740" Type="http://schemas.openxmlformats.org/officeDocument/2006/relationships/hyperlink" Target="https://gamalytic.com/publisher/Gearbox%20Publishing" TargetMode="External"/><Relationship Id="rId31" Type="http://schemas.openxmlformats.org/officeDocument/2006/relationships/hyperlink" Target="https://gamalytic.com/publisher/Playstack" TargetMode="External"/><Relationship Id="rId30" Type="http://schemas.openxmlformats.org/officeDocument/2006/relationships/hyperlink" Target="https://store.steampowered.com/publisher/Playstack" TargetMode="External"/><Relationship Id="rId33" Type="http://schemas.openxmlformats.org/officeDocument/2006/relationships/hyperlink" Target="https://11bitstudios.com/publishing/" TargetMode="External"/><Relationship Id="rId32" Type="http://schemas.openxmlformats.org/officeDocument/2006/relationships/hyperlink" Target="https://11bitstudios.com/" TargetMode="External"/><Relationship Id="rId35" Type="http://schemas.openxmlformats.org/officeDocument/2006/relationships/hyperlink" Target="https://www.linkedin.com/in/chris-wigley-828356209/" TargetMode="External"/><Relationship Id="rId34" Type="http://schemas.openxmlformats.org/officeDocument/2006/relationships/hyperlink" Target="https://11bitstudios.com/submit-your-game/" TargetMode="External"/><Relationship Id="rId739" Type="http://schemas.openxmlformats.org/officeDocument/2006/relationships/hyperlink" Target="https://store.steampowered.com/curator/35646051-Gearbox-Publishing" TargetMode="External"/><Relationship Id="rId734" Type="http://schemas.openxmlformats.org/officeDocument/2006/relationships/hyperlink" Target="https://withvendetta.com/featured/settlethescore/" TargetMode="External"/><Relationship Id="rId733" Type="http://schemas.openxmlformats.org/officeDocument/2006/relationships/hyperlink" Target="https://withvendetta.com/" TargetMode="External"/><Relationship Id="rId732" Type="http://schemas.openxmlformats.org/officeDocument/2006/relationships/hyperlink" Target="https://store.steampowered.com/publisher/midwest_games" TargetMode="External"/><Relationship Id="rId731" Type="http://schemas.openxmlformats.org/officeDocument/2006/relationships/hyperlink" Target="https://www.midwestgames.com/services" TargetMode="External"/><Relationship Id="rId738" Type="http://schemas.openxmlformats.org/officeDocument/2006/relationships/hyperlink" Target="https://www.gearboxsoftware.com/contact/" TargetMode="External"/><Relationship Id="rId737" Type="http://schemas.openxmlformats.org/officeDocument/2006/relationships/hyperlink" Target="https://www.gearboxsoftware.com/" TargetMode="External"/><Relationship Id="rId736" Type="http://schemas.openxmlformats.org/officeDocument/2006/relationships/hyperlink" Target="https://www.linkedin.com/in/sophiesmart/" TargetMode="External"/><Relationship Id="rId735" Type="http://schemas.openxmlformats.org/officeDocument/2006/relationships/hyperlink" Target="https://www.blossomarcade.com/" TargetMode="External"/><Relationship Id="rId37" Type="http://schemas.openxmlformats.org/officeDocument/2006/relationships/hyperlink" Target="https://gamalytic.com/publisher/11%20bit%20studios" TargetMode="External"/><Relationship Id="rId36" Type="http://schemas.openxmlformats.org/officeDocument/2006/relationships/hyperlink" Target="https://store.steampowered.com/developer/11bitstudios" TargetMode="External"/><Relationship Id="rId39" Type="http://schemas.openxmlformats.org/officeDocument/2006/relationships/hyperlink" Target="https://collective.square-enix.com/" TargetMode="External"/><Relationship Id="rId38" Type="http://schemas.openxmlformats.org/officeDocument/2006/relationships/hyperlink" Target="https://collective.square-enix.com/" TargetMode="External"/><Relationship Id="rId730" Type="http://schemas.openxmlformats.org/officeDocument/2006/relationships/hyperlink" Target="https://www.midwestgames.com/" TargetMode="External"/><Relationship Id="rId20" Type="http://schemas.openxmlformats.org/officeDocument/2006/relationships/hyperlink" Target="https://www.linkedin.com/in/jamesgardineruk/" TargetMode="External"/><Relationship Id="rId22" Type="http://schemas.openxmlformats.org/officeDocument/2006/relationships/hyperlink" Target="https://gamalytic.com/publisher/Hooded%20Horse" TargetMode="External"/><Relationship Id="rId21" Type="http://schemas.openxmlformats.org/officeDocument/2006/relationships/hyperlink" Target="https://store.steampowered.com/publisher/HoodedHorse" TargetMode="External"/><Relationship Id="rId24" Type="http://schemas.openxmlformats.org/officeDocument/2006/relationships/hyperlink" Target="https://kepler-interactive.com/form" TargetMode="External"/><Relationship Id="rId23" Type="http://schemas.openxmlformats.org/officeDocument/2006/relationships/hyperlink" Target="https://kepler-interactive.com/" TargetMode="External"/><Relationship Id="rId525" Type="http://schemas.openxmlformats.org/officeDocument/2006/relationships/hyperlink" Target="https://store.steampowered.com/publisher/Erabit/" TargetMode="External"/><Relationship Id="rId767" Type="http://schemas.openxmlformats.org/officeDocument/2006/relationships/hyperlink" Target="https://store.steampowered.com/publisher/allingames" TargetMode="External"/><Relationship Id="rId524" Type="http://schemas.openxmlformats.org/officeDocument/2006/relationships/hyperlink" Target="https://www.linkedin.com/in/daisylock/" TargetMode="External"/><Relationship Id="rId766" Type="http://schemas.openxmlformats.org/officeDocument/2006/relationships/hyperlink" Target="https://www.allingames.com/submit-game/" TargetMode="External"/><Relationship Id="rId523" Type="http://schemas.openxmlformats.org/officeDocument/2006/relationships/hyperlink" Target="http://erabitstudios.com/" TargetMode="External"/><Relationship Id="rId765" Type="http://schemas.openxmlformats.org/officeDocument/2006/relationships/hyperlink" Target="https://www.allingames.com/" TargetMode="External"/><Relationship Id="rId522" Type="http://schemas.openxmlformats.org/officeDocument/2006/relationships/hyperlink" Target="https://gamalytic.com/publisher/Untold%20Tales" TargetMode="External"/><Relationship Id="rId764" Type="http://schemas.openxmlformats.org/officeDocument/2006/relationships/hyperlink" Target="https://gamalytic.com/publisher/Merge%20Games" TargetMode="External"/><Relationship Id="rId529" Type="http://schemas.openxmlformats.org/officeDocument/2006/relationships/hyperlink" Target="https://www.linkedin.com/in/daevo/" TargetMode="External"/><Relationship Id="rId528" Type="http://schemas.openxmlformats.org/officeDocument/2006/relationships/hyperlink" Target="https://www.akuparagames.com/contact-us/" TargetMode="External"/><Relationship Id="rId527" Type="http://schemas.openxmlformats.org/officeDocument/2006/relationships/hyperlink" Target="https://www.akuparagames.com/" TargetMode="External"/><Relationship Id="rId769" Type="http://schemas.openxmlformats.org/officeDocument/2006/relationships/hyperlink" Target="https://braceyourselfgames.com/" TargetMode="External"/><Relationship Id="rId526" Type="http://schemas.openxmlformats.org/officeDocument/2006/relationships/hyperlink" Target="https://gamalytic.com/publisher/Erabit" TargetMode="External"/><Relationship Id="rId768" Type="http://schemas.openxmlformats.org/officeDocument/2006/relationships/hyperlink" Target="https://gamalytic.com/publisher/All%20in!%20Games" TargetMode="External"/><Relationship Id="rId26" Type="http://schemas.openxmlformats.org/officeDocument/2006/relationships/hyperlink" Target="https://gamalytic.com/publisher/Kepler%20Interactive" TargetMode="External"/><Relationship Id="rId25" Type="http://schemas.openxmlformats.org/officeDocument/2006/relationships/hyperlink" Target="https://store.steampowered.com/publisher/kepler" TargetMode="External"/><Relationship Id="rId28" Type="http://schemas.openxmlformats.org/officeDocument/2006/relationships/hyperlink" Target="https://playstack.com/" TargetMode="External"/><Relationship Id="rId27" Type="http://schemas.openxmlformats.org/officeDocument/2006/relationships/hyperlink" Target="https://playstack.com/" TargetMode="External"/><Relationship Id="rId521" Type="http://schemas.openxmlformats.org/officeDocument/2006/relationships/hyperlink" Target="https://store.steampowered.com/publisher/untoldtales" TargetMode="External"/><Relationship Id="rId763" Type="http://schemas.openxmlformats.org/officeDocument/2006/relationships/hyperlink" Target="https://store.steampowered.com/publisher/MergeGames" TargetMode="External"/><Relationship Id="rId29" Type="http://schemas.openxmlformats.org/officeDocument/2006/relationships/hyperlink" Target="https://www.linkedin.com/in/naman-budhwar-958744145/" TargetMode="External"/><Relationship Id="rId520" Type="http://schemas.openxmlformats.org/officeDocument/2006/relationships/hyperlink" Target="https://www.linkedin.com/in/pawelskaba/" TargetMode="External"/><Relationship Id="rId762" Type="http://schemas.openxmlformats.org/officeDocument/2006/relationships/hyperlink" Target="https://www.mergegames.com/developers/submit/" TargetMode="External"/><Relationship Id="rId761" Type="http://schemas.openxmlformats.org/officeDocument/2006/relationships/hyperlink" Target="https://www.mergegames.com/developers/" TargetMode="External"/><Relationship Id="rId760" Type="http://schemas.openxmlformats.org/officeDocument/2006/relationships/hyperlink" Target="https://www.mergegames.com/" TargetMode="External"/><Relationship Id="rId11" Type="http://schemas.openxmlformats.org/officeDocument/2006/relationships/hyperlink" Target="https://www.linkedin.com/in/gustavnisser/" TargetMode="External"/><Relationship Id="rId10" Type="http://schemas.openxmlformats.org/officeDocument/2006/relationships/hyperlink" Target="https://coffeestain.com/publishing" TargetMode="External"/><Relationship Id="rId13" Type="http://schemas.openxmlformats.org/officeDocument/2006/relationships/hyperlink" Target="https://gamalytic.com/publisher/Coffee%20Stain%20Publishing" TargetMode="External"/><Relationship Id="rId12" Type="http://schemas.openxmlformats.org/officeDocument/2006/relationships/hyperlink" Target="https://store.steampowered.com/developer/coffeestain" TargetMode="External"/><Relationship Id="rId519" Type="http://schemas.openxmlformats.org/officeDocument/2006/relationships/hyperlink" Target="https://untoldtales.games/" TargetMode="External"/><Relationship Id="rId514" Type="http://schemas.openxmlformats.org/officeDocument/2006/relationships/hyperlink" Target="https://store.steampowered.com/publisher/Pantaloon?action=follow" TargetMode="External"/><Relationship Id="rId756" Type="http://schemas.openxmlformats.org/officeDocument/2006/relationships/hyperlink" Target="https://versusevil.com/submit-game/" TargetMode="External"/><Relationship Id="rId513" Type="http://schemas.openxmlformats.org/officeDocument/2006/relationships/hyperlink" Target="https://www.pantaloon.io/games" TargetMode="External"/><Relationship Id="rId755" Type="http://schemas.openxmlformats.org/officeDocument/2006/relationships/hyperlink" Target="https://versusevil.com/" TargetMode="External"/><Relationship Id="rId512" Type="http://schemas.openxmlformats.org/officeDocument/2006/relationships/hyperlink" Target="https://gamalytic.com/publisher/Assemble%20Entertainment" TargetMode="External"/><Relationship Id="rId754" Type="http://schemas.openxmlformats.org/officeDocument/2006/relationships/hyperlink" Target="https://gamalytic.com/publisher/Frontier%20Foundry" TargetMode="External"/><Relationship Id="rId511" Type="http://schemas.openxmlformats.org/officeDocument/2006/relationships/hyperlink" Target="https://store.steampowered.com/publisher/AssembleEntertainment" TargetMode="External"/><Relationship Id="rId753" Type="http://schemas.openxmlformats.org/officeDocument/2006/relationships/hyperlink" Target="https://store.steampowered.com/developer/FrontierDevelopments" TargetMode="External"/><Relationship Id="rId518" Type="http://schemas.openxmlformats.org/officeDocument/2006/relationships/hyperlink" Target="https://gamalytic.com/publisher/Mystic%20Forge" TargetMode="External"/><Relationship Id="rId517" Type="http://schemas.openxmlformats.org/officeDocument/2006/relationships/hyperlink" Target="https://store.steampowered.com/developer/MysticForge" TargetMode="External"/><Relationship Id="rId759" Type="http://schemas.openxmlformats.org/officeDocument/2006/relationships/hyperlink" Target="https://gamalytic.com/publisher/Versus%20Evil" TargetMode="External"/><Relationship Id="rId516" Type="http://schemas.openxmlformats.org/officeDocument/2006/relationships/hyperlink" Target="https://www.linkedin.com/in/koksiroj/" TargetMode="External"/><Relationship Id="rId758" Type="http://schemas.openxmlformats.org/officeDocument/2006/relationships/hyperlink" Target="https://store.steampowered.com/developer/VersusEvil/" TargetMode="External"/><Relationship Id="rId515" Type="http://schemas.openxmlformats.org/officeDocument/2006/relationships/hyperlink" Target="https://www.mysticforge.com/" TargetMode="External"/><Relationship Id="rId757" Type="http://schemas.openxmlformats.org/officeDocument/2006/relationships/hyperlink" Target="https://www.linkedin.com/in/lcj0025/" TargetMode="External"/><Relationship Id="rId15" Type="http://schemas.openxmlformats.org/officeDocument/2006/relationships/hyperlink" Target="https://www.linkedin.com/in/yves-le-yaouanq-b6539420/" TargetMode="External"/><Relationship Id="rId14" Type="http://schemas.openxmlformats.org/officeDocument/2006/relationships/hyperlink" Target="https://www.focus-entmt.com/en" TargetMode="External"/><Relationship Id="rId17" Type="http://schemas.openxmlformats.org/officeDocument/2006/relationships/hyperlink" Target="https://gamalytic.com/publisher/Focus%20Entertainment" TargetMode="External"/><Relationship Id="rId16" Type="http://schemas.openxmlformats.org/officeDocument/2006/relationships/hyperlink" Target="https://store.steampowered.com/developer/Focus" TargetMode="External"/><Relationship Id="rId19" Type="http://schemas.openxmlformats.org/officeDocument/2006/relationships/hyperlink" Target="https://hoodedhorse.com/developers/" TargetMode="External"/><Relationship Id="rId510" Type="http://schemas.openxmlformats.org/officeDocument/2006/relationships/hyperlink" Target="https://www.linkedin.com/in/jerome-zenker-3098b5119/" TargetMode="External"/><Relationship Id="rId752" Type="http://schemas.openxmlformats.org/officeDocument/2006/relationships/hyperlink" Target="https://www.linkedin.com/in/benjaminmjellis/" TargetMode="External"/><Relationship Id="rId18" Type="http://schemas.openxmlformats.org/officeDocument/2006/relationships/hyperlink" Target="https://hoodedhorse.com/" TargetMode="External"/><Relationship Id="rId751" Type="http://schemas.openxmlformats.org/officeDocument/2006/relationships/hyperlink" Target="https://www.frontier.co.uk/foundry" TargetMode="External"/><Relationship Id="rId750" Type="http://schemas.openxmlformats.org/officeDocument/2006/relationships/hyperlink" Target="https://gamalytic.com/publisher/Private%20Division" TargetMode="External"/><Relationship Id="rId84" Type="http://schemas.openxmlformats.org/officeDocument/2006/relationships/hyperlink" Target="https://annapurnainteractive.com/en" TargetMode="External"/><Relationship Id="rId83" Type="http://schemas.openxmlformats.org/officeDocument/2006/relationships/hyperlink" Target="https://gamalytic.com/publisher/Dotemu" TargetMode="External"/><Relationship Id="rId86" Type="http://schemas.openxmlformats.org/officeDocument/2006/relationships/hyperlink" Target="https://gamalytic.com/publisher/Annapurna%20Interactive" TargetMode="External"/><Relationship Id="rId85" Type="http://schemas.openxmlformats.org/officeDocument/2006/relationships/hyperlink" Target="https://store.steampowered.com/publisher/annapurnainteractive" TargetMode="External"/><Relationship Id="rId88" Type="http://schemas.openxmlformats.org/officeDocument/2006/relationships/hyperlink" Target="https://www.linkedin.com/in/justin-carnahan/" TargetMode="External"/><Relationship Id="rId87" Type="http://schemas.openxmlformats.org/officeDocument/2006/relationships/hyperlink" Target="https://www.neowiz.com/" TargetMode="External"/><Relationship Id="rId89" Type="http://schemas.openxmlformats.org/officeDocument/2006/relationships/hyperlink" Target="https://store.steampowered.com/publisher/NEOWIZ" TargetMode="External"/><Relationship Id="rId709" Type="http://schemas.openxmlformats.org/officeDocument/2006/relationships/hyperlink" Target="http://www.caboodle.games" TargetMode="External"/><Relationship Id="rId708" Type="http://schemas.openxmlformats.org/officeDocument/2006/relationships/hyperlink" Target="https://gamalytic.com/publisher/Nejcraft" TargetMode="External"/><Relationship Id="rId707" Type="http://schemas.openxmlformats.org/officeDocument/2006/relationships/hyperlink" Target="https://store.steampowered.com/publisher/nejcraft" TargetMode="External"/><Relationship Id="rId706" Type="http://schemas.openxmlformats.org/officeDocument/2006/relationships/hyperlink" Target="https://www.linkedin.com/in/jan-patrovsk%C3%BD-857903217/" TargetMode="External"/><Relationship Id="rId80" Type="http://schemas.openxmlformats.org/officeDocument/2006/relationships/hyperlink" Target="https://www.dotemu.com/contact/" TargetMode="External"/><Relationship Id="rId82" Type="http://schemas.openxmlformats.org/officeDocument/2006/relationships/hyperlink" Target="https://store.steampowered.com/publisher/Dotemu" TargetMode="External"/><Relationship Id="rId81" Type="http://schemas.openxmlformats.org/officeDocument/2006/relationships/hyperlink" Target="https://twitter.com/Julien_Chvt" TargetMode="External"/><Relationship Id="rId701" Type="http://schemas.openxmlformats.org/officeDocument/2006/relationships/hyperlink" Target="https://www.humanqube.games/" TargetMode="External"/><Relationship Id="rId700" Type="http://schemas.openxmlformats.org/officeDocument/2006/relationships/hyperlink" Target="https://gamalytic.com/publisher/popagenda" TargetMode="External"/><Relationship Id="rId705" Type="http://schemas.openxmlformats.org/officeDocument/2006/relationships/hyperlink" Target="https://nejcraft.cz/publishing" TargetMode="External"/><Relationship Id="rId704" Type="http://schemas.openxmlformats.org/officeDocument/2006/relationships/hyperlink" Target="https://nejcraft.cz/" TargetMode="External"/><Relationship Id="rId703" Type="http://schemas.openxmlformats.org/officeDocument/2006/relationships/hyperlink" Target="https://gamalytic.com/publisher/Human%20Qube%20Games" TargetMode="External"/><Relationship Id="rId702" Type="http://schemas.openxmlformats.org/officeDocument/2006/relationships/hyperlink" Target="https://store.steampowered.com/curator/45063983-Human-Qube-Games/" TargetMode="External"/><Relationship Id="rId73" Type="http://schemas.openxmlformats.org/officeDocument/2006/relationships/hyperlink" Target="https://www.team17.com/" TargetMode="External"/><Relationship Id="rId72" Type="http://schemas.openxmlformats.org/officeDocument/2006/relationships/hyperlink" Target="https://gamalytic.com/publisher/Chucklefish" TargetMode="External"/><Relationship Id="rId75" Type="http://schemas.openxmlformats.org/officeDocument/2006/relationships/hyperlink" Target="https://www.team17.com/submit-game/submit/" TargetMode="External"/><Relationship Id="rId74" Type="http://schemas.openxmlformats.org/officeDocument/2006/relationships/hyperlink" Target="https://www.team17.com/submit-game/" TargetMode="External"/><Relationship Id="rId77" Type="http://schemas.openxmlformats.org/officeDocument/2006/relationships/hyperlink" Target="https://store.steampowered.com/developer/Team17" TargetMode="External"/><Relationship Id="rId76" Type="http://schemas.openxmlformats.org/officeDocument/2006/relationships/hyperlink" Target="https://www.linkedin.com/in/benjaminmjellis/" TargetMode="External"/><Relationship Id="rId79" Type="http://schemas.openxmlformats.org/officeDocument/2006/relationships/hyperlink" Target="https://www.dotemu.com/" TargetMode="External"/><Relationship Id="rId78" Type="http://schemas.openxmlformats.org/officeDocument/2006/relationships/hyperlink" Target="https://gamalytic.com/publisher/Team17" TargetMode="External"/><Relationship Id="rId71" Type="http://schemas.openxmlformats.org/officeDocument/2006/relationships/hyperlink" Target="https://store.steampowered.com/developer/chucklefish" TargetMode="External"/><Relationship Id="rId70" Type="http://schemas.openxmlformats.org/officeDocument/2006/relationships/hyperlink" Target="https://www.linkedin.com/in/katyellis/" TargetMode="External"/><Relationship Id="rId62" Type="http://schemas.openxmlformats.org/officeDocument/2006/relationships/hyperlink" Target="https://gamalytic.com/publisher/Marvelous%20Europe" TargetMode="External"/><Relationship Id="rId61" Type="http://schemas.openxmlformats.org/officeDocument/2006/relationships/hyperlink" Target="https://store.steampowered.com/developer/MarvelousEurope" TargetMode="External"/><Relationship Id="rId64" Type="http://schemas.openxmlformats.org/officeDocument/2006/relationships/hyperlink" Target="https://about.my.games/publishing" TargetMode="External"/><Relationship Id="rId63" Type="http://schemas.openxmlformats.org/officeDocument/2006/relationships/hyperlink" Target="https://my.games/" TargetMode="External"/><Relationship Id="rId66" Type="http://schemas.openxmlformats.org/officeDocument/2006/relationships/hyperlink" Target="https://gamalytic.com/publisher/MY.GAMES" TargetMode="External"/><Relationship Id="rId65" Type="http://schemas.openxmlformats.org/officeDocument/2006/relationships/hyperlink" Target="https://store.steampowered.com/publisher/mygames" TargetMode="External"/><Relationship Id="rId68" Type="http://schemas.openxmlformats.org/officeDocument/2006/relationships/hyperlink" Target="https://chucklefish.org/publishing-with-chucklefish/" TargetMode="External"/><Relationship Id="rId67" Type="http://schemas.openxmlformats.org/officeDocument/2006/relationships/hyperlink" Target="https://chucklefish.org/" TargetMode="External"/><Relationship Id="rId729" Type="http://schemas.openxmlformats.org/officeDocument/2006/relationships/hyperlink" Target="https://gamalytic.com/publisher/CriticalLeap" TargetMode="External"/><Relationship Id="rId728" Type="http://schemas.openxmlformats.org/officeDocument/2006/relationships/hyperlink" Target="https://store.steampowered.com/publisher/nuuvem" TargetMode="External"/><Relationship Id="rId60" Type="http://schemas.openxmlformats.org/officeDocument/2006/relationships/hyperlink" Target="https://www.linkedin.com/in/sjeburns/" TargetMode="External"/><Relationship Id="rId723" Type="http://schemas.openxmlformats.org/officeDocument/2006/relationships/hyperlink" Target="https://gamalytic.com/publisher/ESDigital%20Games" TargetMode="External"/><Relationship Id="rId722" Type="http://schemas.openxmlformats.org/officeDocument/2006/relationships/hyperlink" Target="https://store.steampowered.com/publisher/esdigital_games" TargetMode="External"/><Relationship Id="rId721" Type="http://schemas.openxmlformats.org/officeDocument/2006/relationships/hyperlink" Target="https://www.linkedin.com/in/ilia-svanidze-881307137/" TargetMode="External"/><Relationship Id="rId720" Type="http://schemas.openxmlformats.org/officeDocument/2006/relationships/hyperlink" Target="https://forms.gle/CncvPLR8HHnBbmiN9" TargetMode="External"/><Relationship Id="rId727" Type="http://schemas.openxmlformats.org/officeDocument/2006/relationships/hyperlink" Target="https://www.linkedin.com/in/martinsjulia/" TargetMode="External"/><Relationship Id="rId726" Type="http://schemas.openxmlformats.org/officeDocument/2006/relationships/hyperlink" Target="https://www.criticalleap.gg/" TargetMode="External"/><Relationship Id="rId725" Type="http://schemas.openxmlformats.org/officeDocument/2006/relationships/hyperlink" Target="https://futurefriends.lol/" TargetMode="External"/><Relationship Id="rId724" Type="http://schemas.openxmlformats.org/officeDocument/2006/relationships/hyperlink" Target="https://www.notashark.com/" TargetMode="External"/><Relationship Id="rId69" Type="http://schemas.openxmlformats.org/officeDocument/2006/relationships/hyperlink" Target="https://chucklefish.org/submit/" TargetMode="External"/><Relationship Id="rId51" Type="http://schemas.openxmlformats.org/officeDocument/2006/relationships/hyperlink" Target="https://hypetraindigital.com/" TargetMode="External"/><Relationship Id="rId50" Type="http://schemas.openxmlformats.org/officeDocument/2006/relationships/hyperlink" Target="https://gamalytic.com/publisher/Behaviour%20Interactive%20Inc." TargetMode="External"/><Relationship Id="rId53" Type="http://schemas.openxmlformats.org/officeDocument/2006/relationships/hyperlink" Target="https://store.steampowered.com/publisher/HypeTrainDigital" TargetMode="External"/><Relationship Id="rId52" Type="http://schemas.openxmlformats.org/officeDocument/2006/relationships/hyperlink" Target="https://www.linkedin.com/in/ivan-bell-40671041/" TargetMode="External"/><Relationship Id="rId55" Type="http://schemas.openxmlformats.org/officeDocument/2006/relationships/hyperlink" Target="https://mythwright.com/" TargetMode="External"/><Relationship Id="rId54" Type="http://schemas.openxmlformats.org/officeDocument/2006/relationships/hyperlink" Target="https://gamalytic.com/publisher/HypeTrain%20Digital" TargetMode="External"/><Relationship Id="rId57" Type="http://schemas.openxmlformats.org/officeDocument/2006/relationships/hyperlink" Target="https://gamalytic.com/publisher/Mythwright" TargetMode="External"/><Relationship Id="rId56" Type="http://schemas.openxmlformats.org/officeDocument/2006/relationships/hyperlink" Target="https://store.steampowered.com/publisher/mythwright" TargetMode="External"/><Relationship Id="rId719" Type="http://schemas.openxmlformats.org/officeDocument/2006/relationships/hyperlink" Target="https://esdigital.games/" TargetMode="External"/><Relationship Id="rId718" Type="http://schemas.openxmlformats.org/officeDocument/2006/relationships/hyperlink" Target="https://www.linkedin.com/in/georgewillard/" TargetMode="External"/><Relationship Id="rId717" Type="http://schemas.openxmlformats.org/officeDocument/2006/relationships/hyperlink" Target="https://thesecretsauce.uk/" TargetMode="External"/><Relationship Id="rId712" Type="http://schemas.openxmlformats.org/officeDocument/2006/relationships/hyperlink" Target="https://www.uwu.biz/" TargetMode="External"/><Relationship Id="rId711" Type="http://schemas.openxmlformats.org/officeDocument/2006/relationships/hyperlink" Target="https://www.linkedin.com/in/alastairhebson/" TargetMode="External"/><Relationship Id="rId710" Type="http://schemas.openxmlformats.org/officeDocument/2006/relationships/hyperlink" Target="mailto:alastair@caboodle.games" TargetMode="External"/><Relationship Id="rId716" Type="http://schemas.openxmlformats.org/officeDocument/2006/relationships/hyperlink" Target="https://www.linkedin.com/in/christian-bliss/" TargetMode="External"/><Relationship Id="rId715" Type="http://schemas.openxmlformats.org/officeDocument/2006/relationships/hyperlink" Target="https://airtable.com/app4mvGRyM1l9vGXJ/pagdb4o0IaqpheA6s/form" TargetMode="External"/><Relationship Id="rId714" Type="http://schemas.openxmlformats.org/officeDocument/2006/relationships/hyperlink" Target="https://www.kandofactory.com/" TargetMode="External"/><Relationship Id="rId713" Type="http://schemas.openxmlformats.org/officeDocument/2006/relationships/hyperlink" Target="https://www.linkedin.com/in/callumunderwood/" TargetMode="External"/><Relationship Id="rId59" Type="http://schemas.openxmlformats.org/officeDocument/2006/relationships/hyperlink" Target="https://marvelousgames.com/submit-game" TargetMode="External"/><Relationship Id="rId58" Type="http://schemas.openxmlformats.org/officeDocument/2006/relationships/hyperlink" Target="http://www.marvelousgames.com/" TargetMode="External"/><Relationship Id="rId590" Type="http://schemas.openxmlformats.org/officeDocument/2006/relationships/hyperlink" Target="https://rockgame.pl/" TargetMode="External"/><Relationship Id="rId107" Type="http://schemas.openxmlformats.org/officeDocument/2006/relationships/hyperlink" Target="https://www.linkedin.com/in/hyodelatorre/" TargetMode="External"/><Relationship Id="rId349" Type="http://schemas.openxmlformats.org/officeDocument/2006/relationships/hyperlink" Target="https://www.mooneyestudios.com/" TargetMode="External"/><Relationship Id="rId106" Type="http://schemas.openxmlformats.org/officeDocument/2006/relationships/hyperlink" Target="https://pitch.devolverdigital.com/" TargetMode="External"/><Relationship Id="rId348" Type="http://schemas.openxmlformats.org/officeDocument/2006/relationships/hyperlink" Target="https://gamalytic.com/publisher/Serenity%20Forge" TargetMode="External"/><Relationship Id="rId105" Type="http://schemas.openxmlformats.org/officeDocument/2006/relationships/hyperlink" Target="https://www.devolverdigital.com/" TargetMode="External"/><Relationship Id="rId347" Type="http://schemas.openxmlformats.org/officeDocument/2006/relationships/hyperlink" Target="https://store.steampowered.com/publisher/serenityforge" TargetMode="External"/><Relationship Id="rId589" Type="http://schemas.openxmlformats.org/officeDocument/2006/relationships/hyperlink" Target="https://gamalytic.com/publisher/Troglobytes%20Games" TargetMode="External"/><Relationship Id="rId104" Type="http://schemas.openxmlformats.org/officeDocument/2006/relationships/hyperlink" Target="https://gamalytic.com/publisher/505%20Games" TargetMode="External"/><Relationship Id="rId346" Type="http://schemas.openxmlformats.org/officeDocument/2006/relationships/hyperlink" Target="https://www.linkedin.com/in/serenityz/" TargetMode="External"/><Relationship Id="rId588" Type="http://schemas.openxmlformats.org/officeDocument/2006/relationships/hyperlink" Target="https://store.steampowered.com/developer/Troglobytes" TargetMode="External"/><Relationship Id="rId109" Type="http://schemas.openxmlformats.org/officeDocument/2006/relationships/hyperlink" Target="https://gamalytic.com/publisher/Devolver%20Digital" TargetMode="External"/><Relationship Id="rId108" Type="http://schemas.openxmlformats.org/officeDocument/2006/relationships/hyperlink" Target="https://store.steampowered.com/developer/DevolverDigital" TargetMode="External"/><Relationship Id="rId341" Type="http://schemas.openxmlformats.org/officeDocument/2006/relationships/hyperlink" Target="https://store.steampowered.com/publisher/fellowtraveller" TargetMode="External"/><Relationship Id="rId583" Type="http://schemas.openxmlformats.org/officeDocument/2006/relationships/hyperlink" Target="https://www.linkedin.com/in/adrien-larouz%C3%A9e-1b627112b/" TargetMode="External"/><Relationship Id="rId340" Type="http://schemas.openxmlformats.org/officeDocument/2006/relationships/hyperlink" Target="https://www.linkedin.com/in/spencer-hayes-50971770/" TargetMode="External"/><Relationship Id="rId582" Type="http://schemas.openxmlformats.org/officeDocument/2006/relationships/hyperlink" Target="https://projets.arte.tv/en" TargetMode="External"/><Relationship Id="rId581" Type="http://schemas.openxmlformats.org/officeDocument/2006/relationships/hyperlink" Target="https://arte.tv/videogames" TargetMode="External"/><Relationship Id="rId580" Type="http://schemas.openxmlformats.org/officeDocument/2006/relationships/hyperlink" Target="https://gamalytic.com/publisher/SOEDESCO" TargetMode="External"/><Relationship Id="rId103" Type="http://schemas.openxmlformats.org/officeDocument/2006/relationships/hyperlink" Target="https://store.steampowered.com/developer/505Games" TargetMode="External"/><Relationship Id="rId345" Type="http://schemas.openxmlformats.org/officeDocument/2006/relationships/hyperlink" Target="https://serenity-forge.notion.site/1d58d6801c1880e18722e6ce28c4bc88" TargetMode="External"/><Relationship Id="rId587" Type="http://schemas.openxmlformats.org/officeDocument/2006/relationships/hyperlink" Target="https://www.linkedin.com/in/saverio-caporusso-155a7b47/" TargetMode="External"/><Relationship Id="rId102" Type="http://schemas.openxmlformats.org/officeDocument/2006/relationships/hyperlink" Target="https://www.linkedin.com/in/giovanna-villani-bizdev/" TargetMode="External"/><Relationship Id="rId344" Type="http://schemas.openxmlformats.org/officeDocument/2006/relationships/hyperlink" Target="https://serenityforge.com/publishing" TargetMode="External"/><Relationship Id="rId586" Type="http://schemas.openxmlformats.org/officeDocument/2006/relationships/hyperlink" Target="https://troglobytesgames.com/" TargetMode="External"/><Relationship Id="rId101" Type="http://schemas.openxmlformats.org/officeDocument/2006/relationships/hyperlink" Target="https://505games.com/" TargetMode="External"/><Relationship Id="rId343" Type="http://schemas.openxmlformats.org/officeDocument/2006/relationships/hyperlink" Target="https://serenityforge.com/" TargetMode="External"/><Relationship Id="rId585" Type="http://schemas.openxmlformats.org/officeDocument/2006/relationships/hyperlink" Target="https://gamalytic.com/publisher/ARTE%20France" TargetMode="External"/><Relationship Id="rId100" Type="http://schemas.openxmlformats.org/officeDocument/2006/relationships/hyperlink" Target="https://gamalytic.com/publisher/Kwalee" TargetMode="External"/><Relationship Id="rId342" Type="http://schemas.openxmlformats.org/officeDocument/2006/relationships/hyperlink" Target="https://gamalytic.com/publisher/Fellow%20Traveller" TargetMode="External"/><Relationship Id="rId584" Type="http://schemas.openxmlformats.org/officeDocument/2006/relationships/hyperlink" Target="https://store.steampowered.com/publisher/Arte" TargetMode="External"/><Relationship Id="rId338" Type="http://schemas.openxmlformats.org/officeDocument/2006/relationships/hyperlink" Target="https://www.fellowtraveller.games/" TargetMode="External"/><Relationship Id="rId337" Type="http://schemas.openxmlformats.org/officeDocument/2006/relationships/hyperlink" Target="https://gamalytic.com/publisher/Alibi%20Games" TargetMode="External"/><Relationship Id="rId579" Type="http://schemas.openxmlformats.org/officeDocument/2006/relationships/hyperlink" Target="https://store.steampowered.com/publisher/soedesco" TargetMode="External"/><Relationship Id="rId336" Type="http://schemas.openxmlformats.org/officeDocument/2006/relationships/hyperlink" Target="https://store.steampowered.com/publisher/AlibiGames" TargetMode="External"/><Relationship Id="rId578" Type="http://schemas.openxmlformats.org/officeDocument/2006/relationships/hyperlink" Target="https://www.soedesco.com/contact" TargetMode="External"/><Relationship Id="rId335" Type="http://schemas.openxmlformats.org/officeDocument/2006/relationships/hyperlink" Target="https://www.linkedin.com/in/futurejarv/" TargetMode="External"/><Relationship Id="rId577" Type="http://schemas.openxmlformats.org/officeDocument/2006/relationships/hyperlink" Target="https://www.soedesco.com/" TargetMode="External"/><Relationship Id="rId339" Type="http://schemas.openxmlformats.org/officeDocument/2006/relationships/hyperlink" Target="https://www.fellowtraveller.games/developers" TargetMode="External"/><Relationship Id="rId330" Type="http://schemas.openxmlformats.org/officeDocument/2006/relationships/hyperlink" Target="https://www.linkedin.com/in/simon-byron-705a20/" TargetMode="External"/><Relationship Id="rId572" Type="http://schemas.openxmlformats.org/officeDocument/2006/relationships/hyperlink" Target="https://gamalytic.com/publisher/Graffiti%20Games" TargetMode="External"/><Relationship Id="rId571" Type="http://schemas.openxmlformats.org/officeDocument/2006/relationships/hyperlink" Target="https://store.steampowered.com/publisher/graffiti" TargetMode="External"/><Relationship Id="rId570" Type="http://schemas.openxmlformats.org/officeDocument/2006/relationships/hyperlink" Target="https://www.linkedin.com/in/andymessner/" TargetMode="External"/><Relationship Id="rId334" Type="http://schemas.openxmlformats.org/officeDocument/2006/relationships/hyperlink" Target="https://www.alibi.games/submit" TargetMode="External"/><Relationship Id="rId576" Type="http://schemas.openxmlformats.org/officeDocument/2006/relationships/hyperlink" Target="https://gamalytic.com/publisher/Ultimate%20Games%20S.A." TargetMode="External"/><Relationship Id="rId333" Type="http://schemas.openxmlformats.org/officeDocument/2006/relationships/hyperlink" Target="http://alibi.games/" TargetMode="External"/><Relationship Id="rId575" Type="http://schemas.openxmlformats.org/officeDocument/2006/relationships/hyperlink" Target="https://store.steampowered.com/publisher/ultimategames" TargetMode="External"/><Relationship Id="rId332" Type="http://schemas.openxmlformats.org/officeDocument/2006/relationships/hyperlink" Target="https://gamalytic.com/publisher/Yogscast%20Games" TargetMode="External"/><Relationship Id="rId574" Type="http://schemas.openxmlformats.org/officeDocument/2006/relationships/hyperlink" Target="https://ultimate-games.com/kontakt/" TargetMode="External"/><Relationship Id="rId331" Type="http://schemas.openxmlformats.org/officeDocument/2006/relationships/hyperlink" Target="https://store.steampowered.com/developer/yogscastgames" TargetMode="External"/><Relationship Id="rId573" Type="http://schemas.openxmlformats.org/officeDocument/2006/relationships/hyperlink" Target="https://ultimate-games.com/" TargetMode="External"/><Relationship Id="rId370" Type="http://schemas.openxmlformats.org/officeDocument/2006/relationships/hyperlink" Target="https://www.linkedin.com/in/antoinephm/" TargetMode="External"/><Relationship Id="rId129" Type="http://schemas.openxmlformats.org/officeDocument/2006/relationships/hyperlink" Target="https://gamalytic.com/publisher/Toplitz%20Productions" TargetMode="External"/><Relationship Id="rId128" Type="http://schemas.openxmlformats.org/officeDocument/2006/relationships/hyperlink" Target="https://store.steampowered.com/developer/Toplitz" TargetMode="External"/><Relationship Id="rId127" Type="http://schemas.openxmlformats.org/officeDocument/2006/relationships/hyperlink" Target="https://www.toplitz-productions.com/contact-933.html" TargetMode="External"/><Relationship Id="rId369" Type="http://schemas.openxmlformats.org/officeDocument/2006/relationships/hyperlink" Target="https://forms.gle/KbsYdYxqyoKUjg7i9" TargetMode="External"/><Relationship Id="rId126" Type="http://schemas.openxmlformats.org/officeDocument/2006/relationships/hyperlink" Target="https://www.toplitz-productions.com/home.html" TargetMode="External"/><Relationship Id="rId368" Type="http://schemas.openxmlformats.org/officeDocument/2006/relationships/hyperlink" Target="https://www.firesquid.fr/publishing/" TargetMode="External"/><Relationship Id="rId121" Type="http://schemas.openxmlformats.org/officeDocument/2006/relationships/hyperlink" Target="https://fireshinegames.co.uk/pitch/" TargetMode="External"/><Relationship Id="rId363" Type="http://schemas.openxmlformats.org/officeDocument/2006/relationships/hyperlink" Target="https://www.iceberg-games.com/fordevelopers/" TargetMode="External"/><Relationship Id="rId120" Type="http://schemas.openxmlformats.org/officeDocument/2006/relationships/hyperlink" Target="https://fireshinegames.co.uk/" TargetMode="External"/><Relationship Id="rId362" Type="http://schemas.openxmlformats.org/officeDocument/2006/relationships/hyperlink" Target="https://www.iceberg-games.com/" TargetMode="External"/><Relationship Id="rId361" Type="http://schemas.openxmlformats.org/officeDocument/2006/relationships/hyperlink" Target="https://gamalytic.com/publisher/Nordcurrent%20Labs" TargetMode="External"/><Relationship Id="rId360" Type="http://schemas.openxmlformats.org/officeDocument/2006/relationships/hyperlink" Target="https://store.steampowered.com/publisher/NordcurrentLabs" TargetMode="External"/><Relationship Id="rId125" Type="http://schemas.openxmlformats.org/officeDocument/2006/relationships/hyperlink" Target="https://gamalytic.com/publisher/Fireshine%20Games" TargetMode="External"/><Relationship Id="rId367" Type="http://schemas.openxmlformats.org/officeDocument/2006/relationships/hyperlink" Target="https://www.firesquid.fr/" TargetMode="External"/><Relationship Id="rId124" Type="http://schemas.openxmlformats.org/officeDocument/2006/relationships/hyperlink" Target="https://store.steampowered.com/publisher/FireshineGames" TargetMode="External"/><Relationship Id="rId366" Type="http://schemas.openxmlformats.org/officeDocument/2006/relationships/hyperlink" Target="https://gamalytic.com/publisher/Iceberg%20Interactive" TargetMode="External"/><Relationship Id="rId123" Type="http://schemas.openxmlformats.org/officeDocument/2006/relationships/hyperlink" Target="https://www.linkedin.com/in/atilla-bertiz/" TargetMode="External"/><Relationship Id="rId365" Type="http://schemas.openxmlformats.org/officeDocument/2006/relationships/hyperlink" Target="https://store.steampowered.com/publisher/iceberg" TargetMode="External"/><Relationship Id="rId122" Type="http://schemas.openxmlformats.org/officeDocument/2006/relationships/hyperlink" Target="https://fireshinegames.co.uk/pitch-contact-form/" TargetMode="External"/><Relationship Id="rId364" Type="http://schemas.openxmlformats.org/officeDocument/2006/relationships/hyperlink" Target="https://www.linkedin.com/in/raymondsnippe/" TargetMode="External"/><Relationship Id="rId95" Type="http://schemas.openxmlformats.org/officeDocument/2006/relationships/hyperlink" Target="https://www.kwalee.com/" TargetMode="External"/><Relationship Id="rId94" Type="http://schemas.openxmlformats.org/officeDocument/2006/relationships/hyperlink" Target="https://gamalytic.com/publisher/XSEED%20Games" TargetMode="External"/><Relationship Id="rId97" Type="http://schemas.openxmlformats.org/officeDocument/2006/relationships/hyperlink" Target="https://www.kwalee.com/campaign/submit-your-game" TargetMode="External"/><Relationship Id="rId96" Type="http://schemas.openxmlformats.org/officeDocument/2006/relationships/hyperlink" Target="https://docs.google.com/presentation/d/1_wYa-BnT4yZfFOynQSyOXI4L97F_v-lUoqCN4Quz7Vw/edit" TargetMode="External"/><Relationship Id="rId99" Type="http://schemas.openxmlformats.org/officeDocument/2006/relationships/hyperlink" Target="https://store.steampowered.com/publisher/Kwalee" TargetMode="External"/><Relationship Id="rId98" Type="http://schemas.openxmlformats.org/officeDocument/2006/relationships/hyperlink" Target="https://uk.linkedin.com/in/jack-griffin2142" TargetMode="External"/><Relationship Id="rId91" Type="http://schemas.openxmlformats.org/officeDocument/2006/relationships/hyperlink" Target="https://www.xseedgames.com/" TargetMode="External"/><Relationship Id="rId90" Type="http://schemas.openxmlformats.org/officeDocument/2006/relationships/hyperlink" Target="https://gamalytic.com/publisher/NEOWIZ" TargetMode="External"/><Relationship Id="rId93" Type="http://schemas.openxmlformats.org/officeDocument/2006/relationships/hyperlink" Target="https://store.steampowered.com/publisher/marveloususa" TargetMode="External"/><Relationship Id="rId92" Type="http://schemas.openxmlformats.org/officeDocument/2006/relationships/hyperlink" Target="https://www.xseedgames.com/pitch-us-your-game/" TargetMode="External"/><Relationship Id="rId118" Type="http://schemas.openxmlformats.org/officeDocument/2006/relationships/hyperlink" Target="https://store.steampowered.com/publisher/Tripwire" TargetMode="External"/><Relationship Id="rId117" Type="http://schemas.openxmlformats.org/officeDocument/2006/relationships/hyperlink" Target="https://www.linkedin.com/in/jameslamorticelli/" TargetMode="External"/><Relationship Id="rId359" Type="http://schemas.openxmlformats.org/officeDocument/2006/relationships/hyperlink" Target="https://www.linkedin.com/in/arunas-mieliauskas-8a8194138/" TargetMode="External"/><Relationship Id="rId116" Type="http://schemas.openxmlformats.org/officeDocument/2006/relationships/hyperlink" Target="https://docs.google.com/forms/d/e/1FAIpQLSf8Tw-NGr5lUmjfpJ3h_FND5qVnYHe7uaE_BxHHdM-Od4CAPQ/viewform" TargetMode="External"/><Relationship Id="rId358" Type="http://schemas.openxmlformats.org/officeDocument/2006/relationships/hyperlink" Target="http://www.nordcurrent.com/" TargetMode="External"/><Relationship Id="rId115" Type="http://schemas.openxmlformats.org/officeDocument/2006/relationships/hyperlink" Target="https://www.tripwireinteractive.com/" TargetMode="External"/><Relationship Id="rId357" Type="http://schemas.openxmlformats.org/officeDocument/2006/relationships/hyperlink" Target="https://gamalytic.com/publisher/Shiro%20Unlimited" TargetMode="External"/><Relationship Id="rId599" Type="http://schemas.openxmlformats.org/officeDocument/2006/relationships/hyperlink" Target="https://www.blowfishstudios.com/" TargetMode="External"/><Relationship Id="rId119" Type="http://schemas.openxmlformats.org/officeDocument/2006/relationships/hyperlink" Target="https://gamalytic.com/publisher/Tripwire%20Interactive" TargetMode="External"/><Relationship Id="rId110" Type="http://schemas.openxmlformats.org/officeDocument/2006/relationships/hyperlink" Target="https://www.goodgamesgroup.com/" TargetMode="External"/><Relationship Id="rId352" Type="http://schemas.openxmlformats.org/officeDocument/2006/relationships/hyperlink" Target="https://store.steampowered.com/publisher/mooneye" TargetMode="External"/><Relationship Id="rId594" Type="http://schemas.openxmlformats.org/officeDocument/2006/relationships/hyperlink" Target="https://www.indie.io/" TargetMode="External"/><Relationship Id="rId351" Type="http://schemas.openxmlformats.org/officeDocument/2006/relationships/hyperlink" Target="https://www.linkedin.com/in/sinikka-compart-38a53031/" TargetMode="External"/><Relationship Id="rId593" Type="http://schemas.openxmlformats.org/officeDocument/2006/relationships/hyperlink" Target="https://gamalytic.com/publisher/RockGame%20S.A." TargetMode="External"/><Relationship Id="rId350" Type="http://schemas.openxmlformats.org/officeDocument/2006/relationships/hyperlink" Target="https://www.mooneyestudios.com/publishing" TargetMode="External"/><Relationship Id="rId592" Type="http://schemas.openxmlformats.org/officeDocument/2006/relationships/hyperlink" Target="https://store.steampowered.com/publisher/RockGame" TargetMode="External"/><Relationship Id="rId591" Type="http://schemas.openxmlformats.org/officeDocument/2006/relationships/hyperlink" Target="https://www.linkedin.com/in/daniel-kulaszewicz-a1336a65/" TargetMode="External"/><Relationship Id="rId114" Type="http://schemas.openxmlformats.org/officeDocument/2006/relationships/hyperlink" Target="https://www.tripwireinteractive.com/" TargetMode="External"/><Relationship Id="rId356" Type="http://schemas.openxmlformats.org/officeDocument/2006/relationships/hyperlink" Target="https://store.steampowered.com/publisher/shiro-unlimited" TargetMode="External"/><Relationship Id="rId598" Type="http://schemas.openxmlformats.org/officeDocument/2006/relationships/hyperlink" Target="https://gamalytic.com/publisher/indie.io" TargetMode="External"/><Relationship Id="rId113" Type="http://schemas.openxmlformats.org/officeDocument/2006/relationships/hyperlink" Target="https://gamalytic.com/publisher/Balor%20Games" TargetMode="External"/><Relationship Id="rId355" Type="http://schemas.openxmlformats.org/officeDocument/2006/relationships/hyperlink" Target="https://fr.linkedin.com/in/adrien-dugue" TargetMode="External"/><Relationship Id="rId597" Type="http://schemas.openxmlformats.org/officeDocument/2006/relationships/hyperlink" Target="https://store.steampowered.com/franchise/indieio" TargetMode="External"/><Relationship Id="rId112" Type="http://schemas.openxmlformats.org/officeDocument/2006/relationships/hyperlink" Target="https://store.steampowered.com/publisher/BalorGames" TargetMode="External"/><Relationship Id="rId354" Type="http://schemas.openxmlformats.org/officeDocument/2006/relationships/hyperlink" Target="https://shiro-unlimited.com/" TargetMode="External"/><Relationship Id="rId596" Type="http://schemas.openxmlformats.org/officeDocument/2006/relationships/hyperlink" Target="https://www.linkedin.com/in/donovanduncan/" TargetMode="External"/><Relationship Id="rId111" Type="http://schemas.openxmlformats.org/officeDocument/2006/relationships/hyperlink" Target="https://www.linkedin.com/in/marknash/" TargetMode="External"/><Relationship Id="rId353" Type="http://schemas.openxmlformats.org/officeDocument/2006/relationships/hyperlink" Target="https://gamalytic.com/publisher/Mooneye%20Studios" TargetMode="External"/><Relationship Id="rId595" Type="http://schemas.openxmlformats.org/officeDocument/2006/relationships/hyperlink" Target="https://www.indie.io/signup" TargetMode="External"/><Relationship Id="rId305" Type="http://schemas.openxmlformats.org/officeDocument/2006/relationships/hyperlink" Target="https://gamalytic.com/publisher/Metaroot" TargetMode="External"/><Relationship Id="rId547" Type="http://schemas.openxmlformats.org/officeDocument/2006/relationships/hyperlink" Target="https://1312interactive.com/" TargetMode="External"/><Relationship Id="rId789" Type="http://schemas.openxmlformats.org/officeDocument/2006/relationships/hyperlink" Target="https://theirregularcorporation.com/developers/" TargetMode="External"/><Relationship Id="rId304" Type="http://schemas.openxmlformats.org/officeDocument/2006/relationships/hyperlink" Target="https://store.steampowered.com/franchise/Metaroot" TargetMode="External"/><Relationship Id="rId546" Type="http://schemas.openxmlformats.org/officeDocument/2006/relationships/hyperlink" Target="https://gamalytic.com/publisher/Anshar%20Publishing" TargetMode="External"/><Relationship Id="rId788" Type="http://schemas.openxmlformats.org/officeDocument/2006/relationships/hyperlink" Target="https://theirregularcorporation.com/" TargetMode="External"/><Relationship Id="rId303" Type="http://schemas.openxmlformats.org/officeDocument/2006/relationships/hyperlink" Target="https://www.metaroot.ch/" TargetMode="External"/><Relationship Id="rId545" Type="http://schemas.openxmlformats.org/officeDocument/2006/relationships/hyperlink" Target="https://store.steampowered.com/publisher/AnsharPublishing" TargetMode="External"/><Relationship Id="rId787" Type="http://schemas.openxmlformats.org/officeDocument/2006/relationships/hyperlink" Target="https://gamalytic.com/publisher/Mode%207" TargetMode="External"/><Relationship Id="rId302" Type="http://schemas.openxmlformats.org/officeDocument/2006/relationships/hyperlink" Target="https://gamalytic.com/publisher/CRITICAL%20REFLEX" TargetMode="External"/><Relationship Id="rId544" Type="http://schemas.openxmlformats.org/officeDocument/2006/relationships/hyperlink" Target="https://www.linkedin.com/in/jakub-kwinta" TargetMode="External"/><Relationship Id="rId786" Type="http://schemas.openxmlformats.org/officeDocument/2006/relationships/hyperlink" Target="https://store.steampowered.com/publisher/mode7" TargetMode="External"/><Relationship Id="rId309" Type="http://schemas.openxmlformats.org/officeDocument/2006/relationships/hyperlink" Target="https://gamalytic.com/publisher/3D%20Realms" TargetMode="External"/><Relationship Id="rId308" Type="http://schemas.openxmlformats.org/officeDocument/2006/relationships/hyperlink" Target="https://store.steampowered.com/publisher/3DREALMS" TargetMode="External"/><Relationship Id="rId307" Type="http://schemas.openxmlformats.org/officeDocument/2006/relationships/hyperlink" Target="https://www.linkedin.com/in/justburnham/" TargetMode="External"/><Relationship Id="rId549" Type="http://schemas.openxmlformats.org/officeDocument/2006/relationships/hyperlink" Target="https://gamalytic.com/publisher/1312%20Interactive" TargetMode="External"/><Relationship Id="rId306" Type="http://schemas.openxmlformats.org/officeDocument/2006/relationships/hyperlink" Target="https://3drealms.com/" TargetMode="External"/><Relationship Id="rId548" Type="http://schemas.openxmlformats.org/officeDocument/2006/relationships/hyperlink" Target="https://store.steampowered.com/curator/45877783" TargetMode="External"/><Relationship Id="rId781" Type="http://schemas.openxmlformats.org/officeDocument/2006/relationships/hyperlink" Target="https://store.steampowered.com/publisher/VoxPopGames" TargetMode="External"/><Relationship Id="rId780" Type="http://schemas.openxmlformats.org/officeDocument/2006/relationships/hyperlink" Target="https://www.linkedin.com/in/marcarodriguez/" TargetMode="External"/><Relationship Id="rId301" Type="http://schemas.openxmlformats.org/officeDocument/2006/relationships/hyperlink" Target="https://store.steampowered.com/curator/40619234" TargetMode="External"/><Relationship Id="rId543" Type="http://schemas.openxmlformats.org/officeDocument/2006/relationships/hyperlink" Target="http://ansharpublishing.com" TargetMode="External"/><Relationship Id="rId785" Type="http://schemas.openxmlformats.org/officeDocument/2006/relationships/hyperlink" Target="https://www.linkedin.com/in/paul-kilduff-taylor/" TargetMode="External"/><Relationship Id="rId300" Type="http://schemas.openxmlformats.org/officeDocument/2006/relationships/hyperlink" Target="https://www.linkedin.com/in/rita-lebedeva-196629bb/" TargetMode="External"/><Relationship Id="rId542" Type="http://schemas.openxmlformats.org/officeDocument/2006/relationships/hyperlink" Target="https://gamalytic.com/publisher/101XP" TargetMode="External"/><Relationship Id="rId784" Type="http://schemas.openxmlformats.org/officeDocument/2006/relationships/hyperlink" Target="https://www.mode7.games/" TargetMode="External"/><Relationship Id="rId541" Type="http://schemas.openxmlformats.org/officeDocument/2006/relationships/hyperlink" Target="https://store.steampowered.com/publisher/101xp" TargetMode="External"/><Relationship Id="rId783" Type="http://schemas.openxmlformats.org/officeDocument/2006/relationships/hyperlink" Target="https://www.mode7.games/" TargetMode="External"/><Relationship Id="rId540" Type="http://schemas.openxmlformats.org/officeDocument/2006/relationships/hyperlink" Target="https://www.linkedin.com/in/twinsenito/" TargetMode="External"/><Relationship Id="rId782" Type="http://schemas.openxmlformats.org/officeDocument/2006/relationships/hyperlink" Target="https://gamalytic.com/publisher/VoxPop%20Games,%20Inc." TargetMode="External"/><Relationship Id="rId536" Type="http://schemas.openxmlformats.org/officeDocument/2006/relationships/hyperlink" Target="https://gamalytic.com/publisher/Outright%20Games%20Ltd." TargetMode="External"/><Relationship Id="rId778" Type="http://schemas.openxmlformats.org/officeDocument/2006/relationships/hyperlink" Target="https://gamalytic.com/publisher/Those%20Awesome%20Guys" TargetMode="External"/><Relationship Id="rId535" Type="http://schemas.openxmlformats.org/officeDocument/2006/relationships/hyperlink" Target="https://store.steampowered.com/publisher/outrightgames" TargetMode="External"/><Relationship Id="rId777" Type="http://schemas.openxmlformats.org/officeDocument/2006/relationships/hyperlink" Target="https://store.steampowered.com/publisher/thoseawesomeguys" TargetMode="External"/><Relationship Id="rId534" Type="http://schemas.openxmlformats.org/officeDocument/2006/relationships/hyperlink" Target="https://www.linkedin.com/in/dan-mccreadie-9b83599a/" TargetMode="External"/><Relationship Id="rId776" Type="http://schemas.openxmlformats.org/officeDocument/2006/relationships/hyperlink" Target="https://www.linkedin.com/in/vladw/" TargetMode="External"/><Relationship Id="rId533" Type="http://schemas.openxmlformats.org/officeDocument/2006/relationships/hyperlink" Target="https://outrightgames.com/contact/" TargetMode="External"/><Relationship Id="rId775" Type="http://schemas.openxmlformats.org/officeDocument/2006/relationships/hyperlink" Target="https://forms.clickup.com/p/f/2axdz-601/81QBJSB3SI99Q4WU8S/project-submission" TargetMode="External"/><Relationship Id="rId539" Type="http://schemas.openxmlformats.org/officeDocument/2006/relationships/hyperlink" Target="https://corp.101xp.com/publishing" TargetMode="External"/><Relationship Id="rId538" Type="http://schemas.openxmlformats.org/officeDocument/2006/relationships/hyperlink" Target="https://corp.101xp.com/publishing" TargetMode="External"/><Relationship Id="rId537" Type="http://schemas.openxmlformats.org/officeDocument/2006/relationships/hyperlink" Target="https://en.101xp.com/" TargetMode="External"/><Relationship Id="rId779" Type="http://schemas.openxmlformats.org/officeDocument/2006/relationships/hyperlink" Target="http://www.voxpopgames.com/" TargetMode="External"/><Relationship Id="rId770" Type="http://schemas.openxmlformats.org/officeDocument/2006/relationships/hyperlink" Target="https://braceyourselfgames.com/publishing/" TargetMode="External"/><Relationship Id="rId532" Type="http://schemas.openxmlformats.org/officeDocument/2006/relationships/hyperlink" Target="https://outrightgames.com/" TargetMode="External"/><Relationship Id="rId774" Type="http://schemas.openxmlformats.org/officeDocument/2006/relationships/hyperlink" Target="https://thoseawesomeguys.com/" TargetMode="External"/><Relationship Id="rId531" Type="http://schemas.openxmlformats.org/officeDocument/2006/relationships/hyperlink" Target="https://gamalytic.com/publisher/Akupara%20Games" TargetMode="External"/><Relationship Id="rId773" Type="http://schemas.openxmlformats.org/officeDocument/2006/relationships/hyperlink" Target="https://gamalytic.com/publisher/Brace%20Yourself%20Games" TargetMode="External"/><Relationship Id="rId530" Type="http://schemas.openxmlformats.org/officeDocument/2006/relationships/hyperlink" Target="https://store.steampowered.com/publisher/akuparagames" TargetMode="External"/><Relationship Id="rId772" Type="http://schemas.openxmlformats.org/officeDocument/2006/relationships/hyperlink" Target="https://store.steampowered.com/publisher/braceyourselfgames" TargetMode="External"/><Relationship Id="rId771" Type="http://schemas.openxmlformats.org/officeDocument/2006/relationships/hyperlink" Target="https://www.linkedin.com/in/ryanmclark/" TargetMode="External"/><Relationship Id="rId327" Type="http://schemas.openxmlformats.org/officeDocument/2006/relationships/hyperlink" Target="https://gamalytic.com/publisher/Kasedo%20Games" TargetMode="External"/><Relationship Id="rId569" Type="http://schemas.openxmlformats.org/officeDocument/2006/relationships/hyperlink" Target="https://www.graffitigames.com/contact/pitch-your-game" TargetMode="External"/><Relationship Id="rId326" Type="http://schemas.openxmlformats.org/officeDocument/2006/relationships/hyperlink" Target="https://store.steampowered.com/publisher/Kasedo" TargetMode="External"/><Relationship Id="rId568" Type="http://schemas.openxmlformats.org/officeDocument/2006/relationships/hyperlink" Target="https://www.graffitigames.com/" TargetMode="External"/><Relationship Id="rId325" Type="http://schemas.openxmlformats.org/officeDocument/2006/relationships/hyperlink" Target="https://www.linkedin.com/in/edvitimea/" TargetMode="External"/><Relationship Id="rId567" Type="http://schemas.openxmlformats.org/officeDocument/2006/relationships/hyperlink" Target="https://gamalytic.com/publisher/First%20Break%20Labs" TargetMode="External"/><Relationship Id="rId324" Type="http://schemas.openxmlformats.org/officeDocument/2006/relationships/hyperlink" Target="https://www.kasedogames.com/pitch-to-us" TargetMode="External"/><Relationship Id="rId566" Type="http://schemas.openxmlformats.org/officeDocument/2006/relationships/hyperlink" Target="https://store.steampowered.com/developer/FirstBreakLabs" TargetMode="External"/><Relationship Id="rId329" Type="http://schemas.openxmlformats.org/officeDocument/2006/relationships/hyperlink" Target="https://www.yogscast.games/" TargetMode="External"/><Relationship Id="rId328" Type="http://schemas.openxmlformats.org/officeDocument/2006/relationships/hyperlink" Target="https://www.yogscast.games/" TargetMode="External"/><Relationship Id="rId561" Type="http://schemas.openxmlformats.org/officeDocument/2006/relationships/hyperlink" Target="https://www.linkedin.com/in/alainmilly/" TargetMode="External"/><Relationship Id="rId560" Type="http://schemas.openxmlformats.org/officeDocument/2006/relationships/hyperlink" Target="https://www.microids.com/contact/" TargetMode="External"/><Relationship Id="rId323" Type="http://schemas.openxmlformats.org/officeDocument/2006/relationships/hyperlink" Target="https://www.kasedogames.com/" TargetMode="External"/><Relationship Id="rId565" Type="http://schemas.openxmlformats.org/officeDocument/2006/relationships/hyperlink" Target="https://www.linkedin.com/in/alfonsocubiasjr/" TargetMode="External"/><Relationship Id="rId322" Type="http://schemas.openxmlformats.org/officeDocument/2006/relationships/hyperlink" Target="https://gamalytic.com/publisher/Tribute%20Games%20Inc." TargetMode="External"/><Relationship Id="rId564" Type="http://schemas.openxmlformats.org/officeDocument/2006/relationships/hyperlink" Target="https://firstbreaklabs.com/" TargetMode="External"/><Relationship Id="rId321" Type="http://schemas.openxmlformats.org/officeDocument/2006/relationships/hyperlink" Target="https://store.steampowered.com/publisher/tributegames" TargetMode="External"/><Relationship Id="rId563" Type="http://schemas.openxmlformats.org/officeDocument/2006/relationships/hyperlink" Target="https://gamalytic.com/publisher/Microids" TargetMode="External"/><Relationship Id="rId320" Type="http://schemas.openxmlformats.org/officeDocument/2006/relationships/hyperlink" Target="https://www.linkedin.com/in/strych9/" TargetMode="External"/><Relationship Id="rId562" Type="http://schemas.openxmlformats.org/officeDocument/2006/relationships/hyperlink" Target="https://store.steampowered.com/publisher/microids" TargetMode="External"/><Relationship Id="rId316" Type="http://schemas.openxmlformats.org/officeDocument/2006/relationships/hyperlink" Target="https://www.linkedin.com/in/nicolasgb/" TargetMode="External"/><Relationship Id="rId558" Type="http://schemas.openxmlformats.org/officeDocument/2006/relationships/hyperlink" Target="https://gamalytic.com/publisher/Noodlecake" TargetMode="External"/><Relationship Id="rId315" Type="http://schemas.openxmlformats.org/officeDocument/2006/relationships/hyperlink" Target="https://twin-sails.com/en/publish/" TargetMode="External"/><Relationship Id="rId557" Type="http://schemas.openxmlformats.org/officeDocument/2006/relationships/hyperlink" Target="https://store.steampowered.com/publisher/NOODLECAKE" TargetMode="External"/><Relationship Id="rId799" Type="http://schemas.openxmlformats.org/officeDocument/2006/relationships/hyperlink" Target="https://www.linkedin.com/in/williambertin/" TargetMode="External"/><Relationship Id="rId314" Type="http://schemas.openxmlformats.org/officeDocument/2006/relationships/hyperlink" Target="https://twin-sails.com/en/" TargetMode="External"/><Relationship Id="rId556" Type="http://schemas.openxmlformats.org/officeDocument/2006/relationships/hyperlink" Target="https://www.linkedin.com/in/bo-dong-b74ba073/" TargetMode="External"/><Relationship Id="rId798" Type="http://schemas.openxmlformats.org/officeDocument/2006/relationships/hyperlink" Target="https://plugindigital.com/form-sales-and-biz-dev/" TargetMode="External"/><Relationship Id="rId313" Type="http://schemas.openxmlformats.org/officeDocument/2006/relationships/hyperlink" Target="https://gamalytic.com/publisher/Gambit%20Digital" TargetMode="External"/><Relationship Id="rId555" Type="http://schemas.openxmlformats.org/officeDocument/2006/relationships/hyperlink" Target="https://noodlecake.com/publishing/" TargetMode="External"/><Relationship Id="rId797" Type="http://schemas.openxmlformats.org/officeDocument/2006/relationships/hyperlink" Target="https://plugindigital.com/studio/" TargetMode="External"/><Relationship Id="rId319" Type="http://schemas.openxmlformats.org/officeDocument/2006/relationships/hyperlink" Target="https://tributegames.com/" TargetMode="External"/><Relationship Id="rId318" Type="http://schemas.openxmlformats.org/officeDocument/2006/relationships/hyperlink" Target="https://gamalytic.com/publisher/Twin%20Sails%20Interactive" TargetMode="External"/><Relationship Id="rId317" Type="http://schemas.openxmlformats.org/officeDocument/2006/relationships/hyperlink" Target="https://store.steampowered.com/publisher/twinsailsinteractive" TargetMode="External"/><Relationship Id="rId559" Type="http://schemas.openxmlformats.org/officeDocument/2006/relationships/hyperlink" Target="https://www.microids.com/" TargetMode="External"/><Relationship Id="rId550" Type="http://schemas.openxmlformats.org/officeDocument/2006/relationships/hyperlink" Target="https://whitethorngames.com/" TargetMode="External"/><Relationship Id="rId792" Type="http://schemas.openxmlformats.org/officeDocument/2006/relationships/hyperlink" Target="https://www.funcom.com/" TargetMode="External"/><Relationship Id="rId791" Type="http://schemas.openxmlformats.org/officeDocument/2006/relationships/hyperlink" Target="https://gamalytic.com/publisher/The%20Irregular%20Corporation" TargetMode="External"/><Relationship Id="rId790" Type="http://schemas.openxmlformats.org/officeDocument/2006/relationships/hyperlink" Target="https://store.steampowered.com/publisher/IrregularCorp" TargetMode="External"/><Relationship Id="rId312" Type="http://schemas.openxmlformats.org/officeDocument/2006/relationships/hyperlink" Target="https://store.steampowered.com/search/?publisher=Gambit%20Digital" TargetMode="External"/><Relationship Id="rId554" Type="http://schemas.openxmlformats.org/officeDocument/2006/relationships/hyperlink" Target="https://noodlecake.com/" TargetMode="External"/><Relationship Id="rId796" Type="http://schemas.openxmlformats.org/officeDocument/2006/relationships/hyperlink" Target="https://plugindigital.com/" TargetMode="External"/><Relationship Id="rId311" Type="http://schemas.openxmlformats.org/officeDocument/2006/relationships/hyperlink" Target="https://www.linkedin.com/in/zac-antonaci-ba782836/" TargetMode="External"/><Relationship Id="rId553" Type="http://schemas.openxmlformats.org/officeDocument/2006/relationships/hyperlink" Target="https://gamalytic.com/publisher/Whitethorn%20Games" TargetMode="External"/><Relationship Id="rId795" Type="http://schemas.openxmlformats.org/officeDocument/2006/relationships/hyperlink" Target="https://gamalytic.com/publisher/Funcom" TargetMode="External"/><Relationship Id="rId310" Type="http://schemas.openxmlformats.org/officeDocument/2006/relationships/hyperlink" Target="https://gambitdigital.ca/" TargetMode="External"/><Relationship Id="rId552" Type="http://schemas.openxmlformats.org/officeDocument/2006/relationships/hyperlink" Target="https://store.steampowered.com/publisher/whitethorngames" TargetMode="External"/><Relationship Id="rId794" Type="http://schemas.openxmlformats.org/officeDocument/2006/relationships/hyperlink" Target="https://store.steampowered.com/developer/Funcom" TargetMode="External"/><Relationship Id="rId551" Type="http://schemas.openxmlformats.org/officeDocument/2006/relationships/hyperlink" Target="https://www.linkedin.com/in/blanketswilson/" TargetMode="External"/><Relationship Id="rId793" Type="http://schemas.openxmlformats.org/officeDocument/2006/relationships/hyperlink" Target="https://www.linkedin.com/in/ilya-salamatov-34447a12/" TargetMode="External"/><Relationship Id="rId297" Type="http://schemas.openxmlformats.org/officeDocument/2006/relationships/hyperlink" Target="https://gamalytic.com/publisher/Mad%20Mushroom" TargetMode="External"/><Relationship Id="rId296" Type="http://schemas.openxmlformats.org/officeDocument/2006/relationships/hyperlink" Target="https://store.steampowered.com/publisher/madmushroommedia?snr=1_5_9__408" TargetMode="External"/><Relationship Id="rId295" Type="http://schemas.openxmlformats.org/officeDocument/2006/relationships/hyperlink" Target="https://www.madmushroom.gg/submit-your-game" TargetMode="External"/><Relationship Id="rId294" Type="http://schemas.openxmlformats.org/officeDocument/2006/relationships/hyperlink" Target="https://www.madmushroom.gg/" TargetMode="External"/><Relationship Id="rId299" Type="http://schemas.openxmlformats.org/officeDocument/2006/relationships/hyperlink" Target="https://docs.google.com/forms/d/e/1FAIpQLScDZGJZZlYFa2ZBDcSR-PQ1-ajdwcDVpqePcrNBDXaTWke0xw/viewform" TargetMode="External"/><Relationship Id="rId298" Type="http://schemas.openxmlformats.org/officeDocument/2006/relationships/hyperlink" Target="https://www.criticalreflex.com/" TargetMode="External"/><Relationship Id="rId271" Type="http://schemas.openxmlformats.org/officeDocument/2006/relationships/hyperlink" Target="https://store.steampowered.com/publisher/ParadoxArc" TargetMode="External"/><Relationship Id="rId270" Type="http://schemas.openxmlformats.org/officeDocument/2006/relationships/hyperlink" Target="https://www.linkedin.com/in/denis-ilecic-5952a563/" TargetMode="External"/><Relationship Id="rId269" Type="http://schemas.openxmlformats.org/officeDocument/2006/relationships/hyperlink" Target="https://www.paradoxinteractive.com/contact/pitch-your-game-to-paradox" TargetMode="External"/><Relationship Id="rId264" Type="http://schemas.openxmlformats.org/officeDocument/2006/relationships/hyperlink" Target="https://crytivo.com/" TargetMode="External"/><Relationship Id="rId263" Type="http://schemas.openxmlformats.org/officeDocument/2006/relationships/hyperlink" Target="https://gamalytic.com/publisher/Alawar" TargetMode="External"/><Relationship Id="rId262" Type="http://schemas.openxmlformats.org/officeDocument/2006/relationships/hyperlink" Target="https://store.steampowered.com/publisher/alawar" TargetMode="External"/><Relationship Id="rId261" Type="http://schemas.openxmlformats.org/officeDocument/2006/relationships/hyperlink" Target="https://www.linkedin.com/in/alex-arsentiev-7243b8204/" TargetMode="External"/><Relationship Id="rId268" Type="http://schemas.openxmlformats.org/officeDocument/2006/relationships/hyperlink" Target="https://www.paradoxinteractive.com/" TargetMode="External"/><Relationship Id="rId267" Type="http://schemas.openxmlformats.org/officeDocument/2006/relationships/hyperlink" Target="https://gamalytic.com/publisher/Crytivo" TargetMode="External"/><Relationship Id="rId266" Type="http://schemas.openxmlformats.org/officeDocument/2006/relationships/hyperlink" Target="https://store.steampowered.com/publisher/Crytivo" TargetMode="External"/><Relationship Id="rId265" Type="http://schemas.openxmlformats.org/officeDocument/2006/relationships/hyperlink" Target="https://crytivo.com/en/publishing" TargetMode="External"/><Relationship Id="rId260" Type="http://schemas.openxmlformats.org/officeDocument/2006/relationships/hyperlink" Target="https://alawar.com/pitch" TargetMode="External"/><Relationship Id="rId259" Type="http://schemas.openxmlformats.org/officeDocument/2006/relationships/hyperlink" Target="https://alawar.com/" TargetMode="External"/><Relationship Id="rId258" Type="http://schemas.openxmlformats.org/officeDocument/2006/relationships/hyperlink" Target="https://gamalytic.com/publisher/Oro%20Interactive" TargetMode="External"/><Relationship Id="rId253" Type="http://schemas.openxmlformats.org/officeDocument/2006/relationships/hyperlink" Target="https://store.steampowered.com/publisher/TheArcadeCrew" TargetMode="External"/><Relationship Id="rId495" Type="http://schemas.openxmlformats.org/officeDocument/2006/relationships/hyperlink" Target="https://gamalytic.com/publisher/HeroCraft%20PC" TargetMode="External"/><Relationship Id="rId252" Type="http://schemas.openxmlformats.org/officeDocument/2006/relationships/hyperlink" Target="https://twitter.com/Julien_Chvt" TargetMode="External"/><Relationship Id="rId494" Type="http://schemas.openxmlformats.org/officeDocument/2006/relationships/hyperlink" Target="https://store.steampowered.com/publisher/HeroCraft_PC" TargetMode="External"/><Relationship Id="rId251" Type="http://schemas.openxmlformats.org/officeDocument/2006/relationships/hyperlink" Target="https://www.thearcadecrew.com/contact/" TargetMode="External"/><Relationship Id="rId493" Type="http://schemas.openxmlformats.org/officeDocument/2006/relationships/hyperlink" Target="https://www.linkedin.com/in/vasiliytedeev/" TargetMode="External"/><Relationship Id="rId250" Type="http://schemas.openxmlformats.org/officeDocument/2006/relationships/hyperlink" Target="https://www.thearcadecrew.com/" TargetMode="External"/><Relationship Id="rId492" Type="http://schemas.openxmlformats.org/officeDocument/2006/relationships/hyperlink" Target="https://www.herocraft.com/release/pc/" TargetMode="External"/><Relationship Id="rId257" Type="http://schemas.openxmlformats.org/officeDocument/2006/relationships/hyperlink" Target="https://store.steampowered.com/publisher/orointeractive" TargetMode="External"/><Relationship Id="rId499" Type="http://schemas.openxmlformats.org/officeDocument/2006/relationships/hyperlink" Target="https://store.steampowered.com/curator/41245051-Double-Eleven-Official/" TargetMode="External"/><Relationship Id="rId256" Type="http://schemas.openxmlformats.org/officeDocument/2006/relationships/hyperlink" Target="https://www.linkedin.com/in/daniel-lyozov-348495133/" TargetMode="External"/><Relationship Id="rId498" Type="http://schemas.openxmlformats.org/officeDocument/2006/relationships/hyperlink" Target="https://www.linkedin.com/in/kirsten-cummins-6a5a774b/" TargetMode="External"/><Relationship Id="rId255" Type="http://schemas.openxmlformats.org/officeDocument/2006/relationships/hyperlink" Target="https://www.orointeractive.com/" TargetMode="External"/><Relationship Id="rId497" Type="http://schemas.openxmlformats.org/officeDocument/2006/relationships/hyperlink" Target="https://double11.com/contact-us" TargetMode="External"/><Relationship Id="rId254" Type="http://schemas.openxmlformats.org/officeDocument/2006/relationships/hyperlink" Target="https://gamalytic.com/publisher/The%20Arcade%20Crew" TargetMode="External"/><Relationship Id="rId496" Type="http://schemas.openxmlformats.org/officeDocument/2006/relationships/hyperlink" Target="https://double11.com" TargetMode="External"/><Relationship Id="rId293" Type="http://schemas.openxmlformats.org/officeDocument/2006/relationships/hyperlink" Target="https://gamalytic.com/publisher/Kitfox%20Games" TargetMode="External"/><Relationship Id="rId292" Type="http://schemas.openxmlformats.org/officeDocument/2006/relationships/hyperlink" Target="https://store.steampowered.com/publisher/kitfoxgames" TargetMode="External"/><Relationship Id="rId291" Type="http://schemas.openxmlformats.org/officeDocument/2006/relationships/hyperlink" Target="https://www.linkedin.com/in/tanyashort/" TargetMode="External"/><Relationship Id="rId290" Type="http://schemas.openxmlformats.org/officeDocument/2006/relationships/hyperlink" Target="https://www.kitfoxgames.com/en" TargetMode="External"/><Relationship Id="rId286" Type="http://schemas.openxmlformats.org/officeDocument/2006/relationships/hyperlink" Target="https://www.smilegate.com/en/" TargetMode="External"/><Relationship Id="rId285" Type="http://schemas.openxmlformats.org/officeDocument/2006/relationships/hyperlink" Target="https://gamalytic.com/publisher/No%20More%20Robots" TargetMode="External"/><Relationship Id="rId284" Type="http://schemas.openxmlformats.org/officeDocument/2006/relationships/hyperlink" Target="https://store.steampowered.com/publisher/nomorerobots" TargetMode="External"/><Relationship Id="rId283" Type="http://schemas.openxmlformats.org/officeDocument/2006/relationships/hyperlink" Target="https://www.linkedin.com/in/stacey-satchell-64134615a/" TargetMode="External"/><Relationship Id="rId289" Type="http://schemas.openxmlformats.org/officeDocument/2006/relationships/hyperlink" Target="https://gamalytic.com/publisher/Smilegate%20Entertainment" TargetMode="External"/><Relationship Id="rId288" Type="http://schemas.openxmlformats.org/officeDocument/2006/relationships/hyperlink" Target="https://store.steampowered.com/search/?developer=Smilegate%20RPG" TargetMode="External"/><Relationship Id="rId287" Type="http://schemas.openxmlformats.org/officeDocument/2006/relationships/hyperlink" Target="https://www.linkedin.com/in/techmarketer/" TargetMode="External"/><Relationship Id="rId282" Type="http://schemas.openxmlformats.org/officeDocument/2006/relationships/hyperlink" Target="https://nomorerobots.io/" TargetMode="External"/><Relationship Id="rId281" Type="http://schemas.openxmlformats.org/officeDocument/2006/relationships/hyperlink" Target="https://gamalytic.com/publisher/Astra%20Logical" TargetMode="External"/><Relationship Id="rId280" Type="http://schemas.openxmlformats.org/officeDocument/2006/relationships/hyperlink" Target="https://store.steampowered.com/publisher/AstraLogical" TargetMode="External"/><Relationship Id="rId275" Type="http://schemas.openxmlformats.org/officeDocument/2006/relationships/hyperlink" Target="https://www.linkedin.com/in/billwang1/" TargetMode="External"/><Relationship Id="rId274" Type="http://schemas.openxmlformats.org/officeDocument/2006/relationships/hyperlink" Target="https://skystone.games/" TargetMode="External"/><Relationship Id="rId273" Type="http://schemas.openxmlformats.org/officeDocument/2006/relationships/hyperlink" Target="http://skystone.games" TargetMode="External"/><Relationship Id="rId272" Type="http://schemas.openxmlformats.org/officeDocument/2006/relationships/hyperlink" Target="https://gamalytic.com/publisher/Paradox%20Arc" TargetMode="External"/><Relationship Id="rId279" Type="http://schemas.openxmlformats.org/officeDocument/2006/relationships/hyperlink" Target="https://astralogical.org/pitch" TargetMode="External"/><Relationship Id="rId278" Type="http://schemas.openxmlformats.org/officeDocument/2006/relationships/hyperlink" Target="https://astralogical.org/" TargetMode="External"/><Relationship Id="rId277" Type="http://schemas.openxmlformats.org/officeDocument/2006/relationships/hyperlink" Target="https://gamalytic.com/publisher/Skystone%20Games" TargetMode="External"/><Relationship Id="rId276" Type="http://schemas.openxmlformats.org/officeDocument/2006/relationships/hyperlink" Target="https://store.steampowered.com/publisher/skystone" TargetMode="External"/><Relationship Id="rId907" Type="http://schemas.openxmlformats.org/officeDocument/2006/relationships/vmlDrawing" Target="../drawings/vmlDrawing2.vml"/><Relationship Id="rId906" Type="http://schemas.openxmlformats.org/officeDocument/2006/relationships/drawing" Target="../drawings/drawing3.xml"/><Relationship Id="rId905" Type="http://schemas.openxmlformats.org/officeDocument/2006/relationships/hyperlink" Target="https://gamalytic.com/publisher/HandyGames" TargetMode="External"/><Relationship Id="rId904" Type="http://schemas.openxmlformats.org/officeDocument/2006/relationships/hyperlink" Target="https://store.steampowered.com/developer/HandyGames" TargetMode="External"/><Relationship Id="rId903" Type="http://schemas.openxmlformats.org/officeDocument/2006/relationships/hyperlink" Target="https://www.linkedin.com/in/jay-pfeifer-233a7514a/" TargetMode="External"/><Relationship Id="rId902" Type="http://schemas.openxmlformats.org/officeDocument/2006/relationships/hyperlink" Target="https://handy-games.com/en/publishing/" TargetMode="External"/><Relationship Id="rId901" Type="http://schemas.openxmlformats.org/officeDocument/2006/relationships/hyperlink" Target="https://www.handy-games.com/" TargetMode="External"/><Relationship Id="rId900" Type="http://schemas.openxmlformats.org/officeDocument/2006/relationships/hyperlink" Target="https://www.handy-games.com" TargetMode="External"/><Relationship Id="rId629" Type="http://schemas.openxmlformats.org/officeDocument/2006/relationships/hyperlink" Target="https://store.steampowered.com/publisher/GMG" TargetMode="External"/><Relationship Id="rId624" Type="http://schemas.openxmlformats.org/officeDocument/2006/relationships/hyperlink" Target="https://pineapple.works/" TargetMode="External"/><Relationship Id="rId866" Type="http://schemas.openxmlformats.org/officeDocument/2006/relationships/hyperlink" Target="https://www.linkedin.com/in/leela-collins/" TargetMode="External"/><Relationship Id="rId623" Type="http://schemas.openxmlformats.org/officeDocument/2006/relationships/hyperlink" Target="https://gamalytic.com/publisher/Selecta%20Play" TargetMode="External"/><Relationship Id="rId865" Type="http://schemas.openxmlformats.org/officeDocument/2006/relationships/hyperlink" Target="https://www.bansheegames.co.uk/" TargetMode="External"/><Relationship Id="rId622" Type="http://schemas.openxmlformats.org/officeDocument/2006/relationships/hyperlink" Target="https://store.steampowered.com/publisher/SelectaPlay" TargetMode="External"/><Relationship Id="rId864" Type="http://schemas.openxmlformats.org/officeDocument/2006/relationships/hyperlink" Target="https://gamalytic.com/publisher/Studio%20Zero" TargetMode="External"/><Relationship Id="rId621" Type="http://schemas.openxmlformats.org/officeDocument/2006/relationships/hyperlink" Target="https://selecta-play.com/en/" TargetMode="External"/><Relationship Id="rId863" Type="http://schemas.openxmlformats.org/officeDocument/2006/relationships/hyperlink" Target="https://store.steampowered.com/app/1680650/Astonishing_Baseball_Manager/" TargetMode="External"/><Relationship Id="rId628" Type="http://schemas.openxmlformats.org/officeDocument/2006/relationships/hyperlink" Target="https://www.linkedin.com/in/ben-tucker-164a49159/" TargetMode="External"/><Relationship Id="rId627" Type="http://schemas.openxmlformats.org/officeDocument/2006/relationships/hyperlink" Target="https://www.greenmangaming.com/" TargetMode="External"/><Relationship Id="rId869" Type="http://schemas.openxmlformats.org/officeDocument/2006/relationships/hyperlink" Target="https://klabater.com/en/home/" TargetMode="External"/><Relationship Id="rId626" Type="http://schemas.openxmlformats.org/officeDocument/2006/relationships/hyperlink" Target="https://gamalytic.com/publisher/Pineapple%20Works" TargetMode="External"/><Relationship Id="rId868" Type="http://schemas.openxmlformats.org/officeDocument/2006/relationships/hyperlink" Target="https://gamalytic.com/publisher/Banshee%20Games" TargetMode="External"/><Relationship Id="rId625" Type="http://schemas.openxmlformats.org/officeDocument/2006/relationships/hyperlink" Target="https://store.steampowered.com/developer/pineappleworks" TargetMode="External"/><Relationship Id="rId867" Type="http://schemas.openxmlformats.org/officeDocument/2006/relationships/hyperlink" Target="https://store.steampowered.com/developer/banshee" TargetMode="External"/><Relationship Id="rId620" Type="http://schemas.openxmlformats.org/officeDocument/2006/relationships/hyperlink" Target="https://gamalytic.com/publisher/Judatone%20Studios" TargetMode="External"/><Relationship Id="rId862" Type="http://schemas.openxmlformats.org/officeDocument/2006/relationships/hyperlink" Target="https://www.linkedin.com/in/quentin-sallat/" TargetMode="External"/><Relationship Id="rId861" Type="http://schemas.openxmlformats.org/officeDocument/2006/relationships/hyperlink" Target="https://www.zero-one.fr/" TargetMode="External"/><Relationship Id="rId860" Type="http://schemas.openxmlformats.org/officeDocument/2006/relationships/hyperlink" Target="https://gamalytic.com/publisher/Bigmode" TargetMode="External"/><Relationship Id="rId619" Type="http://schemas.openxmlformats.org/officeDocument/2006/relationships/hyperlink" Target="https://store.steampowered.com/search/?publisher=Judatone+Studios" TargetMode="External"/><Relationship Id="rId618" Type="http://schemas.openxmlformats.org/officeDocument/2006/relationships/hyperlink" Target="https://www.linkedin.com/in/antonio-assenza/" TargetMode="External"/><Relationship Id="rId613" Type="http://schemas.openxmlformats.org/officeDocument/2006/relationships/hyperlink" Target="https://docs.google.com/presentation/d/1bWWQTIaMJ1Rc39ttsoz7sgeWPY7MmlzuVHGw22VTRPg/edit" TargetMode="External"/><Relationship Id="rId855" Type="http://schemas.openxmlformats.org/officeDocument/2006/relationships/hyperlink" Target="https://www.linkedin.com/in/pinkerator" TargetMode="External"/><Relationship Id="rId612" Type="http://schemas.openxmlformats.org/officeDocument/2006/relationships/hyperlink" Target="https://www.togeproductions.com/" TargetMode="External"/><Relationship Id="rId854" Type="http://schemas.openxmlformats.org/officeDocument/2006/relationships/hyperlink" Target="https://www.sometimesyou.com" TargetMode="External"/><Relationship Id="rId611" Type="http://schemas.openxmlformats.org/officeDocument/2006/relationships/hyperlink" Target="https://gamalytic.com/publisher/Forever%20Entertainment%20S.%20A." TargetMode="External"/><Relationship Id="rId853" Type="http://schemas.openxmlformats.org/officeDocument/2006/relationships/hyperlink" Target="https://gamalytic.com/publisher/Big%20Sugar" TargetMode="External"/><Relationship Id="rId610" Type="http://schemas.openxmlformats.org/officeDocument/2006/relationships/hyperlink" Target="https://store.steampowered.com/publisher/foreverentert" TargetMode="External"/><Relationship Id="rId852" Type="http://schemas.openxmlformats.org/officeDocument/2006/relationships/hyperlink" Target="https://store.steampowered.com/publisher/BigSugar" TargetMode="External"/><Relationship Id="rId617" Type="http://schemas.openxmlformats.org/officeDocument/2006/relationships/hyperlink" Target="https://judatone.com/" TargetMode="External"/><Relationship Id="rId859" Type="http://schemas.openxmlformats.org/officeDocument/2006/relationships/hyperlink" Target="https://store.steampowered.com/publisher/BIGMODE" TargetMode="External"/><Relationship Id="rId616" Type="http://schemas.openxmlformats.org/officeDocument/2006/relationships/hyperlink" Target="https://gamalytic.com/publisher/Toge%20Productions" TargetMode="External"/><Relationship Id="rId858" Type="http://schemas.openxmlformats.org/officeDocument/2006/relationships/hyperlink" Target="https://bigmode.com/apply" TargetMode="External"/><Relationship Id="rId615" Type="http://schemas.openxmlformats.org/officeDocument/2006/relationships/hyperlink" Target="https://store.steampowered.com/publisher/togeproductions" TargetMode="External"/><Relationship Id="rId857" Type="http://schemas.openxmlformats.org/officeDocument/2006/relationships/hyperlink" Target="https://bigmode.com/" TargetMode="External"/><Relationship Id="rId614" Type="http://schemas.openxmlformats.org/officeDocument/2006/relationships/hyperlink" Target="https://www.linkedin.com/in/kris-antoni-hadiputra-a675b819/?originalSubdomain=id" TargetMode="External"/><Relationship Id="rId856" Type="http://schemas.openxmlformats.org/officeDocument/2006/relationships/hyperlink" Target="https://gamalytic.com/publisher/Sometimes%20You" TargetMode="External"/><Relationship Id="rId851" Type="http://schemas.openxmlformats.org/officeDocument/2006/relationships/hyperlink" Target="https://www.bigsugar.games/contact/" TargetMode="External"/><Relationship Id="rId850" Type="http://schemas.openxmlformats.org/officeDocument/2006/relationships/hyperlink" Target="https://www.bigsugar.games/" TargetMode="External"/><Relationship Id="rId409" Type="http://schemas.openxmlformats.org/officeDocument/2006/relationships/hyperlink" Target="https://www.walesinteractive.com/contact" TargetMode="External"/><Relationship Id="rId404" Type="http://schemas.openxmlformats.org/officeDocument/2006/relationships/hyperlink" Target="http://www.gameops.pl/en/about-us/" TargetMode="External"/><Relationship Id="rId646" Type="http://schemas.openxmlformats.org/officeDocument/2006/relationships/hyperlink" Target="https://gamalytic.com/publisher/Bonus%20Stage%20Publishing" TargetMode="External"/><Relationship Id="rId888" Type="http://schemas.openxmlformats.org/officeDocument/2006/relationships/hyperlink" Target="http://www.whisperinteractive.com/" TargetMode="External"/><Relationship Id="rId403" Type="http://schemas.openxmlformats.org/officeDocument/2006/relationships/hyperlink" Target="https://gamalytic.com/publisher/DANGEN%20Entertainment" TargetMode="External"/><Relationship Id="rId645" Type="http://schemas.openxmlformats.org/officeDocument/2006/relationships/hyperlink" Target="https://store.steampowered.com/publisher/bonusstage" TargetMode="External"/><Relationship Id="rId887" Type="http://schemas.openxmlformats.org/officeDocument/2006/relationships/hyperlink" Target="https://gamalytic.com/publisher/Lesser%20Evil" TargetMode="External"/><Relationship Id="rId402" Type="http://schemas.openxmlformats.org/officeDocument/2006/relationships/hyperlink" Target="https://store.steampowered.com/publisher/dangen" TargetMode="External"/><Relationship Id="rId644" Type="http://schemas.openxmlformats.org/officeDocument/2006/relationships/hyperlink" Target="https://www.bonusstage.co/developers" TargetMode="External"/><Relationship Id="rId886" Type="http://schemas.openxmlformats.org/officeDocument/2006/relationships/hyperlink" Target="https://store.steampowered.com/publisher/LesserEvil" TargetMode="External"/><Relationship Id="rId401" Type="http://schemas.openxmlformats.org/officeDocument/2006/relationships/hyperlink" Target="https://www.linkedin.com/in/dan-stern-55177a24" TargetMode="External"/><Relationship Id="rId643" Type="http://schemas.openxmlformats.org/officeDocument/2006/relationships/hyperlink" Target="https://www.bonusstage.co/" TargetMode="External"/><Relationship Id="rId885" Type="http://schemas.openxmlformats.org/officeDocument/2006/relationships/hyperlink" Target="https://www.linkedin.com/in/michalgembicki/" TargetMode="External"/><Relationship Id="rId408" Type="http://schemas.openxmlformats.org/officeDocument/2006/relationships/hyperlink" Target="https://www.walesinteractive.com/" TargetMode="External"/><Relationship Id="rId407" Type="http://schemas.openxmlformats.org/officeDocument/2006/relationships/hyperlink" Target="https://gamalytic.com/publisher/Games%20Operators" TargetMode="External"/><Relationship Id="rId649" Type="http://schemas.openxmlformats.org/officeDocument/2006/relationships/hyperlink" Target="https://gamalytic.com/publisher/QUByte%20Interactive" TargetMode="External"/><Relationship Id="rId406" Type="http://schemas.openxmlformats.org/officeDocument/2006/relationships/hyperlink" Target="https://store.steampowered.com/publisher/gameops" TargetMode="External"/><Relationship Id="rId648" Type="http://schemas.openxmlformats.org/officeDocument/2006/relationships/hyperlink" Target="https://store.steampowered.com/publisher/qubyte" TargetMode="External"/><Relationship Id="rId405" Type="http://schemas.openxmlformats.org/officeDocument/2006/relationships/hyperlink" Target="https://www.linkedin.com/in/konrad-chmielewski-dev/" TargetMode="External"/><Relationship Id="rId647" Type="http://schemas.openxmlformats.org/officeDocument/2006/relationships/hyperlink" Target="https://www.qubyteinteractive.com/site/" TargetMode="External"/><Relationship Id="rId889" Type="http://schemas.openxmlformats.org/officeDocument/2006/relationships/hyperlink" Target="https://store.steampowered.com/publisher/WhisperGames/" TargetMode="External"/><Relationship Id="rId880" Type="http://schemas.openxmlformats.org/officeDocument/2006/relationships/hyperlink" Target="http://www.tapblaze.com/" TargetMode="External"/><Relationship Id="rId400" Type="http://schemas.openxmlformats.org/officeDocument/2006/relationships/hyperlink" Target="https://pitch.dangenentertainment.com/?_xm=13900.283328865470775310" TargetMode="External"/><Relationship Id="rId642" Type="http://schemas.openxmlformats.org/officeDocument/2006/relationships/hyperlink" Target="https://gamalytic.com/publisher/Tiny%20Dragon" TargetMode="External"/><Relationship Id="rId884" Type="http://schemas.openxmlformats.org/officeDocument/2006/relationships/hyperlink" Target="https://lesserevil.games/" TargetMode="External"/><Relationship Id="rId641" Type="http://schemas.openxmlformats.org/officeDocument/2006/relationships/hyperlink" Target="https://store.steampowered.com/publisher/tinydragon" TargetMode="External"/><Relationship Id="rId883" Type="http://schemas.openxmlformats.org/officeDocument/2006/relationships/hyperlink" Target="https://gamalytic.com/publisher/TapBlaze" TargetMode="External"/><Relationship Id="rId640" Type="http://schemas.openxmlformats.org/officeDocument/2006/relationships/hyperlink" Target="mailto:sean@tinydragongames.com" TargetMode="External"/><Relationship Id="rId882" Type="http://schemas.openxmlformats.org/officeDocument/2006/relationships/hyperlink" Target="https://store.steampowered.com/curator/34438802" TargetMode="External"/><Relationship Id="rId881" Type="http://schemas.openxmlformats.org/officeDocument/2006/relationships/hyperlink" Target="https://www.linkedin.com/in/mranthonylai" TargetMode="External"/><Relationship Id="rId635" Type="http://schemas.openxmlformats.org/officeDocument/2006/relationships/hyperlink" Target="https://catnessgames.com/" TargetMode="External"/><Relationship Id="rId877" Type="http://schemas.openxmlformats.org/officeDocument/2006/relationships/hyperlink" Target="https://www.iphigames.com" TargetMode="External"/><Relationship Id="rId634" Type="http://schemas.openxmlformats.org/officeDocument/2006/relationships/hyperlink" Target="https://gamalytic.com/publisher/Dionous%20Games" TargetMode="External"/><Relationship Id="rId876" Type="http://schemas.openxmlformats.org/officeDocument/2006/relationships/hyperlink" Target="https://gamalytic.com/publisher/Blue%20Sunset%20Games" TargetMode="External"/><Relationship Id="rId633" Type="http://schemas.openxmlformats.org/officeDocument/2006/relationships/hyperlink" Target="https://store.steampowered.com/developer/dionous" TargetMode="External"/><Relationship Id="rId875" Type="http://schemas.openxmlformats.org/officeDocument/2006/relationships/hyperlink" Target="https://store.steampowered.com/curator/33021578" TargetMode="External"/><Relationship Id="rId632" Type="http://schemas.openxmlformats.org/officeDocument/2006/relationships/hyperlink" Target="https://www.dionous.com/game-pitches/" TargetMode="External"/><Relationship Id="rId874" Type="http://schemas.openxmlformats.org/officeDocument/2006/relationships/hyperlink" Target="http://www.bluesunsetgames.com/" TargetMode="External"/><Relationship Id="rId639" Type="http://schemas.openxmlformats.org/officeDocument/2006/relationships/hyperlink" Target="https://www.tinydragongames.com/services" TargetMode="External"/><Relationship Id="rId638" Type="http://schemas.openxmlformats.org/officeDocument/2006/relationships/hyperlink" Target="https://www.tinydragongames.com/" TargetMode="External"/><Relationship Id="rId637" Type="http://schemas.openxmlformats.org/officeDocument/2006/relationships/hyperlink" Target="https://gamalytic.com/publisher/Catness%20Game%20Studios" TargetMode="External"/><Relationship Id="rId879" Type="http://schemas.openxmlformats.org/officeDocument/2006/relationships/hyperlink" Target="https://gamalytic.com/publisher/Iphigames" TargetMode="External"/><Relationship Id="rId636" Type="http://schemas.openxmlformats.org/officeDocument/2006/relationships/hyperlink" Target="https://store.steampowered.com/publisher/catnessgames" TargetMode="External"/><Relationship Id="rId878" Type="http://schemas.openxmlformats.org/officeDocument/2006/relationships/hyperlink" Target="https://store.steampowered.com/publisher/iphigames" TargetMode="External"/><Relationship Id="rId631" Type="http://schemas.openxmlformats.org/officeDocument/2006/relationships/hyperlink" Target="https://www.dionous.com/" TargetMode="External"/><Relationship Id="rId873" Type="http://schemas.openxmlformats.org/officeDocument/2006/relationships/hyperlink" Target="https://gamalytic.com/publisher/Klabater" TargetMode="External"/><Relationship Id="rId630" Type="http://schemas.openxmlformats.org/officeDocument/2006/relationships/hyperlink" Target="https://gamalytic.com/publisher/Green%20Man%20Gaming%20Publishing" TargetMode="External"/><Relationship Id="rId872" Type="http://schemas.openxmlformats.org/officeDocument/2006/relationships/hyperlink" Target="https://store.steampowered.com/publisher/klabater" TargetMode="External"/><Relationship Id="rId871" Type="http://schemas.openxmlformats.org/officeDocument/2006/relationships/hyperlink" Target="https://www.linkedin.com/in/mariuszduda/" TargetMode="External"/><Relationship Id="rId870" Type="http://schemas.openxmlformats.org/officeDocument/2006/relationships/hyperlink" Target="https://klabater.com/en/submit-your-game/" TargetMode="External"/><Relationship Id="rId829" Type="http://schemas.openxmlformats.org/officeDocument/2006/relationships/hyperlink" Target="https://www.linkedin.com/in/korinaabbott/" TargetMode="External"/><Relationship Id="rId828" Type="http://schemas.openxmlformats.org/officeDocument/2006/relationships/hyperlink" Target="https://www.neonhive.co.uk" TargetMode="External"/><Relationship Id="rId827" Type="http://schemas.openxmlformats.org/officeDocument/2006/relationships/hyperlink" Target="https://gamalytic.com/publisher/CULT%20Games" TargetMode="External"/><Relationship Id="rId822" Type="http://schemas.openxmlformats.org/officeDocument/2006/relationships/hyperlink" Target="https://www.linkedin.com/in/sam-de-boeck-632b68169/" TargetMode="External"/><Relationship Id="rId821" Type="http://schemas.openxmlformats.org/officeDocument/2006/relationships/hyperlink" Target="https://www.daestudios.be/" TargetMode="External"/><Relationship Id="rId820" Type="http://schemas.openxmlformats.org/officeDocument/2006/relationships/hyperlink" Target="https://gamalytic.com/publisher/The%20CoLab" TargetMode="External"/><Relationship Id="rId826" Type="http://schemas.openxmlformats.org/officeDocument/2006/relationships/hyperlink" Target="https://store.steampowered.com/publisher/CULTgames" TargetMode="External"/><Relationship Id="rId825" Type="http://schemas.openxmlformats.org/officeDocument/2006/relationships/hyperlink" Target="https://www.linkedin.com/in/helen-burnill-336b0538/" TargetMode="External"/><Relationship Id="rId824" Type="http://schemas.openxmlformats.org/officeDocument/2006/relationships/hyperlink" Target="https://7nkc9d420u5.typeform.com/to/GQFLbf0x" TargetMode="External"/><Relationship Id="rId823" Type="http://schemas.openxmlformats.org/officeDocument/2006/relationships/hyperlink" Target="https://www.thecultgames.com/" TargetMode="External"/><Relationship Id="rId819" Type="http://schemas.openxmlformats.org/officeDocument/2006/relationships/hyperlink" Target="https://store.steampowered.com/publisher/TheColab" TargetMode="External"/><Relationship Id="rId818" Type="http://schemas.openxmlformats.org/officeDocument/2006/relationships/hyperlink" Target="https://www.linkedin.com/in/darrennewnham/" TargetMode="External"/><Relationship Id="rId817" Type="http://schemas.openxmlformats.org/officeDocument/2006/relationships/hyperlink" Target="https://www.thecolabgames.com/" TargetMode="External"/><Relationship Id="rId816" Type="http://schemas.openxmlformats.org/officeDocument/2006/relationships/hyperlink" Target="https://gamalytic.com/publisher/Pixmain" TargetMode="External"/><Relationship Id="rId811" Type="http://schemas.openxmlformats.org/officeDocument/2006/relationships/hyperlink" Target="https://gamalytic.com/publisher/Firestoke" TargetMode="External"/><Relationship Id="rId810" Type="http://schemas.openxmlformats.org/officeDocument/2006/relationships/hyperlink" Target="https://store.steampowered.com/publisher/firestoke" TargetMode="External"/><Relationship Id="rId815" Type="http://schemas.openxmlformats.org/officeDocument/2006/relationships/hyperlink" Target="https://store.steampowered.com/publisher/pixmain" TargetMode="External"/><Relationship Id="rId814" Type="http://schemas.openxmlformats.org/officeDocument/2006/relationships/hyperlink" Target="https://www.linkedin.com/in/jeff-huang-bytedance/" TargetMode="External"/><Relationship Id="rId813" Type="http://schemas.openxmlformats.org/officeDocument/2006/relationships/hyperlink" Target="https://www.pixmain.com/pitch-to-pixmain" TargetMode="External"/><Relationship Id="rId812" Type="http://schemas.openxmlformats.org/officeDocument/2006/relationships/hyperlink" Target="https://www.pixmain.com/" TargetMode="External"/><Relationship Id="rId609" Type="http://schemas.openxmlformats.org/officeDocument/2006/relationships/hyperlink" Target="https://www.linkedin.com/in/dominika-chyli%C5%84ska-55a77511a/" TargetMode="External"/><Relationship Id="rId608" Type="http://schemas.openxmlformats.org/officeDocument/2006/relationships/hyperlink" Target="https://forever-entertainment.com/" TargetMode="External"/><Relationship Id="rId607" Type="http://schemas.openxmlformats.org/officeDocument/2006/relationships/hyperlink" Target="https://gamalytic.com/publisher/Nuntius%20Games" TargetMode="External"/><Relationship Id="rId849" Type="http://schemas.openxmlformats.org/officeDocument/2006/relationships/hyperlink" Target="https://gamalytic.com/publisher/Walkabout" TargetMode="External"/><Relationship Id="rId602" Type="http://schemas.openxmlformats.org/officeDocument/2006/relationships/hyperlink" Target="https://www.grabthegames.com/" TargetMode="External"/><Relationship Id="rId844" Type="http://schemas.openxmlformats.org/officeDocument/2006/relationships/hyperlink" Target="https://playdigious.com/contact/" TargetMode="External"/><Relationship Id="rId601" Type="http://schemas.openxmlformats.org/officeDocument/2006/relationships/hyperlink" Target="https://gamalytic.com/publisher/Blowfish%20Studios" TargetMode="External"/><Relationship Id="rId843" Type="http://schemas.openxmlformats.org/officeDocument/2006/relationships/hyperlink" Target="https://playdigious.com/originals/" TargetMode="External"/><Relationship Id="rId600" Type="http://schemas.openxmlformats.org/officeDocument/2006/relationships/hyperlink" Target="https://store.steampowered.com/publisher/blowfishstudios" TargetMode="External"/><Relationship Id="rId842" Type="http://schemas.openxmlformats.org/officeDocument/2006/relationships/hyperlink" Target="https://gamalytic.com/publisher/Ravenage%20Games" TargetMode="External"/><Relationship Id="rId841" Type="http://schemas.openxmlformats.org/officeDocument/2006/relationships/hyperlink" Target="https://store.steampowered.com/publisher/ravenage" TargetMode="External"/><Relationship Id="rId606" Type="http://schemas.openxmlformats.org/officeDocument/2006/relationships/hyperlink" Target="https://store.steampowered.com/publisher/nuntiusgames/" TargetMode="External"/><Relationship Id="rId848" Type="http://schemas.openxmlformats.org/officeDocument/2006/relationships/hyperlink" Target="https://store.steampowered.com/publisher/Walkabout" TargetMode="External"/><Relationship Id="rId605" Type="http://schemas.openxmlformats.org/officeDocument/2006/relationships/hyperlink" Target="https://nuntiusgames.com/" TargetMode="External"/><Relationship Id="rId847" Type="http://schemas.openxmlformats.org/officeDocument/2006/relationships/hyperlink" Target="https://walkabout.games/" TargetMode="External"/><Relationship Id="rId604" Type="http://schemas.openxmlformats.org/officeDocument/2006/relationships/hyperlink" Target="https://gamalytic.com/publisher/GrabTheGames" TargetMode="External"/><Relationship Id="rId846" Type="http://schemas.openxmlformats.org/officeDocument/2006/relationships/hyperlink" Target="https://gamalytic.com/publisher/Playdigious%20Originals" TargetMode="External"/><Relationship Id="rId603" Type="http://schemas.openxmlformats.org/officeDocument/2006/relationships/hyperlink" Target="https://store.steampowered.com/publisher/GrabTheGames" TargetMode="External"/><Relationship Id="rId845" Type="http://schemas.openxmlformats.org/officeDocument/2006/relationships/hyperlink" Target="https://store.steampowered.com/curator/44253161" TargetMode="External"/><Relationship Id="rId840" Type="http://schemas.openxmlformats.org/officeDocument/2006/relationships/hyperlink" Target="https://ravenage.games/" TargetMode="External"/><Relationship Id="rId839" Type="http://schemas.openxmlformats.org/officeDocument/2006/relationships/hyperlink" Target="https://ravenage.games/" TargetMode="External"/><Relationship Id="rId838" Type="http://schemas.openxmlformats.org/officeDocument/2006/relationships/hyperlink" Target="https://gamalytic.com/publisher/Ishtar%20Games" TargetMode="External"/><Relationship Id="rId833" Type="http://schemas.openxmlformats.org/officeDocument/2006/relationships/hyperlink" Target="https://gamalytic.com/publisher/Digerati" TargetMode="External"/><Relationship Id="rId832" Type="http://schemas.openxmlformats.org/officeDocument/2006/relationships/hyperlink" Target="https://store.steampowered.com/publisher/Digerati" TargetMode="External"/><Relationship Id="rId831" Type="http://schemas.openxmlformats.org/officeDocument/2006/relationships/hyperlink" Target="https://www.digerati.games/contact/" TargetMode="External"/><Relationship Id="rId830" Type="http://schemas.openxmlformats.org/officeDocument/2006/relationships/hyperlink" Target="https://www.digerati.games/" TargetMode="External"/><Relationship Id="rId837" Type="http://schemas.openxmlformats.org/officeDocument/2006/relationships/hyperlink" Target="https://store.steampowered.com/developer/ishtargames" TargetMode="External"/><Relationship Id="rId836" Type="http://schemas.openxmlformats.org/officeDocument/2006/relationships/hyperlink" Target="https://www.linkedin.com/in/jordy-embun-8b3429a4/" TargetMode="External"/><Relationship Id="rId835" Type="http://schemas.openxmlformats.org/officeDocument/2006/relationships/hyperlink" Target="https://ishtar.games/" TargetMode="External"/><Relationship Id="rId834" Type="http://schemas.openxmlformats.org/officeDocument/2006/relationships/hyperlink" Target="https://poyskyproductions.com/" TargetMode="External"/><Relationship Id="rId228" Type="http://schemas.openxmlformats.org/officeDocument/2006/relationships/hyperlink" Target="https://gamalytic.com/publisher/Excalibur%20Games" TargetMode="External"/><Relationship Id="rId227" Type="http://schemas.openxmlformats.org/officeDocument/2006/relationships/hyperlink" Target="https://store.steampowered.com/publisher/excalibur-games" TargetMode="External"/><Relationship Id="rId469" Type="http://schemas.openxmlformats.org/officeDocument/2006/relationships/hyperlink" Target="https://store.steampowered.com/developer/ancientforge" TargetMode="External"/><Relationship Id="rId226" Type="http://schemas.openxmlformats.org/officeDocument/2006/relationships/hyperlink" Target="https://www.linkedin.com/in/steve-stopps-5628508/" TargetMode="External"/><Relationship Id="rId468" Type="http://schemas.openxmlformats.org/officeDocument/2006/relationships/hyperlink" Target="https://www.linkedin.com/in/dushan-chaciej/" TargetMode="External"/><Relationship Id="rId225" Type="http://schemas.openxmlformats.org/officeDocument/2006/relationships/hyperlink" Target="https://excalibur-games.com/" TargetMode="External"/><Relationship Id="rId467" Type="http://schemas.openxmlformats.org/officeDocument/2006/relationships/hyperlink" Target="https://ancientforgestudio.com/" TargetMode="External"/><Relationship Id="rId229" Type="http://schemas.openxmlformats.org/officeDocument/2006/relationships/hyperlink" Target="https://www.unitedlabelgames.com/" TargetMode="External"/><Relationship Id="rId220" Type="http://schemas.openxmlformats.org/officeDocument/2006/relationships/hyperlink" Target="https://gamalytic.com/publisher/Digital%20Bandidos" TargetMode="External"/><Relationship Id="rId462" Type="http://schemas.openxmlformats.org/officeDocument/2006/relationships/hyperlink" Target="https://store.steampowered.com/search/?publisher=Elda%20Entertainment" TargetMode="External"/><Relationship Id="rId461" Type="http://schemas.openxmlformats.org/officeDocument/2006/relationships/hyperlink" Target="https://www.linkedin.com/in/robincederholm/" TargetMode="External"/><Relationship Id="rId460" Type="http://schemas.openxmlformats.org/officeDocument/2006/relationships/hyperlink" Target="https://www.elda-entertainment.com/" TargetMode="External"/><Relationship Id="rId224" Type="http://schemas.openxmlformats.org/officeDocument/2006/relationships/hyperlink" Target="https://gamalytic.com/publisher/Spiral%20Up%20Games" TargetMode="External"/><Relationship Id="rId466" Type="http://schemas.openxmlformats.org/officeDocument/2006/relationships/hyperlink" Target="https://gamalytic.com/publisher/NAGA" TargetMode="External"/><Relationship Id="rId223" Type="http://schemas.openxmlformats.org/officeDocument/2006/relationships/hyperlink" Target="https://store.steampowered.com/publisher/spiralupgames" TargetMode="External"/><Relationship Id="rId465" Type="http://schemas.openxmlformats.org/officeDocument/2006/relationships/hyperlink" Target="https://store.steampowered.com/curator/45630690" TargetMode="External"/><Relationship Id="rId222" Type="http://schemas.openxmlformats.org/officeDocument/2006/relationships/hyperlink" Target="https://docs.google.com/forms/d/e/1FAIpQLSdXiem_6fw-1FZIDa_xEPKlJ0o_LRPxzdYiXuExx7Aw2obXBA/viewform" TargetMode="External"/><Relationship Id="rId464" Type="http://schemas.openxmlformats.org/officeDocument/2006/relationships/hyperlink" Target="https://www.naga-publishing.com/" TargetMode="External"/><Relationship Id="rId221" Type="http://schemas.openxmlformats.org/officeDocument/2006/relationships/hyperlink" Target="https://www.spiralupgames.com/" TargetMode="External"/><Relationship Id="rId463" Type="http://schemas.openxmlformats.org/officeDocument/2006/relationships/hyperlink" Target="https://gamalytic.com/publisher/Elda%20Entertainment" TargetMode="External"/><Relationship Id="rId217" Type="http://schemas.openxmlformats.org/officeDocument/2006/relationships/hyperlink" Target="https://digitalbandidos.com/submit-a-game/" TargetMode="External"/><Relationship Id="rId459" Type="http://schemas.openxmlformats.org/officeDocument/2006/relationships/hyperlink" Target="https://gamalytic.com/publisher/Envar%20Publishing" TargetMode="External"/><Relationship Id="rId216" Type="http://schemas.openxmlformats.org/officeDocument/2006/relationships/hyperlink" Target="https://digitalbandidos.com/" TargetMode="External"/><Relationship Id="rId458" Type="http://schemas.openxmlformats.org/officeDocument/2006/relationships/hyperlink" Target="https://store.steampowered.com/search/?publisher=Envar%20Publishing" TargetMode="External"/><Relationship Id="rId215" Type="http://schemas.openxmlformats.org/officeDocument/2006/relationships/hyperlink" Target="https://gamalytic.com/publisher/offbrand%20games" TargetMode="External"/><Relationship Id="rId457" Type="http://schemas.openxmlformats.org/officeDocument/2006/relationships/hyperlink" Target="https://www.linkedin.com/in/liam-o-neill-45068750/" TargetMode="External"/><Relationship Id="rId699" Type="http://schemas.openxmlformats.org/officeDocument/2006/relationships/hyperlink" Target="https://store.steampowered.com/publisher/popagenda" TargetMode="External"/><Relationship Id="rId214" Type="http://schemas.openxmlformats.org/officeDocument/2006/relationships/hyperlink" Target="https://store.steampowered.com/publisher/offbrandgames" TargetMode="External"/><Relationship Id="rId456" Type="http://schemas.openxmlformats.org/officeDocument/2006/relationships/hyperlink" Target="https://www.envarstudio.com/publishing" TargetMode="External"/><Relationship Id="rId698" Type="http://schemas.openxmlformats.org/officeDocument/2006/relationships/hyperlink" Target="https://x.com/NicolasVerge" TargetMode="External"/><Relationship Id="rId219" Type="http://schemas.openxmlformats.org/officeDocument/2006/relationships/hyperlink" Target="https://store.steampowered.com/curator/45135283" TargetMode="External"/><Relationship Id="rId218" Type="http://schemas.openxmlformats.org/officeDocument/2006/relationships/hyperlink" Target="https://www.linkedin.com/in/lcj0025/" TargetMode="External"/><Relationship Id="rId451" Type="http://schemas.openxmlformats.org/officeDocument/2006/relationships/hyperlink" Target="https://www.linkedin.com/in/ibrahimyildirim/" TargetMode="External"/><Relationship Id="rId693" Type="http://schemas.openxmlformats.org/officeDocument/2006/relationships/hyperlink" Target="https://www.linkedin.com/in/lili-zehui-zang-%E2%9C%88gamescom-86b20a164/" TargetMode="External"/><Relationship Id="rId450" Type="http://schemas.openxmlformats.org/officeDocument/2006/relationships/hyperlink" Target="https://tarkgames.com/submit" TargetMode="External"/><Relationship Id="rId692" Type="http://schemas.openxmlformats.org/officeDocument/2006/relationships/hyperlink" Target="https://www.agoragamingpartners.com/" TargetMode="External"/><Relationship Id="rId691" Type="http://schemas.openxmlformats.org/officeDocument/2006/relationships/hyperlink" Target="https://www.linkedin.com/in/michael-anderson-381a3952/" TargetMode="External"/><Relationship Id="rId690" Type="http://schemas.openxmlformats.org/officeDocument/2006/relationships/hyperlink" Target="https://www.nightsight.games/" TargetMode="External"/><Relationship Id="rId213" Type="http://schemas.openxmlformats.org/officeDocument/2006/relationships/hyperlink" Target="https://www.linkedin.com/in/ldeeep/" TargetMode="External"/><Relationship Id="rId455" Type="http://schemas.openxmlformats.org/officeDocument/2006/relationships/hyperlink" Target="https://www.envarstudio.com/" TargetMode="External"/><Relationship Id="rId697" Type="http://schemas.openxmlformats.org/officeDocument/2006/relationships/hyperlink" Target="https://popagenda.co/" TargetMode="External"/><Relationship Id="rId212" Type="http://schemas.openxmlformats.org/officeDocument/2006/relationships/hyperlink" Target="https://offbrand.gg/devs/" TargetMode="External"/><Relationship Id="rId454" Type="http://schemas.openxmlformats.org/officeDocument/2006/relationships/hyperlink" Target="https://gamalytic.com/publisher/TARK" TargetMode="External"/><Relationship Id="rId696" Type="http://schemas.openxmlformats.org/officeDocument/2006/relationships/hyperlink" Target="https://www.neonhearth.ca/pitch" TargetMode="External"/><Relationship Id="rId211" Type="http://schemas.openxmlformats.org/officeDocument/2006/relationships/hyperlink" Target="https://offbrand.gg/" TargetMode="External"/><Relationship Id="rId453" Type="http://schemas.openxmlformats.org/officeDocument/2006/relationships/hyperlink" Target="https://store.steampowered.com/publisher/tark" TargetMode="External"/><Relationship Id="rId695" Type="http://schemas.openxmlformats.org/officeDocument/2006/relationships/hyperlink" Target="https://neonhearth.ca/" TargetMode="External"/><Relationship Id="rId210" Type="http://schemas.openxmlformats.org/officeDocument/2006/relationships/hyperlink" Target="https://gamalytic.com/publisher/Sidekick%20Publishing" TargetMode="External"/><Relationship Id="rId452" Type="http://schemas.openxmlformats.org/officeDocument/2006/relationships/hyperlink" Target="https://www.linkedin.com/in/ibrahimyildirim/" TargetMode="External"/><Relationship Id="rId694" Type="http://schemas.openxmlformats.org/officeDocument/2006/relationships/hyperlink" Target="https://www.re-koup.com/" TargetMode="External"/><Relationship Id="rId491" Type="http://schemas.openxmlformats.org/officeDocument/2006/relationships/hyperlink" Target="https://www.herocraft.com/" TargetMode="External"/><Relationship Id="rId490" Type="http://schemas.openxmlformats.org/officeDocument/2006/relationships/hyperlink" Target="https://gamalytic.com/publisher/Wired%20Productions" TargetMode="External"/><Relationship Id="rId249" Type="http://schemas.openxmlformats.org/officeDocument/2006/relationships/hyperlink" Target="https://gamalytic.com/publisher/Gameforge%204D%20GmbH" TargetMode="External"/><Relationship Id="rId248" Type="http://schemas.openxmlformats.org/officeDocument/2006/relationships/hyperlink" Target="https://store.steampowered.com/publisher/Gameforge" TargetMode="External"/><Relationship Id="rId247" Type="http://schemas.openxmlformats.org/officeDocument/2006/relationships/hyperlink" Target="https://www.linkedin.com/in/peter-stein/" TargetMode="External"/><Relationship Id="rId489" Type="http://schemas.openxmlformats.org/officeDocument/2006/relationships/hyperlink" Target="https://store.steampowered.com/publisher/WIRED" TargetMode="External"/><Relationship Id="rId242" Type="http://schemas.openxmlformats.org/officeDocument/2006/relationships/hyperlink" Target="https://thunderfulgames.com/" TargetMode="External"/><Relationship Id="rId484" Type="http://schemas.openxmlformats.org/officeDocument/2006/relationships/hyperlink" Target="https://store.steampowered.com/publisher/Dear-Villagers" TargetMode="External"/><Relationship Id="rId241" Type="http://schemas.openxmlformats.org/officeDocument/2006/relationships/hyperlink" Target="https://gamalytic.com/publisher/Forklift%20Interactive" TargetMode="External"/><Relationship Id="rId483" Type="http://schemas.openxmlformats.org/officeDocument/2006/relationships/hyperlink" Target="mailto:gwozniak@plugindigital.com" TargetMode="External"/><Relationship Id="rId240" Type="http://schemas.openxmlformats.org/officeDocument/2006/relationships/hyperlink" Target="https://store.steampowered.com/publisher/forklift" TargetMode="External"/><Relationship Id="rId482" Type="http://schemas.openxmlformats.org/officeDocument/2006/relationships/hyperlink" Target="https://dearvillagers.com/pitch-your-game-form/" TargetMode="External"/><Relationship Id="rId481" Type="http://schemas.openxmlformats.org/officeDocument/2006/relationships/hyperlink" Target="https://dearvillagers.com/" TargetMode="External"/><Relationship Id="rId246" Type="http://schemas.openxmlformats.org/officeDocument/2006/relationships/hyperlink" Target="https://gameforge.com/en-GB/" TargetMode="External"/><Relationship Id="rId488" Type="http://schemas.openxmlformats.org/officeDocument/2006/relationships/hyperlink" Target="https://www.linkedin.com/in/kevinleathersuk/" TargetMode="External"/><Relationship Id="rId245" Type="http://schemas.openxmlformats.org/officeDocument/2006/relationships/hyperlink" Target="https://gamalytic.com/publisher/Thunderful%20Publishing" TargetMode="External"/><Relationship Id="rId487" Type="http://schemas.openxmlformats.org/officeDocument/2006/relationships/hyperlink" Target="https://wiredproductions.com/contact/" TargetMode="External"/><Relationship Id="rId244" Type="http://schemas.openxmlformats.org/officeDocument/2006/relationships/hyperlink" Target="https://store.steampowered.com/publisher/thunderfulpublishing" TargetMode="External"/><Relationship Id="rId486" Type="http://schemas.openxmlformats.org/officeDocument/2006/relationships/hyperlink" Target="https://wiredproductions.com/" TargetMode="External"/><Relationship Id="rId243" Type="http://schemas.openxmlformats.org/officeDocument/2006/relationships/hyperlink" Target="https://thunderfulgames.com/pitch-a-game/" TargetMode="External"/><Relationship Id="rId485" Type="http://schemas.openxmlformats.org/officeDocument/2006/relationships/hyperlink" Target="https://gamalytic.com/publisher/Dear%20Villagers" TargetMode="External"/><Relationship Id="rId480" Type="http://schemas.openxmlformats.org/officeDocument/2006/relationships/hyperlink" Target="https://gamalytic.com/publisher/Aquila%20Interactive" TargetMode="External"/><Relationship Id="rId239" Type="http://schemas.openxmlformats.org/officeDocument/2006/relationships/hyperlink" Target="https://www.linkedin.com/in/podopriguez/" TargetMode="External"/><Relationship Id="rId238" Type="http://schemas.openxmlformats.org/officeDocument/2006/relationships/hyperlink" Target="https://www.forklift.gg/" TargetMode="External"/><Relationship Id="rId237" Type="http://schemas.openxmlformats.org/officeDocument/2006/relationships/hyperlink" Target="https://gamalytic.com/publisher/META%20Publishing" TargetMode="External"/><Relationship Id="rId479" Type="http://schemas.openxmlformats.org/officeDocument/2006/relationships/hyperlink" Target="https://store.steampowered.com/publisher/AquilaInteractive" TargetMode="External"/><Relationship Id="rId236" Type="http://schemas.openxmlformats.org/officeDocument/2006/relationships/hyperlink" Target="https://store.steampowered.com/publisher/MetaPublishing" TargetMode="External"/><Relationship Id="rId478" Type="http://schemas.openxmlformats.org/officeDocument/2006/relationships/hyperlink" Target="https://www.linkedin.com/in/lampickas/" TargetMode="External"/><Relationship Id="rId231" Type="http://schemas.openxmlformats.org/officeDocument/2006/relationships/hyperlink" Target="https://store.steampowered.com/curator/35979300-United-Label" TargetMode="External"/><Relationship Id="rId473" Type="http://schemas.openxmlformats.org/officeDocument/2006/relationships/hyperlink" Target="mailto:submissions@silverliningint.com" TargetMode="External"/><Relationship Id="rId230" Type="http://schemas.openxmlformats.org/officeDocument/2006/relationships/hyperlink" Target="https://forms.monday.com/forms/347d5f193a6463eb9f0a11a38599bf57?r=euc1" TargetMode="External"/><Relationship Id="rId472" Type="http://schemas.openxmlformats.org/officeDocument/2006/relationships/hyperlink" Target="https://www.silverliningint.com/pitch-your-game" TargetMode="External"/><Relationship Id="rId471" Type="http://schemas.openxmlformats.org/officeDocument/2006/relationships/hyperlink" Target="https://www.silverliningint.com/" TargetMode="External"/><Relationship Id="rId470" Type="http://schemas.openxmlformats.org/officeDocument/2006/relationships/hyperlink" Target="https://gamalytic.com/publisher/Ancient%20Forge" TargetMode="External"/><Relationship Id="rId235" Type="http://schemas.openxmlformats.org/officeDocument/2006/relationships/hyperlink" Target="https://www.linkedin.com/in/ilyagrabelnikov/" TargetMode="External"/><Relationship Id="rId477" Type="http://schemas.openxmlformats.org/officeDocument/2006/relationships/hyperlink" Target="https://aquilainteractive.io/" TargetMode="External"/><Relationship Id="rId234" Type="http://schemas.openxmlformats.org/officeDocument/2006/relationships/hyperlink" Target="https://metapublishing.io/for-developers/" TargetMode="External"/><Relationship Id="rId476" Type="http://schemas.openxmlformats.org/officeDocument/2006/relationships/hyperlink" Target="https://gamalytic.com/publisher/Silver%20Lining%20Interactive" TargetMode="External"/><Relationship Id="rId233" Type="http://schemas.openxmlformats.org/officeDocument/2006/relationships/hyperlink" Target="https://metapublishing.io/" TargetMode="External"/><Relationship Id="rId475" Type="http://schemas.openxmlformats.org/officeDocument/2006/relationships/hyperlink" Target="https://store.steampowered.com/curator/45287187" TargetMode="External"/><Relationship Id="rId232" Type="http://schemas.openxmlformats.org/officeDocument/2006/relationships/hyperlink" Target="https://gamalytic.com/publisher/United%20Label" TargetMode="External"/><Relationship Id="rId474" Type="http://schemas.openxmlformats.org/officeDocument/2006/relationships/hyperlink" Target="https://www.linkedin.com/in/thomas-griffiths-8572b518a/" TargetMode="External"/><Relationship Id="rId426" Type="http://schemas.openxmlformats.org/officeDocument/2006/relationships/hyperlink" Target="https://maximument.com/" TargetMode="External"/><Relationship Id="rId668" Type="http://schemas.openxmlformats.org/officeDocument/2006/relationships/hyperlink" Target="https://practicalmedia.io/" TargetMode="External"/><Relationship Id="rId425" Type="http://schemas.openxmlformats.org/officeDocument/2006/relationships/hyperlink" Target="https://gamalytic.com/publisher/Exothermic" TargetMode="External"/><Relationship Id="rId667" Type="http://schemas.openxmlformats.org/officeDocument/2006/relationships/hyperlink" Target="https://gamalytic.com/publisher/GIGATANK%203000" TargetMode="External"/><Relationship Id="rId424" Type="http://schemas.openxmlformats.org/officeDocument/2006/relationships/hyperlink" Target="https://store.steampowered.com/publisher/Exothermic" TargetMode="External"/><Relationship Id="rId666" Type="http://schemas.openxmlformats.org/officeDocument/2006/relationships/hyperlink" Target="https://store.steampowered.com/publisher/GIGATANK3000" TargetMode="External"/><Relationship Id="rId423" Type="http://schemas.openxmlformats.org/officeDocument/2006/relationships/hyperlink" Target="mailto:support@exothermic.co" TargetMode="External"/><Relationship Id="rId665" Type="http://schemas.openxmlformats.org/officeDocument/2006/relationships/hyperlink" Target="https://twitter.com/GIGATANK3000" TargetMode="External"/><Relationship Id="rId429" Type="http://schemas.openxmlformats.org/officeDocument/2006/relationships/hyperlink" Target="https://store.steampowered.com/developer/maximumentertainment" TargetMode="External"/><Relationship Id="rId428" Type="http://schemas.openxmlformats.org/officeDocument/2006/relationships/hyperlink" Target="https://www.linkedin.com/in/tgenre/" TargetMode="External"/><Relationship Id="rId427" Type="http://schemas.openxmlformats.org/officeDocument/2006/relationships/hyperlink" Target="https://maximument.com/publishing/" TargetMode="External"/><Relationship Id="rId669" Type="http://schemas.openxmlformats.org/officeDocument/2006/relationships/hyperlink" Target="https://practicalmedia.com/contact" TargetMode="External"/><Relationship Id="rId660" Type="http://schemas.openxmlformats.org/officeDocument/2006/relationships/hyperlink" Target="https://twitter.com/scg_krasstv" TargetMode="External"/><Relationship Id="rId422" Type="http://schemas.openxmlformats.org/officeDocument/2006/relationships/hyperlink" Target="https://exothermic.co/" TargetMode="External"/><Relationship Id="rId664" Type="http://schemas.openxmlformats.org/officeDocument/2006/relationships/hyperlink" Target="https://gigatank3000.com/publishing/" TargetMode="External"/><Relationship Id="rId421" Type="http://schemas.openxmlformats.org/officeDocument/2006/relationships/hyperlink" Target="https://gamalytic.com/publisher/Armor%20Games%20Studios" TargetMode="External"/><Relationship Id="rId663" Type="http://schemas.openxmlformats.org/officeDocument/2006/relationships/hyperlink" Target="https://gigatank3000.com/" TargetMode="External"/><Relationship Id="rId420" Type="http://schemas.openxmlformats.org/officeDocument/2006/relationships/hyperlink" Target="https://store.steampowered.com/publisher/armorgamesstudios" TargetMode="External"/><Relationship Id="rId662" Type="http://schemas.openxmlformats.org/officeDocument/2006/relationships/hyperlink" Target="https://gamalytic.com/publisher/Static%20City%20Games" TargetMode="External"/><Relationship Id="rId661" Type="http://schemas.openxmlformats.org/officeDocument/2006/relationships/hyperlink" Target="https://store.steampowered.com/dev/staticcitygames" TargetMode="External"/><Relationship Id="rId415" Type="http://schemas.openxmlformats.org/officeDocument/2006/relationships/hyperlink" Target="https://www.linkedin.com/in/phil-pradel-581180188/" TargetMode="External"/><Relationship Id="rId657" Type="http://schemas.openxmlformats.org/officeDocument/2006/relationships/hyperlink" Target="https://store.steampowered.com/publisher/nogravitygames" TargetMode="External"/><Relationship Id="rId899" Type="http://schemas.openxmlformats.org/officeDocument/2006/relationships/hyperlink" Target="https://gamalytic.com/publisher/Null%20Games" TargetMode="External"/><Relationship Id="rId414" Type="http://schemas.openxmlformats.org/officeDocument/2006/relationships/hyperlink" Target="https://spotlight.deck13.com/contact-us/" TargetMode="External"/><Relationship Id="rId656" Type="http://schemas.openxmlformats.org/officeDocument/2006/relationships/hyperlink" Target="https://www.linkedin.com/in/aleksierzega/" TargetMode="External"/><Relationship Id="rId898" Type="http://schemas.openxmlformats.org/officeDocument/2006/relationships/hyperlink" Target="https://store.steampowered.com/publisher/null" TargetMode="External"/><Relationship Id="rId413" Type="http://schemas.openxmlformats.org/officeDocument/2006/relationships/hyperlink" Target="https://spotlight.deck13.com/" TargetMode="External"/><Relationship Id="rId655" Type="http://schemas.openxmlformats.org/officeDocument/2006/relationships/hyperlink" Target="http://www.nogravitygames.com/" TargetMode="External"/><Relationship Id="rId897" Type="http://schemas.openxmlformats.org/officeDocument/2006/relationships/hyperlink" Target="https://www.linkedin.com/in/michael-ailshie-b85b785a/" TargetMode="External"/><Relationship Id="rId412" Type="http://schemas.openxmlformats.org/officeDocument/2006/relationships/hyperlink" Target="https://gamalytic.com/publisher/Wales%20Interactive" TargetMode="External"/><Relationship Id="rId654" Type="http://schemas.openxmlformats.org/officeDocument/2006/relationships/hyperlink" Target="https://gamalytic.com/publisher/JanduSoft" TargetMode="External"/><Relationship Id="rId896" Type="http://schemas.openxmlformats.org/officeDocument/2006/relationships/hyperlink" Target="https://null.com/pitch" TargetMode="External"/><Relationship Id="rId419" Type="http://schemas.openxmlformats.org/officeDocument/2006/relationships/hyperlink" Target="https://armorgamesstudios.com/publishing" TargetMode="External"/><Relationship Id="rId418" Type="http://schemas.openxmlformats.org/officeDocument/2006/relationships/hyperlink" Target="https://armorgamesstudios.com" TargetMode="External"/><Relationship Id="rId417" Type="http://schemas.openxmlformats.org/officeDocument/2006/relationships/hyperlink" Target="https://gamalytic.com/publisher/Deck13" TargetMode="External"/><Relationship Id="rId659" Type="http://schemas.openxmlformats.org/officeDocument/2006/relationships/hyperlink" Target="https://staticcitygames.com/" TargetMode="External"/><Relationship Id="rId416" Type="http://schemas.openxmlformats.org/officeDocument/2006/relationships/hyperlink" Target="https://store.steampowered.com/publisher/DECK13" TargetMode="External"/><Relationship Id="rId658" Type="http://schemas.openxmlformats.org/officeDocument/2006/relationships/hyperlink" Target="https://gamalytic.com/publisher/No%20Gravity%20Games" TargetMode="External"/><Relationship Id="rId891" Type="http://schemas.openxmlformats.org/officeDocument/2006/relationships/hyperlink" Target="https://rogueco.com/" TargetMode="External"/><Relationship Id="rId890" Type="http://schemas.openxmlformats.org/officeDocument/2006/relationships/hyperlink" Target="https://gamalytic.com/publisher/Whisper%20Games" TargetMode="External"/><Relationship Id="rId411" Type="http://schemas.openxmlformats.org/officeDocument/2006/relationships/hyperlink" Target="https://store.steampowered.com/publisher/WalesInteractive" TargetMode="External"/><Relationship Id="rId653" Type="http://schemas.openxmlformats.org/officeDocument/2006/relationships/hyperlink" Target="https://store.steampowered.com/publisher/jandusoft" TargetMode="External"/><Relationship Id="rId895" Type="http://schemas.openxmlformats.org/officeDocument/2006/relationships/hyperlink" Target="https://null.com/" TargetMode="External"/><Relationship Id="rId410" Type="http://schemas.openxmlformats.org/officeDocument/2006/relationships/hyperlink" Target="https://www.linkedin.com/in/davidbanner/" TargetMode="External"/><Relationship Id="rId652" Type="http://schemas.openxmlformats.org/officeDocument/2006/relationships/hyperlink" Target="https://www.linkedin.com/in/jandujar2/" TargetMode="External"/><Relationship Id="rId894" Type="http://schemas.openxmlformats.org/officeDocument/2006/relationships/hyperlink" Target="https://gamalytic.com/publisher/Rogue%20Games,%20Inc." TargetMode="External"/><Relationship Id="rId651" Type="http://schemas.openxmlformats.org/officeDocument/2006/relationships/hyperlink" Target="https://www.jandusoft.com/pitchusyourgame/" TargetMode="External"/><Relationship Id="rId893" Type="http://schemas.openxmlformats.org/officeDocument/2006/relationships/hyperlink" Target="https://store.steampowered.com/publisher/roguegamesinc" TargetMode="External"/><Relationship Id="rId650" Type="http://schemas.openxmlformats.org/officeDocument/2006/relationships/hyperlink" Target="https://www.jandusoft.com/" TargetMode="External"/><Relationship Id="rId892" Type="http://schemas.openxmlformats.org/officeDocument/2006/relationships/hyperlink" Target="https://rogueco.com/contact/developer/" TargetMode="External"/><Relationship Id="rId206" Type="http://schemas.openxmlformats.org/officeDocument/2006/relationships/hyperlink" Target="https://gamalytic.com/publisher/Big%20Cheese%20Studio" TargetMode="External"/><Relationship Id="rId448" Type="http://schemas.openxmlformats.org/officeDocument/2006/relationships/hyperlink" Target="https://gamalytic.com/publisher/Isolated%20Games" TargetMode="External"/><Relationship Id="rId205" Type="http://schemas.openxmlformats.org/officeDocument/2006/relationships/hyperlink" Target="https://store.steampowered.com/developer/bigcheesestudio" TargetMode="External"/><Relationship Id="rId447" Type="http://schemas.openxmlformats.org/officeDocument/2006/relationships/hyperlink" Target="https://store.steampowered.com/developer/isolatedgames" TargetMode="External"/><Relationship Id="rId689" Type="http://schemas.openxmlformats.org/officeDocument/2006/relationships/hyperlink" Target="https://www.linkedin.com/in/eduardofmenezes/" TargetMode="External"/><Relationship Id="rId204" Type="http://schemas.openxmlformats.org/officeDocument/2006/relationships/hyperlink" Target="https://www.linkedin.com/in/mateusz-dudkowski-35b586168/" TargetMode="External"/><Relationship Id="rId446" Type="http://schemas.openxmlformats.org/officeDocument/2006/relationships/hyperlink" Target="mailto:andres.ruiz@isolatedgames.com" TargetMode="External"/><Relationship Id="rId688" Type="http://schemas.openxmlformats.org/officeDocument/2006/relationships/hyperlink" Target="https://www.alchemy.games/home" TargetMode="External"/><Relationship Id="rId203" Type="http://schemas.openxmlformats.org/officeDocument/2006/relationships/hyperlink" Target="https://bigcheesestudio.com/index.php/en/contact/" TargetMode="External"/><Relationship Id="rId445" Type="http://schemas.openxmlformats.org/officeDocument/2006/relationships/hyperlink" Target="https://www.isolatedgames.com/" TargetMode="External"/><Relationship Id="rId687" Type="http://schemas.openxmlformats.org/officeDocument/2006/relationships/hyperlink" Target="https://www.alchemy.games/" TargetMode="External"/><Relationship Id="rId209" Type="http://schemas.openxmlformats.org/officeDocument/2006/relationships/hyperlink" Target="https://store.steampowered.com/publisher/sidekick" TargetMode="External"/><Relationship Id="rId208" Type="http://schemas.openxmlformats.org/officeDocument/2006/relationships/hyperlink" Target="https://www.linkedin.com/in/melvin-frank/" TargetMode="External"/><Relationship Id="rId207" Type="http://schemas.openxmlformats.org/officeDocument/2006/relationships/hyperlink" Target="https://sidekickpublishing.com/" TargetMode="External"/><Relationship Id="rId449" Type="http://schemas.openxmlformats.org/officeDocument/2006/relationships/hyperlink" Target="https://tarkgames.com/" TargetMode="External"/><Relationship Id="rId440" Type="http://schemas.openxmlformats.org/officeDocument/2006/relationships/hyperlink" Target="https://gamalytic.com/publisher/DreadXP" TargetMode="External"/><Relationship Id="rId682" Type="http://schemas.openxmlformats.org/officeDocument/2006/relationships/hyperlink" Target="https://www.farmeargames.com/" TargetMode="External"/><Relationship Id="rId681" Type="http://schemas.openxmlformats.org/officeDocument/2006/relationships/hyperlink" Target="https://gamalytic.com/publisher/Entalto%20Publishing" TargetMode="External"/><Relationship Id="rId680" Type="http://schemas.openxmlformats.org/officeDocument/2006/relationships/hyperlink" Target="https://store.steampowered.com/publisher/EntaltoStudios/" TargetMode="External"/><Relationship Id="rId202" Type="http://schemas.openxmlformats.org/officeDocument/2006/relationships/hyperlink" Target="https://bigcheesestudio.com/index.php/en/home-eng/" TargetMode="External"/><Relationship Id="rId444" Type="http://schemas.openxmlformats.org/officeDocument/2006/relationships/hyperlink" Target="https://gamalytic.com/publisher/Headup%20Publishing" TargetMode="External"/><Relationship Id="rId686" Type="http://schemas.openxmlformats.org/officeDocument/2006/relationships/hyperlink" Target="https://www.darkproduct.com/" TargetMode="External"/><Relationship Id="rId201" Type="http://schemas.openxmlformats.org/officeDocument/2006/relationships/hyperlink" Target="https://gamalytic.com/publisher/rokaplay" TargetMode="External"/><Relationship Id="rId443" Type="http://schemas.openxmlformats.org/officeDocument/2006/relationships/hyperlink" Target="https://store.steampowered.com/publisher/Headup" TargetMode="External"/><Relationship Id="rId685" Type="http://schemas.openxmlformats.org/officeDocument/2006/relationships/hyperlink" Target="https://gamalytic.com/publisher/Farmear%20Games" TargetMode="External"/><Relationship Id="rId200" Type="http://schemas.openxmlformats.org/officeDocument/2006/relationships/hyperlink" Target="https://store.steampowered.com/publisher/rokaplay" TargetMode="External"/><Relationship Id="rId442" Type="http://schemas.openxmlformats.org/officeDocument/2006/relationships/hyperlink" Target="https://www.linkedin.com/in/julialkenny/" TargetMode="External"/><Relationship Id="rId684" Type="http://schemas.openxmlformats.org/officeDocument/2006/relationships/hyperlink" Target="https://store.steampowered.com/publisher/Farmear%20Games" TargetMode="External"/><Relationship Id="rId441" Type="http://schemas.openxmlformats.org/officeDocument/2006/relationships/hyperlink" Target="https://twitter.com/HeadupGames" TargetMode="External"/><Relationship Id="rId683" Type="http://schemas.openxmlformats.org/officeDocument/2006/relationships/hyperlink" Target="https://www.linkedin.com/in/diegofreijo/" TargetMode="External"/><Relationship Id="rId437" Type="http://schemas.openxmlformats.org/officeDocument/2006/relationships/hyperlink" Target="https://www.dreadxp.com/" TargetMode="External"/><Relationship Id="rId679" Type="http://schemas.openxmlformats.org/officeDocument/2006/relationships/hyperlink" Target="https://www.linkedin.com/in/enrique-martinez-romero/" TargetMode="External"/><Relationship Id="rId436" Type="http://schemas.openxmlformats.org/officeDocument/2006/relationships/hyperlink" Target="https://gamalytic.com/publisher/Neverland%20Entertainment" TargetMode="External"/><Relationship Id="rId678" Type="http://schemas.openxmlformats.org/officeDocument/2006/relationships/hyperlink" Target="https://www.entaltostudios.com/contact" TargetMode="External"/><Relationship Id="rId435" Type="http://schemas.openxmlformats.org/officeDocument/2006/relationships/hyperlink" Target="https://store.steampowered.com/publisher/Neverland" TargetMode="External"/><Relationship Id="rId677" Type="http://schemas.openxmlformats.org/officeDocument/2006/relationships/hyperlink" Target="https://www.entaltostudios.com/" TargetMode="External"/><Relationship Id="rId434" Type="http://schemas.openxmlformats.org/officeDocument/2006/relationships/hyperlink" Target="https://www.nlentmt.com/" TargetMode="External"/><Relationship Id="rId676" Type="http://schemas.openxmlformats.org/officeDocument/2006/relationships/hyperlink" Target="https://gamalytic.com/publisher/Perfect%20Gen" TargetMode="External"/><Relationship Id="rId439" Type="http://schemas.openxmlformats.org/officeDocument/2006/relationships/hyperlink" Target="https://store.steampowered.com/publisher/DreadXP" TargetMode="External"/><Relationship Id="rId438" Type="http://schemas.openxmlformats.org/officeDocument/2006/relationships/hyperlink" Target="https://www.linkedin.com/in/henryhoare/" TargetMode="External"/><Relationship Id="rId671" Type="http://schemas.openxmlformats.org/officeDocument/2006/relationships/hyperlink" Target="https://store.steampowered.com/publisher/practicalmedia" TargetMode="External"/><Relationship Id="rId670" Type="http://schemas.openxmlformats.org/officeDocument/2006/relationships/hyperlink" Target="https://www.linkedin.com/in/practicalnpc" TargetMode="External"/><Relationship Id="rId433" Type="http://schemas.openxmlformats.org/officeDocument/2006/relationships/hyperlink" Target="https://gamalytic.com/publisher/Blumhouse%20Games" TargetMode="External"/><Relationship Id="rId675" Type="http://schemas.openxmlformats.org/officeDocument/2006/relationships/hyperlink" Target="https://store.steampowered.com/search/?developer=Perfect%20Gen" TargetMode="External"/><Relationship Id="rId432" Type="http://schemas.openxmlformats.org/officeDocument/2006/relationships/hyperlink" Target="https://store.steampowered.com/publisher/blumhousegames" TargetMode="External"/><Relationship Id="rId674" Type="http://schemas.openxmlformats.org/officeDocument/2006/relationships/hyperlink" Target="https://docs.google.com/forms/d/e/1FAIpQLSfptLb2VsdkmVH1T1eq_kTgzs2uFUtAIp3zRo5caQzcy4CYfQ/viewform" TargetMode="External"/><Relationship Id="rId431" Type="http://schemas.openxmlformats.org/officeDocument/2006/relationships/hyperlink" Target="https://www.blumhouse.com/games" TargetMode="External"/><Relationship Id="rId673" Type="http://schemas.openxmlformats.org/officeDocument/2006/relationships/hyperlink" Target="https://www.pg-publishing.com/" TargetMode="External"/><Relationship Id="rId430" Type="http://schemas.openxmlformats.org/officeDocument/2006/relationships/hyperlink" Target="https://gamalytic.com/publisher/Maximum%20Entertainment" TargetMode="External"/><Relationship Id="rId672" Type="http://schemas.openxmlformats.org/officeDocument/2006/relationships/hyperlink" Target="https://gamalytic.com/publisher/Practical%20Media"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gamalytic.com/publisher/Fulqrum%20Publishing" TargetMode="External"/><Relationship Id="rId194" Type="http://schemas.openxmlformats.org/officeDocument/2006/relationships/hyperlink" Target="https://playway.com/en/" TargetMode="External"/><Relationship Id="rId193" Type="http://schemas.openxmlformats.org/officeDocument/2006/relationships/hyperlink" Target="https://gamalytic.com/publisher/MicroProse%20Software" TargetMode="External"/><Relationship Id="rId192" Type="http://schemas.openxmlformats.org/officeDocument/2006/relationships/hyperlink" Target="https://store.steampowered.com/publisher/microprose" TargetMode="External"/><Relationship Id="rId191" Type="http://schemas.openxmlformats.org/officeDocument/2006/relationships/hyperlink" Target="https://www.microprose.com/" TargetMode="External"/><Relationship Id="rId187" Type="http://schemas.openxmlformats.org/officeDocument/2006/relationships/hyperlink" Target="https://gamalytic.com/publisher/2P%20Games" TargetMode="External"/><Relationship Id="rId186" Type="http://schemas.openxmlformats.org/officeDocument/2006/relationships/hyperlink" Target="https://store.steampowered.com/publisher/2pgames" TargetMode="External"/><Relationship Id="rId185" Type="http://schemas.openxmlformats.org/officeDocument/2006/relationships/hyperlink" Target="http://www.linkedin.com/in/steven-zeng-648517a5" TargetMode="External"/><Relationship Id="rId184" Type="http://schemas.openxmlformats.org/officeDocument/2006/relationships/hyperlink" Target="https://2pgames.net/en/" TargetMode="External"/><Relationship Id="rId189" Type="http://schemas.openxmlformats.org/officeDocument/2006/relationships/hyperlink" Target="https://store.steampowered.com/franchise/FulqrumPublishing" TargetMode="External"/><Relationship Id="rId188" Type="http://schemas.openxmlformats.org/officeDocument/2006/relationships/hyperlink" Target="https://www.fulqrumpublishing.com/" TargetMode="External"/><Relationship Id="rId183" Type="http://schemas.openxmlformats.org/officeDocument/2006/relationships/hyperlink" Target="https://gamalytic.com/publisher/Gamera%20Games" TargetMode="External"/><Relationship Id="rId182" Type="http://schemas.openxmlformats.org/officeDocument/2006/relationships/hyperlink" Target="https://store.steampowered.com/publisher/gamirrorgames" TargetMode="External"/><Relationship Id="rId181" Type="http://schemas.openxmlformats.org/officeDocument/2006/relationships/hyperlink" Target="https://jp.linkedin.com/in/uzuki" TargetMode="External"/><Relationship Id="rId180" Type="http://schemas.openxmlformats.org/officeDocument/2006/relationships/hyperlink" Target="https://www.gamirrorgames.com/contact" TargetMode="External"/><Relationship Id="rId176" Type="http://schemas.openxmlformats.org/officeDocument/2006/relationships/hyperlink" Target="https://www.linkedin.com/in/ziya-wei-ab5ba941a/" TargetMode="External"/><Relationship Id="rId175" Type="http://schemas.openxmlformats.org/officeDocument/2006/relationships/hyperlink" Target="https://forms.clickup.com/p/f/2axdz-601/81QBJSB3SI99Q4WU8S/project-submission" TargetMode="External"/><Relationship Id="rId174" Type="http://schemas.openxmlformats.org/officeDocument/2006/relationships/hyperlink" Target="https://5icube.com/index.html" TargetMode="External"/><Relationship Id="rId173" Type="http://schemas.openxmlformats.org/officeDocument/2006/relationships/hyperlink" Target="https://store.steampowered.com/publisher/Playism" TargetMode="External"/><Relationship Id="rId179" Type="http://schemas.openxmlformats.org/officeDocument/2006/relationships/hyperlink" Target="https://www.gamirrorgames.com/" TargetMode="External"/><Relationship Id="rId178" Type="http://schemas.openxmlformats.org/officeDocument/2006/relationships/hyperlink" Target="https://gamalytic.com/publisher/%E6%96%B9%E5%9D%97%E6%B8%B8%E6%88%8F%20(CubeGame)" TargetMode="External"/><Relationship Id="rId177" Type="http://schemas.openxmlformats.org/officeDocument/2006/relationships/hyperlink" Target="https://store.steampowered.com/developer/CubeGame" TargetMode="External"/><Relationship Id="rId198" Type="http://schemas.openxmlformats.org/officeDocument/2006/relationships/hyperlink" Target="https://www.rokaplay.com/home" TargetMode="External"/><Relationship Id="rId197" Type="http://schemas.openxmlformats.org/officeDocument/2006/relationships/hyperlink" Target="https://gamalytic.com/publisher/PlayWay%20S.A." TargetMode="External"/><Relationship Id="rId196" Type="http://schemas.openxmlformats.org/officeDocument/2006/relationships/hyperlink" Target="https://store.steampowered.com/developer/playway" TargetMode="External"/><Relationship Id="rId195" Type="http://schemas.openxmlformats.org/officeDocument/2006/relationships/hyperlink" Target="https://playway.com/en/fordevelopers" TargetMode="External"/><Relationship Id="rId199" Type="http://schemas.openxmlformats.org/officeDocument/2006/relationships/hyperlink" Target="https://form.asana.com/?hash=bf71a1c626d56f46682e1c2fd3c288becaf9bd530a6b5e697186a0f2c7175ec5&amp;id=1182547895946643" TargetMode="External"/><Relationship Id="rId150" Type="http://schemas.openxmlformats.org/officeDocument/2006/relationships/hyperlink" Target="https://www.linkedin.com/in/maartenjanello/" TargetMode="External"/><Relationship Id="rId392" Type="http://schemas.openxmlformats.org/officeDocument/2006/relationships/hyperlink" Target="https://store.steampowered.com/publisher/tophatstudios/" TargetMode="External"/><Relationship Id="rId391" Type="http://schemas.openxmlformats.org/officeDocument/2006/relationships/hyperlink" Target="https://tophat.studio/publishing.html" TargetMode="External"/><Relationship Id="rId390" Type="http://schemas.openxmlformats.org/officeDocument/2006/relationships/hyperlink" Target="https://tophat.studio"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aerosoft.com/" TargetMode="External"/><Relationship Id="rId4" Type="http://schemas.openxmlformats.org/officeDocument/2006/relationships/hyperlink" Target="https://www.paradoxinteractive.com/our-games/discover" TargetMode="External"/><Relationship Id="rId148" Type="http://schemas.openxmlformats.org/officeDocument/2006/relationships/hyperlink" Target="https://gamalytic.com/publisher/Secret%20Mode" TargetMode="External"/><Relationship Id="rId9" Type="http://schemas.openxmlformats.org/officeDocument/2006/relationships/hyperlink" Target="https://www.coffeestainpublishing.com/" TargetMode="External"/><Relationship Id="rId143" Type="http://schemas.openxmlformats.org/officeDocument/2006/relationships/hyperlink" Target="https://gamalytic.com/publisher/Panic" TargetMode="External"/><Relationship Id="rId385" Type="http://schemas.openxmlformats.org/officeDocument/2006/relationships/hyperlink" Target="https://gamalytic.com/publisher/Goblinz%20Publishing" TargetMode="External"/><Relationship Id="rId142" Type="http://schemas.openxmlformats.org/officeDocument/2006/relationships/hyperlink" Target="https://store.steampowered.com/publisher/Panic" TargetMode="External"/><Relationship Id="rId384" Type="http://schemas.openxmlformats.org/officeDocument/2006/relationships/hyperlink" Target="https://store.steampowered.com/dev/goblinz_publishing" TargetMode="External"/><Relationship Id="rId141" Type="http://schemas.openxmlformats.org/officeDocument/2006/relationships/hyperlink" Target="https://www.linkedin.com/in/nsuttner/" TargetMode="External"/><Relationship Id="rId383" Type="http://schemas.openxmlformats.org/officeDocument/2006/relationships/hyperlink" Target="https://www.linkedin.com/in/johannverbroucht/" TargetMode="External"/><Relationship Id="rId140" Type="http://schemas.openxmlformats.org/officeDocument/2006/relationships/hyperlink" Target="https://panic.com/" TargetMode="External"/><Relationship Id="rId382" Type="http://schemas.openxmlformats.org/officeDocument/2006/relationships/hyperlink" Target="https://goblinzstudio.com/publishing/" TargetMode="External"/><Relationship Id="rId5" Type="http://schemas.openxmlformats.org/officeDocument/2006/relationships/hyperlink" Target="https://www.paradoxinteractive.com/contact/pitch-your-game-to-paradox" TargetMode="External"/><Relationship Id="rId147" Type="http://schemas.openxmlformats.org/officeDocument/2006/relationships/hyperlink" Target="https://store.steampowered.com/publisher/SecretMode" TargetMode="External"/><Relationship Id="rId389" Type="http://schemas.openxmlformats.org/officeDocument/2006/relationships/hyperlink" Target="https://gamalytic.com/publisher/Playtonic%20Friends" TargetMode="External"/><Relationship Id="rId6" Type="http://schemas.openxmlformats.org/officeDocument/2006/relationships/hyperlink" Target="https://www.paradoxinteractive.com/contact/pitch-your-game-to-paradox" TargetMode="External"/><Relationship Id="rId146" Type="http://schemas.openxmlformats.org/officeDocument/2006/relationships/hyperlink" Target="https://www.linkedin.com/in/joshua-garrity-261a6148/" TargetMode="External"/><Relationship Id="rId388" Type="http://schemas.openxmlformats.org/officeDocument/2006/relationships/hyperlink" Target="https://store.steampowered.com/publisher/PlaytonicFriends" TargetMode="External"/><Relationship Id="rId7" Type="http://schemas.openxmlformats.org/officeDocument/2006/relationships/hyperlink" Target="https://store.steampowered.com/developer/paradoxinteractive" TargetMode="External"/><Relationship Id="rId145" Type="http://schemas.openxmlformats.org/officeDocument/2006/relationships/hyperlink" Target="https://wearesecretmode.com/publishing" TargetMode="External"/><Relationship Id="rId387" Type="http://schemas.openxmlformats.org/officeDocument/2006/relationships/hyperlink" Target="https://www.linkedin.com/in/oliver-smith-a3122982/" TargetMode="External"/><Relationship Id="rId8" Type="http://schemas.openxmlformats.org/officeDocument/2006/relationships/hyperlink" Target="https://gamalytic.com/publisher/Paradox%20Interactive" TargetMode="External"/><Relationship Id="rId144" Type="http://schemas.openxmlformats.org/officeDocument/2006/relationships/hyperlink" Target="https://wearesecretmode.com/" TargetMode="External"/><Relationship Id="rId386" Type="http://schemas.openxmlformats.org/officeDocument/2006/relationships/hyperlink" Target="https://www.playtonicgames.com/" TargetMode="External"/><Relationship Id="rId381" Type="http://schemas.openxmlformats.org/officeDocument/2006/relationships/hyperlink" Target="https://goblinzstudio.com/" TargetMode="External"/><Relationship Id="rId380" Type="http://schemas.openxmlformats.org/officeDocument/2006/relationships/hyperlink" Target="https://gamalytic.com/publisher/Pretty%20Soon" TargetMode="External"/><Relationship Id="rId139" Type="http://schemas.openxmlformats.org/officeDocument/2006/relationships/hyperlink" Target="https://gamalytic.com/publisher/Raw%20Fury" TargetMode="External"/><Relationship Id="rId138" Type="http://schemas.openxmlformats.org/officeDocument/2006/relationships/hyperlink" Target="https://store.steampowered.com/publisher/rawfury" TargetMode="External"/><Relationship Id="rId137" Type="http://schemas.openxmlformats.org/officeDocument/2006/relationships/hyperlink" Target="https://www.linkedin.com/in/jtoresson/" TargetMode="External"/><Relationship Id="rId379" Type="http://schemas.openxmlformats.org/officeDocument/2006/relationships/hyperlink" Target="https://store.steampowered.com/publisher/prettysoon" TargetMode="External"/><Relationship Id="rId132" Type="http://schemas.openxmlformats.org/officeDocument/2006/relationships/hyperlink" Target="https://store.steampowered.com/publisher/daedalic" TargetMode="External"/><Relationship Id="rId374" Type="http://schemas.openxmlformats.org/officeDocument/2006/relationships/hyperlink" Target="https://store.steampowered.com/publisher/h2interactive" TargetMode="External"/><Relationship Id="rId131" Type="http://schemas.openxmlformats.org/officeDocument/2006/relationships/hyperlink" Target="https://www.linkedin.com/in/jonas-h%C3%BCsges-206612164/" TargetMode="External"/><Relationship Id="rId373" Type="http://schemas.openxmlformats.org/officeDocument/2006/relationships/hyperlink" Target="http://www.h2int.com/" TargetMode="External"/><Relationship Id="rId130" Type="http://schemas.openxmlformats.org/officeDocument/2006/relationships/hyperlink" Target="https://www.daedalic.com/" TargetMode="External"/><Relationship Id="rId372" Type="http://schemas.openxmlformats.org/officeDocument/2006/relationships/hyperlink" Target="https://gamalytic.com/publisher/Firesquid" TargetMode="External"/><Relationship Id="rId371" Type="http://schemas.openxmlformats.org/officeDocument/2006/relationships/hyperlink" Target="https://store.steampowered.com/publisher/firesquid" TargetMode="External"/><Relationship Id="rId136" Type="http://schemas.openxmlformats.org/officeDocument/2006/relationships/hyperlink" Target="https://form.asana.com/?k=SF4rPk6Y5L-NFSrVml5JOg&amp;d=1123805143377851" TargetMode="External"/><Relationship Id="rId378" Type="http://schemas.openxmlformats.org/officeDocument/2006/relationships/hyperlink" Target="https://www.linkedin.com/in/krzysztof-masternak/?locale=en_US" TargetMode="External"/><Relationship Id="rId135" Type="http://schemas.openxmlformats.org/officeDocument/2006/relationships/hyperlink" Target="https://rawfury.com/talk/" TargetMode="External"/><Relationship Id="rId377" Type="http://schemas.openxmlformats.org/officeDocument/2006/relationships/hyperlink" Target="https://docs.google.com/presentation/d/1cPGGyCFQXaeOEAhcDcwL_16CHzMX0qru_YIumn7hhss/edit" TargetMode="External"/><Relationship Id="rId134" Type="http://schemas.openxmlformats.org/officeDocument/2006/relationships/hyperlink" Target="https://rawfury.com/" TargetMode="External"/><Relationship Id="rId376" Type="http://schemas.openxmlformats.org/officeDocument/2006/relationships/hyperlink" Target="https://www.prettysoon.games/" TargetMode="External"/><Relationship Id="rId133" Type="http://schemas.openxmlformats.org/officeDocument/2006/relationships/hyperlink" Target="https://gamalytic.com/publisher/Daedalic%20Entertainment" TargetMode="External"/><Relationship Id="rId375" Type="http://schemas.openxmlformats.org/officeDocument/2006/relationships/hyperlink" Target="https://gamalytic.com/publisher/H2%20Interactive%20Co.,%20Ltd." TargetMode="External"/><Relationship Id="rId172" Type="http://schemas.openxmlformats.org/officeDocument/2006/relationships/hyperlink" Target="https://playism.com/en/contact/" TargetMode="External"/><Relationship Id="rId171" Type="http://schemas.openxmlformats.org/officeDocument/2006/relationships/hyperlink" Target="https://playism.com/en/" TargetMode="External"/><Relationship Id="rId170" Type="http://schemas.openxmlformats.org/officeDocument/2006/relationships/hyperlink" Target="https://gamalytic.com/publisher/IndieArk" TargetMode="External"/><Relationship Id="rId165" Type="http://schemas.openxmlformats.org/officeDocument/2006/relationships/hyperlink" Target="https://store.steampowered.com/publisher/Slitherine" TargetMode="External"/><Relationship Id="rId164" Type="http://schemas.openxmlformats.org/officeDocument/2006/relationships/hyperlink" Target="https://www.linkedin.com/in/alberto-casulini-06015b12b/" TargetMode="External"/><Relationship Id="rId163" Type="http://schemas.openxmlformats.org/officeDocument/2006/relationships/hyperlink" Target="https://www.slitherine.com/" TargetMode="External"/><Relationship Id="rId162" Type="http://schemas.openxmlformats.org/officeDocument/2006/relationships/hyperlink" Target="https://gamalytic.com/publisher/Curve%20Games" TargetMode="External"/><Relationship Id="rId169" Type="http://schemas.openxmlformats.org/officeDocument/2006/relationships/hyperlink" Target="https://store.steampowered.com/publisher/IndieArk" TargetMode="External"/><Relationship Id="rId168" Type="http://schemas.openxmlformats.org/officeDocument/2006/relationships/hyperlink" Target="https://www.linkedin.com/in/kevin-ye-634284215/" TargetMode="External"/><Relationship Id="rId167" Type="http://schemas.openxmlformats.org/officeDocument/2006/relationships/hyperlink" Target="https://www.indieark.com/en/" TargetMode="External"/><Relationship Id="rId166" Type="http://schemas.openxmlformats.org/officeDocument/2006/relationships/hyperlink" Target="https://gamalytic.com/publisher/Slitherine%20Ltd." TargetMode="External"/><Relationship Id="rId161" Type="http://schemas.openxmlformats.org/officeDocument/2006/relationships/hyperlink" Target="https://store.steampowered.com/publisher/curvedigital" TargetMode="External"/><Relationship Id="rId160" Type="http://schemas.openxmlformats.org/officeDocument/2006/relationships/hyperlink" Target="https://www.linkedin.com/in/bradleycrooks/" TargetMode="External"/><Relationship Id="rId159" Type="http://schemas.openxmlformats.org/officeDocument/2006/relationships/hyperlink" Target="https://curvegames.com/contact/im-a-developer/" TargetMode="External"/><Relationship Id="rId154" Type="http://schemas.openxmlformats.org/officeDocument/2006/relationships/hyperlink" Target="https://www.tinybuild.com/how-to-pitch-your-game" TargetMode="External"/><Relationship Id="rId396" Type="http://schemas.openxmlformats.org/officeDocument/2006/relationships/hyperlink" Target="https://www.linkedin.com/in/george-perkins/" TargetMode="External"/><Relationship Id="rId153" Type="http://schemas.openxmlformats.org/officeDocument/2006/relationships/hyperlink" Target="https://www.tinybuild.com/" TargetMode="External"/><Relationship Id="rId395" Type="http://schemas.openxmlformats.org/officeDocument/2006/relationships/hyperlink" Target="mailto:publishmygame@superraregames.com" TargetMode="External"/><Relationship Id="rId152" Type="http://schemas.openxmlformats.org/officeDocument/2006/relationships/hyperlink" Target="https://gamalytic.com/publisher/Aerosoft%20GmbH" TargetMode="External"/><Relationship Id="rId394" Type="http://schemas.openxmlformats.org/officeDocument/2006/relationships/hyperlink" Target="https://www.superrareoriginals.com/" TargetMode="External"/><Relationship Id="rId151" Type="http://schemas.openxmlformats.org/officeDocument/2006/relationships/hyperlink" Target="https://store.steampowered.com/publisher/aerosoft" TargetMode="External"/><Relationship Id="rId393" Type="http://schemas.openxmlformats.org/officeDocument/2006/relationships/hyperlink" Target="https://gamalytic.com/publisher/Top%20Hat%20Studios,%20Inc." TargetMode="External"/><Relationship Id="rId158" Type="http://schemas.openxmlformats.org/officeDocument/2006/relationships/hyperlink" Target="https://curvegames.com/" TargetMode="External"/><Relationship Id="rId157" Type="http://schemas.openxmlformats.org/officeDocument/2006/relationships/hyperlink" Target="https://gamalytic.com/publisher/tinyBuild" TargetMode="External"/><Relationship Id="rId399" Type="http://schemas.openxmlformats.org/officeDocument/2006/relationships/hyperlink" Target="https://dangenentertainment.com/" TargetMode="External"/><Relationship Id="rId156" Type="http://schemas.openxmlformats.org/officeDocument/2006/relationships/hyperlink" Target="https://store.steampowered.com/developer/tinybuild/" TargetMode="External"/><Relationship Id="rId398" Type="http://schemas.openxmlformats.org/officeDocument/2006/relationships/hyperlink" Target="https://gamalytic.com/publisher/Super%20Rare%20Originals" TargetMode="External"/><Relationship Id="rId155" Type="http://schemas.openxmlformats.org/officeDocument/2006/relationships/hyperlink" Target="https://www.linkedin.com/in/tom-brien-034aa23b/" TargetMode="External"/><Relationship Id="rId397" Type="http://schemas.openxmlformats.org/officeDocument/2006/relationships/hyperlink" Target="https://store.steampowered.com/publisher/SUPERRAREGAMES" TargetMode="External"/><Relationship Id="rId808" Type="http://schemas.openxmlformats.org/officeDocument/2006/relationships/hyperlink" Target="https://firestoke.games/developers/" TargetMode="External"/><Relationship Id="rId807" Type="http://schemas.openxmlformats.org/officeDocument/2006/relationships/hyperlink" Target="http://firestoke.games/the-pillars-of-a-firestoke-game/" TargetMode="External"/><Relationship Id="rId806" Type="http://schemas.openxmlformats.org/officeDocument/2006/relationships/hyperlink" Target="http://firestoke.games" TargetMode="External"/><Relationship Id="rId805" Type="http://schemas.openxmlformats.org/officeDocument/2006/relationships/hyperlink" Target="https://gamalytic.com/publisher/Modern%20Wolf" TargetMode="External"/><Relationship Id="rId809" Type="http://schemas.openxmlformats.org/officeDocument/2006/relationships/hyperlink" Target="https://www.linkedin.com/in/s-omar-khalil-98817277/" TargetMode="External"/><Relationship Id="rId800" Type="http://schemas.openxmlformats.org/officeDocument/2006/relationships/hyperlink" Target="https://store.steampowered.com/publisher/plug-in-digital" TargetMode="External"/><Relationship Id="rId804" Type="http://schemas.openxmlformats.org/officeDocument/2006/relationships/hyperlink" Target="https://store.steampowered.com/publisher/ModernWolf" TargetMode="External"/><Relationship Id="rId803" Type="http://schemas.openxmlformats.org/officeDocument/2006/relationships/hyperlink" Target="https://modernwolf.net/get-in-touch" TargetMode="External"/><Relationship Id="rId802" Type="http://schemas.openxmlformats.org/officeDocument/2006/relationships/hyperlink" Target="https://modernwolf.net/" TargetMode="External"/><Relationship Id="rId801" Type="http://schemas.openxmlformats.org/officeDocument/2006/relationships/hyperlink" Target="https://gamalytic.com/publisher/PID%20Games" TargetMode="External"/><Relationship Id="rId40" Type="http://schemas.openxmlformats.org/officeDocument/2006/relationships/hyperlink" Target="https://collective.square-enix-games.com/en_GB/contact" TargetMode="External"/><Relationship Id="rId42" Type="http://schemas.openxmlformats.org/officeDocument/2006/relationships/hyperlink" Target="https://store.steampowered.com/developer/squareenix" TargetMode="External"/><Relationship Id="rId41" Type="http://schemas.openxmlformats.org/officeDocument/2006/relationships/hyperlink" Target="https://www.linkedin.com/in/csillabudai/" TargetMode="External"/><Relationship Id="rId44" Type="http://schemas.openxmlformats.org/officeDocument/2006/relationships/hyperlink" Target="https://store.steampowered.com/publisher/bilibili" TargetMode="External"/><Relationship Id="rId43" Type="http://schemas.openxmlformats.org/officeDocument/2006/relationships/hyperlink" Target="https://gamalytic.com/publisher/Square%20Enix" TargetMode="External"/><Relationship Id="rId46" Type="http://schemas.openxmlformats.org/officeDocument/2006/relationships/hyperlink" Target="https://gamalytic.com/publisher/bilibili" TargetMode="External"/><Relationship Id="rId45" Type="http://schemas.openxmlformats.org/officeDocument/2006/relationships/hyperlink" Target="https://store.steampowered.com/publisher/bilibili" TargetMode="External"/><Relationship Id="rId509" Type="http://schemas.openxmlformats.org/officeDocument/2006/relationships/hyperlink" Target="https://lnk.bio/AssembleEntertainment" TargetMode="External"/><Relationship Id="rId508" Type="http://schemas.openxmlformats.org/officeDocument/2006/relationships/hyperlink" Target="https://gamalytic.com/publisher/PQube" TargetMode="External"/><Relationship Id="rId503" Type="http://schemas.openxmlformats.org/officeDocument/2006/relationships/hyperlink" Target="https://gamalytic.com/publisher/Crunching%20Koalas" TargetMode="External"/><Relationship Id="rId745" Type="http://schemas.openxmlformats.org/officeDocument/2006/relationships/hyperlink" Target="https://store.steampowered.com/publisher/HumbleGames" TargetMode="External"/><Relationship Id="rId502" Type="http://schemas.openxmlformats.org/officeDocument/2006/relationships/hyperlink" Target="https://store.steampowered.com/publisher/CrunchingKoalas" TargetMode="External"/><Relationship Id="rId744" Type="http://schemas.openxmlformats.org/officeDocument/2006/relationships/hyperlink" Target="https://www.linkedin.com/in/jonnymerritt/" TargetMode="External"/><Relationship Id="rId501" Type="http://schemas.openxmlformats.org/officeDocument/2006/relationships/hyperlink" Target="http://crunchingkoalas.com/" TargetMode="External"/><Relationship Id="rId743" Type="http://schemas.openxmlformats.org/officeDocument/2006/relationships/hyperlink" Target="https://humblebundleorg2022.my.site.com/SubmissionFormPortal/s/game-submission-form" TargetMode="External"/><Relationship Id="rId500" Type="http://schemas.openxmlformats.org/officeDocument/2006/relationships/hyperlink" Target="https://gamalytic.com/publisher/Double%20Eleven" TargetMode="External"/><Relationship Id="rId742" Type="http://schemas.openxmlformats.org/officeDocument/2006/relationships/hyperlink" Target="https://www.humblegames.com/submit-a-game/" TargetMode="External"/><Relationship Id="rId507" Type="http://schemas.openxmlformats.org/officeDocument/2006/relationships/hyperlink" Target="https://store.steampowered.com/publisher/PQube" TargetMode="External"/><Relationship Id="rId749" Type="http://schemas.openxmlformats.org/officeDocument/2006/relationships/hyperlink" Target="https://store.steampowered.com/publisher/PrivateDivision" TargetMode="External"/><Relationship Id="rId506" Type="http://schemas.openxmlformats.org/officeDocument/2006/relationships/hyperlink" Target="https://www.linkedin.com/in/ariel-hui-yu-p-65214989/" TargetMode="External"/><Relationship Id="rId748" Type="http://schemas.openxmlformats.org/officeDocument/2006/relationships/hyperlink" Target="https://www.linkedin.com/in/blakerochkind/" TargetMode="External"/><Relationship Id="rId505" Type="http://schemas.openxmlformats.org/officeDocument/2006/relationships/hyperlink" Target="https://pqube.co.uk/submit-a-game/" TargetMode="External"/><Relationship Id="rId747" Type="http://schemas.openxmlformats.org/officeDocument/2006/relationships/hyperlink" Target="https://www.privatedivision.com/" TargetMode="External"/><Relationship Id="rId504" Type="http://schemas.openxmlformats.org/officeDocument/2006/relationships/hyperlink" Target="https://pqube.co.uk/" TargetMode="External"/><Relationship Id="rId746" Type="http://schemas.openxmlformats.org/officeDocument/2006/relationships/hyperlink" Target="https://gamalytic.com/publisher/Humble%20Games" TargetMode="External"/><Relationship Id="rId48" Type="http://schemas.openxmlformats.org/officeDocument/2006/relationships/hyperlink" Target="https://www.linkedin.com/in/orangeqi/" TargetMode="External"/><Relationship Id="rId47" Type="http://schemas.openxmlformats.org/officeDocument/2006/relationships/hyperlink" Target="https://www.bhvr.com/" TargetMode="External"/><Relationship Id="rId49" Type="http://schemas.openxmlformats.org/officeDocument/2006/relationships/hyperlink" Target="https://store.steampowered.com/curator/33367148" TargetMode="External"/><Relationship Id="rId741" Type="http://schemas.openxmlformats.org/officeDocument/2006/relationships/hyperlink" Target="https://www.humblegames.com/" TargetMode="External"/><Relationship Id="rId740" Type="http://schemas.openxmlformats.org/officeDocument/2006/relationships/hyperlink" Target="https://gamalytic.com/publisher/Gearbox%20Publishing" TargetMode="External"/><Relationship Id="rId31" Type="http://schemas.openxmlformats.org/officeDocument/2006/relationships/hyperlink" Target="https://gamalytic.com/publisher/Playstack" TargetMode="External"/><Relationship Id="rId30" Type="http://schemas.openxmlformats.org/officeDocument/2006/relationships/hyperlink" Target="https://store.steampowered.com/publisher/Playstack" TargetMode="External"/><Relationship Id="rId33" Type="http://schemas.openxmlformats.org/officeDocument/2006/relationships/hyperlink" Target="https://11bitstudios.com/publishing/" TargetMode="External"/><Relationship Id="rId32" Type="http://schemas.openxmlformats.org/officeDocument/2006/relationships/hyperlink" Target="https://11bitstudios.com/" TargetMode="External"/><Relationship Id="rId35" Type="http://schemas.openxmlformats.org/officeDocument/2006/relationships/hyperlink" Target="https://www.linkedin.com/in/chris-wigley-828356209/" TargetMode="External"/><Relationship Id="rId34" Type="http://schemas.openxmlformats.org/officeDocument/2006/relationships/hyperlink" Target="https://11bitstudios.com/submit-your-game/" TargetMode="External"/><Relationship Id="rId739" Type="http://schemas.openxmlformats.org/officeDocument/2006/relationships/hyperlink" Target="https://store.steampowered.com/curator/35646051-Gearbox-Publishing" TargetMode="External"/><Relationship Id="rId734" Type="http://schemas.openxmlformats.org/officeDocument/2006/relationships/hyperlink" Target="https://withvendetta.com/featured/settlethescore/" TargetMode="External"/><Relationship Id="rId733" Type="http://schemas.openxmlformats.org/officeDocument/2006/relationships/hyperlink" Target="https://withvendetta.com/" TargetMode="External"/><Relationship Id="rId732" Type="http://schemas.openxmlformats.org/officeDocument/2006/relationships/hyperlink" Target="https://store.steampowered.com/publisher/midwest_games" TargetMode="External"/><Relationship Id="rId731" Type="http://schemas.openxmlformats.org/officeDocument/2006/relationships/hyperlink" Target="https://www.midwestgames.com/services" TargetMode="External"/><Relationship Id="rId738" Type="http://schemas.openxmlformats.org/officeDocument/2006/relationships/hyperlink" Target="https://www.gearboxsoftware.com/contact/" TargetMode="External"/><Relationship Id="rId737" Type="http://schemas.openxmlformats.org/officeDocument/2006/relationships/hyperlink" Target="https://www.gearboxsoftware.com/" TargetMode="External"/><Relationship Id="rId736" Type="http://schemas.openxmlformats.org/officeDocument/2006/relationships/hyperlink" Target="https://www.linkedin.com/in/sophiesmart/" TargetMode="External"/><Relationship Id="rId735" Type="http://schemas.openxmlformats.org/officeDocument/2006/relationships/hyperlink" Target="https://www.blossomarcade.com/" TargetMode="External"/><Relationship Id="rId37" Type="http://schemas.openxmlformats.org/officeDocument/2006/relationships/hyperlink" Target="https://gamalytic.com/publisher/11%20bit%20studios" TargetMode="External"/><Relationship Id="rId36" Type="http://schemas.openxmlformats.org/officeDocument/2006/relationships/hyperlink" Target="https://store.steampowered.com/developer/11bitstudios" TargetMode="External"/><Relationship Id="rId39" Type="http://schemas.openxmlformats.org/officeDocument/2006/relationships/hyperlink" Target="https://collective.square-enix.com/" TargetMode="External"/><Relationship Id="rId38" Type="http://schemas.openxmlformats.org/officeDocument/2006/relationships/hyperlink" Target="https://collective.square-enix.com/" TargetMode="External"/><Relationship Id="rId730" Type="http://schemas.openxmlformats.org/officeDocument/2006/relationships/hyperlink" Target="https://www.midwestgames.com/" TargetMode="External"/><Relationship Id="rId20" Type="http://schemas.openxmlformats.org/officeDocument/2006/relationships/hyperlink" Target="https://www.linkedin.com/in/jamesgardineruk/" TargetMode="External"/><Relationship Id="rId22" Type="http://schemas.openxmlformats.org/officeDocument/2006/relationships/hyperlink" Target="https://gamalytic.com/publisher/Hooded%20Horse" TargetMode="External"/><Relationship Id="rId21" Type="http://schemas.openxmlformats.org/officeDocument/2006/relationships/hyperlink" Target="https://store.steampowered.com/publisher/HoodedHorse" TargetMode="External"/><Relationship Id="rId24" Type="http://schemas.openxmlformats.org/officeDocument/2006/relationships/hyperlink" Target="https://kepler-interactive.com/form" TargetMode="External"/><Relationship Id="rId23" Type="http://schemas.openxmlformats.org/officeDocument/2006/relationships/hyperlink" Target="https://kepler-interactive.com/" TargetMode="External"/><Relationship Id="rId525" Type="http://schemas.openxmlformats.org/officeDocument/2006/relationships/hyperlink" Target="https://store.steampowered.com/publisher/Erabit/" TargetMode="External"/><Relationship Id="rId767" Type="http://schemas.openxmlformats.org/officeDocument/2006/relationships/hyperlink" Target="https://store.steampowered.com/publisher/allingames" TargetMode="External"/><Relationship Id="rId524" Type="http://schemas.openxmlformats.org/officeDocument/2006/relationships/hyperlink" Target="https://www.linkedin.com/in/daisylock/" TargetMode="External"/><Relationship Id="rId766" Type="http://schemas.openxmlformats.org/officeDocument/2006/relationships/hyperlink" Target="https://www.allingames.com/submit-game/" TargetMode="External"/><Relationship Id="rId523" Type="http://schemas.openxmlformats.org/officeDocument/2006/relationships/hyperlink" Target="http://erabitstudios.com/" TargetMode="External"/><Relationship Id="rId765" Type="http://schemas.openxmlformats.org/officeDocument/2006/relationships/hyperlink" Target="https://www.allingames.com/" TargetMode="External"/><Relationship Id="rId522" Type="http://schemas.openxmlformats.org/officeDocument/2006/relationships/hyperlink" Target="https://gamalytic.com/publisher/Untold%20Tales" TargetMode="External"/><Relationship Id="rId764" Type="http://schemas.openxmlformats.org/officeDocument/2006/relationships/hyperlink" Target="https://gamalytic.com/publisher/Merge%20Games" TargetMode="External"/><Relationship Id="rId529" Type="http://schemas.openxmlformats.org/officeDocument/2006/relationships/hyperlink" Target="https://www.linkedin.com/in/daevo/" TargetMode="External"/><Relationship Id="rId528" Type="http://schemas.openxmlformats.org/officeDocument/2006/relationships/hyperlink" Target="https://www.akuparagames.com/contact-us/" TargetMode="External"/><Relationship Id="rId527" Type="http://schemas.openxmlformats.org/officeDocument/2006/relationships/hyperlink" Target="https://www.akuparagames.com/" TargetMode="External"/><Relationship Id="rId769" Type="http://schemas.openxmlformats.org/officeDocument/2006/relationships/hyperlink" Target="https://braceyourselfgames.com/" TargetMode="External"/><Relationship Id="rId526" Type="http://schemas.openxmlformats.org/officeDocument/2006/relationships/hyperlink" Target="https://gamalytic.com/publisher/Erabit" TargetMode="External"/><Relationship Id="rId768" Type="http://schemas.openxmlformats.org/officeDocument/2006/relationships/hyperlink" Target="https://gamalytic.com/publisher/All%20in!%20Games" TargetMode="External"/><Relationship Id="rId26" Type="http://schemas.openxmlformats.org/officeDocument/2006/relationships/hyperlink" Target="https://gamalytic.com/publisher/Kepler%20Interactive" TargetMode="External"/><Relationship Id="rId25" Type="http://schemas.openxmlformats.org/officeDocument/2006/relationships/hyperlink" Target="https://store.steampowered.com/publisher/kepler" TargetMode="External"/><Relationship Id="rId28" Type="http://schemas.openxmlformats.org/officeDocument/2006/relationships/hyperlink" Target="https://playstack.com/" TargetMode="External"/><Relationship Id="rId27" Type="http://schemas.openxmlformats.org/officeDocument/2006/relationships/hyperlink" Target="https://playstack.com/" TargetMode="External"/><Relationship Id="rId521" Type="http://schemas.openxmlformats.org/officeDocument/2006/relationships/hyperlink" Target="https://store.steampowered.com/publisher/untoldtales" TargetMode="External"/><Relationship Id="rId763" Type="http://schemas.openxmlformats.org/officeDocument/2006/relationships/hyperlink" Target="https://store.steampowered.com/publisher/MergeGames" TargetMode="External"/><Relationship Id="rId29" Type="http://schemas.openxmlformats.org/officeDocument/2006/relationships/hyperlink" Target="https://www.linkedin.com/in/naman-budhwar-958744145/" TargetMode="External"/><Relationship Id="rId520" Type="http://schemas.openxmlformats.org/officeDocument/2006/relationships/hyperlink" Target="https://www.linkedin.com/in/pawelskaba/" TargetMode="External"/><Relationship Id="rId762" Type="http://schemas.openxmlformats.org/officeDocument/2006/relationships/hyperlink" Target="https://www.mergegames.com/developers/submit/" TargetMode="External"/><Relationship Id="rId761" Type="http://schemas.openxmlformats.org/officeDocument/2006/relationships/hyperlink" Target="https://www.mergegames.com/developers/" TargetMode="External"/><Relationship Id="rId760" Type="http://schemas.openxmlformats.org/officeDocument/2006/relationships/hyperlink" Target="https://www.mergegames.com/" TargetMode="External"/><Relationship Id="rId11" Type="http://schemas.openxmlformats.org/officeDocument/2006/relationships/hyperlink" Target="https://www.linkedin.com/in/gustavnisser/" TargetMode="External"/><Relationship Id="rId10" Type="http://schemas.openxmlformats.org/officeDocument/2006/relationships/hyperlink" Target="https://coffeestain.com/publishing" TargetMode="External"/><Relationship Id="rId13" Type="http://schemas.openxmlformats.org/officeDocument/2006/relationships/hyperlink" Target="https://gamalytic.com/publisher/Coffee%20Stain%20Publishing" TargetMode="External"/><Relationship Id="rId12" Type="http://schemas.openxmlformats.org/officeDocument/2006/relationships/hyperlink" Target="https://store.steampowered.com/developer/coffeestain" TargetMode="External"/><Relationship Id="rId519" Type="http://schemas.openxmlformats.org/officeDocument/2006/relationships/hyperlink" Target="https://untoldtales.games/" TargetMode="External"/><Relationship Id="rId514" Type="http://schemas.openxmlformats.org/officeDocument/2006/relationships/hyperlink" Target="https://store.steampowered.com/publisher/Pantaloon?action=follow" TargetMode="External"/><Relationship Id="rId756" Type="http://schemas.openxmlformats.org/officeDocument/2006/relationships/hyperlink" Target="https://versusevil.com/submit-game/" TargetMode="External"/><Relationship Id="rId513" Type="http://schemas.openxmlformats.org/officeDocument/2006/relationships/hyperlink" Target="https://www.pantaloon.io/games" TargetMode="External"/><Relationship Id="rId755" Type="http://schemas.openxmlformats.org/officeDocument/2006/relationships/hyperlink" Target="https://versusevil.com/" TargetMode="External"/><Relationship Id="rId512" Type="http://schemas.openxmlformats.org/officeDocument/2006/relationships/hyperlink" Target="https://gamalytic.com/publisher/Assemble%20Entertainment" TargetMode="External"/><Relationship Id="rId754" Type="http://schemas.openxmlformats.org/officeDocument/2006/relationships/hyperlink" Target="https://gamalytic.com/publisher/Frontier%20Foundry" TargetMode="External"/><Relationship Id="rId511" Type="http://schemas.openxmlformats.org/officeDocument/2006/relationships/hyperlink" Target="https://store.steampowered.com/publisher/AssembleEntertainment" TargetMode="External"/><Relationship Id="rId753" Type="http://schemas.openxmlformats.org/officeDocument/2006/relationships/hyperlink" Target="https://store.steampowered.com/developer/FrontierDevelopments" TargetMode="External"/><Relationship Id="rId518" Type="http://schemas.openxmlformats.org/officeDocument/2006/relationships/hyperlink" Target="https://gamalytic.com/publisher/Mystic%20Forge" TargetMode="External"/><Relationship Id="rId517" Type="http://schemas.openxmlformats.org/officeDocument/2006/relationships/hyperlink" Target="https://store.steampowered.com/developer/MysticForge" TargetMode="External"/><Relationship Id="rId759" Type="http://schemas.openxmlformats.org/officeDocument/2006/relationships/hyperlink" Target="https://gamalytic.com/publisher/Versus%20Evil" TargetMode="External"/><Relationship Id="rId516" Type="http://schemas.openxmlformats.org/officeDocument/2006/relationships/hyperlink" Target="https://www.linkedin.com/in/koksiroj/" TargetMode="External"/><Relationship Id="rId758" Type="http://schemas.openxmlformats.org/officeDocument/2006/relationships/hyperlink" Target="https://store.steampowered.com/developer/VersusEvil/" TargetMode="External"/><Relationship Id="rId515" Type="http://schemas.openxmlformats.org/officeDocument/2006/relationships/hyperlink" Target="https://www.mysticforge.com/" TargetMode="External"/><Relationship Id="rId757" Type="http://schemas.openxmlformats.org/officeDocument/2006/relationships/hyperlink" Target="https://www.linkedin.com/in/lcj0025/" TargetMode="External"/><Relationship Id="rId15" Type="http://schemas.openxmlformats.org/officeDocument/2006/relationships/hyperlink" Target="https://www.linkedin.com/in/yves-le-yaouanq-b6539420/" TargetMode="External"/><Relationship Id="rId14" Type="http://schemas.openxmlformats.org/officeDocument/2006/relationships/hyperlink" Target="https://www.focus-entmt.com/en" TargetMode="External"/><Relationship Id="rId17" Type="http://schemas.openxmlformats.org/officeDocument/2006/relationships/hyperlink" Target="https://gamalytic.com/publisher/Focus%20Entertainment" TargetMode="External"/><Relationship Id="rId16" Type="http://schemas.openxmlformats.org/officeDocument/2006/relationships/hyperlink" Target="https://store.steampowered.com/developer/Focus" TargetMode="External"/><Relationship Id="rId19" Type="http://schemas.openxmlformats.org/officeDocument/2006/relationships/hyperlink" Target="https://hoodedhorse.com/developers/" TargetMode="External"/><Relationship Id="rId510" Type="http://schemas.openxmlformats.org/officeDocument/2006/relationships/hyperlink" Target="https://www.linkedin.com/in/jerome-zenker-3098b5119/" TargetMode="External"/><Relationship Id="rId752" Type="http://schemas.openxmlformats.org/officeDocument/2006/relationships/hyperlink" Target="https://www.linkedin.com/in/benjaminmjellis/" TargetMode="External"/><Relationship Id="rId18" Type="http://schemas.openxmlformats.org/officeDocument/2006/relationships/hyperlink" Target="https://hoodedhorse.com/" TargetMode="External"/><Relationship Id="rId751" Type="http://schemas.openxmlformats.org/officeDocument/2006/relationships/hyperlink" Target="https://www.frontier.co.uk/foundry" TargetMode="External"/><Relationship Id="rId750" Type="http://schemas.openxmlformats.org/officeDocument/2006/relationships/hyperlink" Target="https://gamalytic.com/publisher/Private%20Division" TargetMode="External"/><Relationship Id="rId84" Type="http://schemas.openxmlformats.org/officeDocument/2006/relationships/hyperlink" Target="https://annapurnainteractive.com/en" TargetMode="External"/><Relationship Id="rId83" Type="http://schemas.openxmlformats.org/officeDocument/2006/relationships/hyperlink" Target="https://gamalytic.com/publisher/Dotemu" TargetMode="External"/><Relationship Id="rId86" Type="http://schemas.openxmlformats.org/officeDocument/2006/relationships/hyperlink" Target="https://gamalytic.com/publisher/Annapurna%20Interactive" TargetMode="External"/><Relationship Id="rId85" Type="http://schemas.openxmlformats.org/officeDocument/2006/relationships/hyperlink" Target="https://store.steampowered.com/publisher/annapurnainteractive" TargetMode="External"/><Relationship Id="rId88" Type="http://schemas.openxmlformats.org/officeDocument/2006/relationships/hyperlink" Target="https://www.linkedin.com/in/justin-carnahan/" TargetMode="External"/><Relationship Id="rId87" Type="http://schemas.openxmlformats.org/officeDocument/2006/relationships/hyperlink" Target="https://www.neowiz.com/" TargetMode="External"/><Relationship Id="rId89" Type="http://schemas.openxmlformats.org/officeDocument/2006/relationships/hyperlink" Target="https://store.steampowered.com/publisher/NEOWIZ" TargetMode="External"/><Relationship Id="rId709" Type="http://schemas.openxmlformats.org/officeDocument/2006/relationships/hyperlink" Target="http://www.caboodle.games" TargetMode="External"/><Relationship Id="rId708" Type="http://schemas.openxmlformats.org/officeDocument/2006/relationships/hyperlink" Target="https://gamalytic.com/publisher/Nejcraft" TargetMode="External"/><Relationship Id="rId707" Type="http://schemas.openxmlformats.org/officeDocument/2006/relationships/hyperlink" Target="https://store.steampowered.com/publisher/nejcraft" TargetMode="External"/><Relationship Id="rId706" Type="http://schemas.openxmlformats.org/officeDocument/2006/relationships/hyperlink" Target="https://www.linkedin.com/in/jan-patrovsk%C3%BD-857903217/" TargetMode="External"/><Relationship Id="rId80" Type="http://schemas.openxmlformats.org/officeDocument/2006/relationships/hyperlink" Target="https://www.dotemu.com/contact/" TargetMode="External"/><Relationship Id="rId82" Type="http://schemas.openxmlformats.org/officeDocument/2006/relationships/hyperlink" Target="https://store.steampowered.com/publisher/Dotemu" TargetMode="External"/><Relationship Id="rId81" Type="http://schemas.openxmlformats.org/officeDocument/2006/relationships/hyperlink" Target="https://twitter.com/Julien_Chvt" TargetMode="External"/><Relationship Id="rId701" Type="http://schemas.openxmlformats.org/officeDocument/2006/relationships/hyperlink" Target="https://www.humanqube.games/" TargetMode="External"/><Relationship Id="rId700" Type="http://schemas.openxmlformats.org/officeDocument/2006/relationships/hyperlink" Target="https://gamalytic.com/publisher/popagenda" TargetMode="External"/><Relationship Id="rId705" Type="http://schemas.openxmlformats.org/officeDocument/2006/relationships/hyperlink" Target="https://nejcraft.cz/publishing" TargetMode="External"/><Relationship Id="rId704" Type="http://schemas.openxmlformats.org/officeDocument/2006/relationships/hyperlink" Target="https://nejcraft.cz/" TargetMode="External"/><Relationship Id="rId703" Type="http://schemas.openxmlformats.org/officeDocument/2006/relationships/hyperlink" Target="https://gamalytic.com/publisher/Human%20Qube%20Games" TargetMode="External"/><Relationship Id="rId702" Type="http://schemas.openxmlformats.org/officeDocument/2006/relationships/hyperlink" Target="https://store.steampowered.com/curator/45063983-Human-Qube-Games/" TargetMode="External"/><Relationship Id="rId73" Type="http://schemas.openxmlformats.org/officeDocument/2006/relationships/hyperlink" Target="https://www.team17.com/" TargetMode="External"/><Relationship Id="rId72" Type="http://schemas.openxmlformats.org/officeDocument/2006/relationships/hyperlink" Target="https://gamalytic.com/publisher/Chucklefish" TargetMode="External"/><Relationship Id="rId75" Type="http://schemas.openxmlformats.org/officeDocument/2006/relationships/hyperlink" Target="https://www.team17.com/submit-game/submit/" TargetMode="External"/><Relationship Id="rId74" Type="http://schemas.openxmlformats.org/officeDocument/2006/relationships/hyperlink" Target="https://www.team17.com/submit-game/" TargetMode="External"/><Relationship Id="rId77" Type="http://schemas.openxmlformats.org/officeDocument/2006/relationships/hyperlink" Target="https://store.steampowered.com/developer/Team17" TargetMode="External"/><Relationship Id="rId76" Type="http://schemas.openxmlformats.org/officeDocument/2006/relationships/hyperlink" Target="https://www.linkedin.com/in/benjaminmjellis/" TargetMode="External"/><Relationship Id="rId79" Type="http://schemas.openxmlformats.org/officeDocument/2006/relationships/hyperlink" Target="https://www.dotemu.com/" TargetMode="External"/><Relationship Id="rId78" Type="http://schemas.openxmlformats.org/officeDocument/2006/relationships/hyperlink" Target="https://gamalytic.com/publisher/Team17" TargetMode="External"/><Relationship Id="rId71" Type="http://schemas.openxmlformats.org/officeDocument/2006/relationships/hyperlink" Target="https://store.steampowered.com/developer/chucklefish" TargetMode="External"/><Relationship Id="rId70" Type="http://schemas.openxmlformats.org/officeDocument/2006/relationships/hyperlink" Target="https://www.linkedin.com/in/katyellis/" TargetMode="External"/><Relationship Id="rId62" Type="http://schemas.openxmlformats.org/officeDocument/2006/relationships/hyperlink" Target="https://gamalytic.com/publisher/Marvelous%20Europe" TargetMode="External"/><Relationship Id="rId61" Type="http://schemas.openxmlformats.org/officeDocument/2006/relationships/hyperlink" Target="https://store.steampowered.com/developer/MarvelousEurope" TargetMode="External"/><Relationship Id="rId64" Type="http://schemas.openxmlformats.org/officeDocument/2006/relationships/hyperlink" Target="https://about.my.games/publishing" TargetMode="External"/><Relationship Id="rId63" Type="http://schemas.openxmlformats.org/officeDocument/2006/relationships/hyperlink" Target="https://my.games/" TargetMode="External"/><Relationship Id="rId66" Type="http://schemas.openxmlformats.org/officeDocument/2006/relationships/hyperlink" Target="https://gamalytic.com/publisher/MY.GAMES" TargetMode="External"/><Relationship Id="rId65" Type="http://schemas.openxmlformats.org/officeDocument/2006/relationships/hyperlink" Target="https://store.steampowered.com/publisher/mygames" TargetMode="External"/><Relationship Id="rId68" Type="http://schemas.openxmlformats.org/officeDocument/2006/relationships/hyperlink" Target="https://chucklefish.org/publishing-with-chucklefish/" TargetMode="External"/><Relationship Id="rId67" Type="http://schemas.openxmlformats.org/officeDocument/2006/relationships/hyperlink" Target="https://chucklefish.org/" TargetMode="External"/><Relationship Id="rId729" Type="http://schemas.openxmlformats.org/officeDocument/2006/relationships/hyperlink" Target="https://gamalytic.com/publisher/CriticalLeap" TargetMode="External"/><Relationship Id="rId728" Type="http://schemas.openxmlformats.org/officeDocument/2006/relationships/hyperlink" Target="https://store.steampowered.com/publisher/criticalleap" TargetMode="External"/><Relationship Id="rId60" Type="http://schemas.openxmlformats.org/officeDocument/2006/relationships/hyperlink" Target="https://www.linkedin.com/in/sjeburns/" TargetMode="External"/><Relationship Id="rId723" Type="http://schemas.openxmlformats.org/officeDocument/2006/relationships/hyperlink" Target="https://gamalytic.com/publisher/ESDigital%20Games" TargetMode="External"/><Relationship Id="rId722" Type="http://schemas.openxmlformats.org/officeDocument/2006/relationships/hyperlink" Target="https://store.steampowered.com/publisher/esdigital_games" TargetMode="External"/><Relationship Id="rId721" Type="http://schemas.openxmlformats.org/officeDocument/2006/relationships/hyperlink" Target="https://www.linkedin.com/in/ilia-svanidze-881307137/" TargetMode="External"/><Relationship Id="rId720" Type="http://schemas.openxmlformats.org/officeDocument/2006/relationships/hyperlink" Target="https://forms.gle/CncvPLR8HHnBbmiN9" TargetMode="External"/><Relationship Id="rId727" Type="http://schemas.openxmlformats.org/officeDocument/2006/relationships/hyperlink" Target="https://www.linkedin.com/in/martinsjulia/" TargetMode="External"/><Relationship Id="rId726" Type="http://schemas.openxmlformats.org/officeDocument/2006/relationships/hyperlink" Target="https://www.criticalleap.gg/" TargetMode="External"/><Relationship Id="rId725" Type="http://schemas.openxmlformats.org/officeDocument/2006/relationships/hyperlink" Target="https://futurefriends.lol/" TargetMode="External"/><Relationship Id="rId724" Type="http://schemas.openxmlformats.org/officeDocument/2006/relationships/hyperlink" Target="https://www.notashark.com/" TargetMode="External"/><Relationship Id="rId69" Type="http://schemas.openxmlformats.org/officeDocument/2006/relationships/hyperlink" Target="https://chucklefish.org/submit/" TargetMode="External"/><Relationship Id="rId51" Type="http://schemas.openxmlformats.org/officeDocument/2006/relationships/hyperlink" Target="https://hypetraindigital.com/" TargetMode="External"/><Relationship Id="rId50" Type="http://schemas.openxmlformats.org/officeDocument/2006/relationships/hyperlink" Target="https://gamalytic.com/publisher/Behaviour%20Interactive%20Inc." TargetMode="External"/><Relationship Id="rId53" Type="http://schemas.openxmlformats.org/officeDocument/2006/relationships/hyperlink" Target="https://store.steampowered.com/publisher/HypeTrainDigital" TargetMode="External"/><Relationship Id="rId52" Type="http://schemas.openxmlformats.org/officeDocument/2006/relationships/hyperlink" Target="https://www.linkedin.com/in/ivan-bell-40671041/" TargetMode="External"/><Relationship Id="rId55" Type="http://schemas.openxmlformats.org/officeDocument/2006/relationships/hyperlink" Target="https://mythwright.com/" TargetMode="External"/><Relationship Id="rId54" Type="http://schemas.openxmlformats.org/officeDocument/2006/relationships/hyperlink" Target="https://gamalytic.com/publisher/HypeTrain%20Digital" TargetMode="External"/><Relationship Id="rId57" Type="http://schemas.openxmlformats.org/officeDocument/2006/relationships/hyperlink" Target="https://gamalytic.com/publisher/Mythwright" TargetMode="External"/><Relationship Id="rId56" Type="http://schemas.openxmlformats.org/officeDocument/2006/relationships/hyperlink" Target="https://store.steampowered.com/publisher/mythwright" TargetMode="External"/><Relationship Id="rId719" Type="http://schemas.openxmlformats.org/officeDocument/2006/relationships/hyperlink" Target="https://esdigital.games/" TargetMode="External"/><Relationship Id="rId718" Type="http://schemas.openxmlformats.org/officeDocument/2006/relationships/hyperlink" Target="https://www.linkedin.com/in/georgewillard/" TargetMode="External"/><Relationship Id="rId717" Type="http://schemas.openxmlformats.org/officeDocument/2006/relationships/hyperlink" Target="https://thesecretsauce.uk/" TargetMode="External"/><Relationship Id="rId712" Type="http://schemas.openxmlformats.org/officeDocument/2006/relationships/hyperlink" Target="https://www.uwu.biz/" TargetMode="External"/><Relationship Id="rId711" Type="http://schemas.openxmlformats.org/officeDocument/2006/relationships/hyperlink" Target="https://www.linkedin.com/in/alastairhebson/" TargetMode="External"/><Relationship Id="rId710" Type="http://schemas.openxmlformats.org/officeDocument/2006/relationships/hyperlink" Target="mailto:alastair@caboodle.games" TargetMode="External"/><Relationship Id="rId716" Type="http://schemas.openxmlformats.org/officeDocument/2006/relationships/hyperlink" Target="https://www.linkedin.com/in/christian-bliss/" TargetMode="External"/><Relationship Id="rId715" Type="http://schemas.openxmlformats.org/officeDocument/2006/relationships/hyperlink" Target="https://airtable.com/app4mvGRyM1l9vGXJ/pagdb4o0IaqpheA6s/form" TargetMode="External"/><Relationship Id="rId714" Type="http://schemas.openxmlformats.org/officeDocument/2006/relationships/hyperlink" Target="https://www.kandofactory.com/" TargetMode="External"/><Relationship Id="rId713" Type="http://schemas.openxmlformats.org/officeDocument/2006/relationships/hyperlink" Target="https://www.linkedin.com/in/callumunderwood/" TargetMode="External"/><Relationship Id="rId59" Type="http://schemas.openxmlformats.org/officeDocument/2006/relationships/hyperlink" Target="https://marvelousgames.com/submit-game" TargetMode="External"/><Relationship Id="rId58" Type="http://schemas.openxmlformats.org/officeDocument/2006/relationships/hyperlink" Target="http://www.marvelousgames.com/" TargetMode="External"/><Relationship Id="rId590" Type="http://schemas.openxmlformats.org/officeDocument/2006/relationships/hyperlink" Target="https://rockgame.pl/" TargetMode="External"/><Relationship Id="rId107" Type="http://schemas.openxmlformats.org/officeDocument/2006/relationships/hyperlink" Target="https://www.linkedin.com/in/hyodelatorre/" TargetMode="External"/><Relationship Id="rId349" Type="http://schemas.openxmlformats.org/officeDocument/2006/relationships/hyperlink" Target="https://www.mooneyestudios.com/" TargetMode="External"/><Relationship Id="rId106" Type="http://schemas.openxmlformats.org/officeDocument/2006/relationships/hyperlink" Target="https://pitch.devolverdigital.com/" TargetMode="External"/><Relationship Id="rId348" Type="http://schemas.openxmlformats.org/officeDocument/2006/relationships/hyperlink" Target="https://gamalytic.com/publisher/Serenity%20Forge" TargetMode="External"/><Relationship Id="rId105" Type="http://schemas.openxmlformats.org/officeDocument/2006/relationships/hyperlink" Target="https://www.devolverdigital.com/" TargetMode="External"/><Relationship Id="rId347" Type="http://schemas.openxmlformats.org/officeDocument/2006/relationships/hyperlink" Target="https://store.steampowered.com/publisher/serenityforge" TargetMode="External"/><Relationship Id="rId589" Type="http://schemas.openxmlformats.org/officeDocument/2006/relationships/hyperlink" Target="https://gamalytic.com/publisher/Troglobytes%20Games" TargetMode="External"/><Relationship Id="rId104" Type="http://schemas.openxmlformats.org/officeDocument/2006/relationships/hyperlink" Target="https://gamalytic.com/publisher/505%20Games" TargetMode="External"/><Relationship Id="rId346" Type="http://schemas.openxmlformats.org/officeDocument/2006/relationships/hyperlink" Target="https://www.linkedin.com/in/serenityz/" TargetMode="External"/><Relationship Id="rId588" Type="http://schemas.openxmlformats.org/officeDocument/2006/relationships/hyperlink" Target="https://store.steampowered.com/developer/Troglobytes" TargetMode="External"/><Relationship Id="rId109" Type="http://schemas.openxmlformats.org/officeDocument/2006/relationships/hyperlink" Target="https://gamalytic.com/publisher/Devolver%20Digital" TargetMode="External"/><Relationship Id="rId108" Type="http://schemas.openxmlformats.org/officeDocument/2006/relationships/hyperlink" Target="https://store.steampowered.com/developer/DevolverDigital" TargetMode="External"/><Relationship Id="rId341" Type="http://schemas.openxmlformats.org/officeDocument/2006/relationships/hyperlink" Target="https://store.steampowered.com/publisher/fellowtraveller" TargetMode="External"/><Relationship Id="rId583" Type="http://schemas.openxmlformats.org/officeDocument/2006/relationships/hyperlink" Target="https://www.linkedin.com/in/adrien-larouz%C3%A9e-1b627112b/" TargetMode="External"/><Relationship Id="rId340" Type="http://schemas.openxmlformats.org/officeDocument/2006/relationships/hyperlink" Target="https://www.linkedin.com/in/spencer-hayes-50971770/" TargetMode="External"/><Relationship Id="rId582" Type="http://schemas.openxmlformats.org/officeDocument/2006/relationships/hyperlink" Target="https://projets.arte.tv/en" TargetMode="External"/><Relationship Id="rId581" Type="http://schemas.openxmlformats.org/officeDocument/2006/relationships/hyperlink" Target="https://arte.tv/videogames" TargetMode="External"/><Relationship Id="rId580" Type="http://schemas.openxmlformats.org/officeDocument/2006/relationships/hyperlink" Target="https://gamalytic.com/publisher/SOEDESCO" TargetMode="External"/><Relationship Id="rId103" Type="http://schemas.openxmlformats.org/officeDocument/2006/relationships/hyperlink" Target="https://store.steampowered.com/developer/505Games" TargetMode="External"/><Relationship Id="rId345" Type="http://schemas.openxmlformats.org/officeDocument/2006/relationships/hyperlink" Target="https://serenity-forge.notion.site/1d58d6801c1880e18722e6ce28c4bc88" TargetMode="External"/><Relationship Id="rId587" Type="http://schemas.openxmlformats.org/officeDocument/2006/relationships/hyperlink" Target="https://www.linkedin.com/in/saverio-caporusso-155a7b47/" TargetMode="External"/><Relationship Id="rId102" Type="http://schemas.openxmlformats.org/officeDocument/2006/relationships/hyperlink" Target="https://www.linkedin.com/in/giovanna-villani-bizdev/" TargetMode="External"/><Relationship Id="rId344" Type="http://schemas.openxmlformats.org/officeDocument/2006/relationships/hyperlink" Target="https://serenityforge.com/publishing" TargetMode="External"/><Relationship Id="rId586" Type="http://schemas.openxmlformats.org/officeDocument/2006/relationships/hyperlink" Target="https://troglobytesgames.com/" TargetMode="External"/><Relationship Id="rId101" Type="http://schemas.openxmlformats.org/officeDocument/2006/relationships/hyperlink" Target="https://505games.com/" TargetMode="External"/><Relationship Id="rId343" Type="http://schemas.openxmlformats.org/officeDocument/2006/relationships/hyperlink" Target="https://serenityforge.com/" TargetMode="External"/><Relationship Id="rId585" Type="http://schemas.openxmlformats.org/officeDocument/2006/relationships/hyperlink" Target="https://gamalytic.com/publisher/ARTE%20France" TargetMode="External"/><Relationship Id="rId100" Type="http://schemas.openxmlformats.org/officeDocument/2006/relationships/hyperlink" Target="https://gamalytic.com/publisher/Kwalee" TargetMode="External"/><Relationship Id="rId342" Type="http://schemas.openxmlformats.org/officeDocument/2006/relationships/hyperlink" Target="https://gamalytic.com/publisher/Fellow%20Traveller" TargetMode="External"/><Relationship Id="rId584" Type="http://schemas.openxmlformats.org/officeDocument/2006/relationships/hyperlink" Target="https://store.steampowered.com/publisher/Arte" TargetMode="External"/><Relationship Id="rId338" Type="http://schemas.openxmlformats.org/officeDocument/2006/relationships/hyperlink" Target="https://www.fellowtraveller.games/" TargetMode="External"/><Relationship Id="rId337" Type="http://schemas.openxmlformats.org/officeDocument/2006/relationships/hyperlink" Target="https://gamalytic.com/publisher/Alibi%20Games" TargetMode="External"/><Relationship Id="rId579" Type="http://schemas.openxmlformats.org/officeDocument/2006/relationships/hyperlink" Target="https://store.steampowered.com/publisher/soedesco" TargetMode="External"/><Relationship Id="rId336" Type="http://schemas.openxmlformats.org/officeDocument/2006/relationships/hyperlink" Target="https://store.steampowered.com/publisher/AlibiGames" TargetMode="External"/><Relationship Id="rId578" Type="http://schemas.openxmlformats.org/officeDocument/2006/relationships/hyperlink" Target="https://www.soedesco.com/contact" TargetMode="External"/><Relationship Id="rId335" Type="http://schemas.openxmlformats.org/officeDocument/2006/relationships/hyperlink" Target="https://www.linkedin.com/in/futurejarv/" TargetMode="External"/><Relationship Id="rId577" Type="http://schemas.openxmlformats.org/officeDocument/2006/relationships/hyperlink" Target="https://www.soedesco.com/" TargetMode="External"/><Relationship Id="rId339" Type="http://schemas.openxmlformats.org/officeDocument/2006/relationships/hyperlink" Target="https://www.fellowtraveller.games/developers" TargetMode="External"/><Relationship Id="rId330" Type="http://schemas.openxmlformats.org/officeDocument/2006/relationships/hyperlink" Target="https://www.linkedin.com/in/simon-byron-705a20/" TargetMode="External"/><Relationship Id="rId572" Type="http://schemas.openxmlformats.org/officeDocument/2006/relationships/hyperlink" Target="https://gamalytic.com/publisher/Graffiti%20Games" TargetMode="External"/><Relationship Id="rId571" Type="http://schemas.openxmlformats.org/officeDocument/2006/relationships/hyperlink" Target="https://store.steampowered.com/publisher/graffiti" TargetMode="External"/><Relationship Id="rId570" Type="http://schemas.openxmlformats.org/officeDocument/2006/relationships/hyperlink" Target="https://www.linkedin.com/in/andymessner/" TargetMode="External"/><Relationship Id="rId334" Type="http://schemas.openxmlformats.org/officeDocument/2006/relationships/hyperlink" Target="https://www.alibi.games/submit" TargetMode="External"/><Relationship Id="rId576" Type="http://schemas.openxmlformats.org/officeDocument/2006/relationships/hyperlink" Target="https://gamalytic.com/publisher/Ultimate%20Games%20S.A." TargetMode="External"/><Relationship Id="rId333" Type="http://schemas.openxmlformats.org/officeDocument/2006/relationships/hyperlink" Target="http://alibi.games/" TargetMode="External"/><Relationship Id="rId575" Type="http://schemas.openxmlformats.org/officeDocument/2006/relationships/hyperlink" Target="https://store.steampowered.com/publisher/ultimategames" TargetMode="External"/><Relationship Id="rId332" Type="http://schemas.openxmlformats.org/officeDocument/2006/relationships/hyperlink" Target="https://gamalytic.com/publisher/Yogscast%20Games" TargetMode="External"/><Relationship Id="rId574" Type="http://schemas.openxmlformats.org/officeDocument/2006/relationships/hyperlink" Target="https://ultimate-games.com/kontakt/" TargetMode="External"/><Relationship Id="rId331" Type="http://schemas.openxmlformats.org/officeDocument/2006/relationships/hyperlink" Target="https://store.steampowered.com/developer/yogscastgames" TargetMode="External"/><Relationship Id="rId573" Type="http://schemas.openxmlformats.org/officeDocument/2006/relationships/hyperlink" Target="https://ultimate-games.com/" TargetMode="External"/><Relationship Id="rId370" Type="http://schemas.openxmlformats.org/officeDocument/2006/relationships/hyperlink" Target="https://www.linkedin.com/in/antoinephm/" TargetMode="External"/><Relationship Id="rId129" Type="http://schemas.openxmlformats.org/officeDocument/2006/relationships/hyperlink" Target="https://gamalytic.com/publisher/Toplitz%20Productions" TargetMode="External"/><Relationship Id="rId128" Type="http://schemas.openxmlformats.org/officeDocument/2006/relationships/hyperlink" Target="https://store.steampowered.com/developer/Toplitz" TargetMode="External"/><Relationship Id="rId127" Type="http://schemas.openxmlformats.org/officeDocument/2006/relationships/hyperlink" Target="https://www.toplitz-productions.com/contact-933.html" TargetMode="External"/><Relationship Id="rId369" Type="http://schemas.openxmlformats.org/officeDocument/2006/relationships/hyperlink" Target="https://forms.gle/KbsYdYxqyoKUjg7i9" TargetMode="External"/><Relationship Id="rId126" Type="http://schemas.openxmlformats.org/officeDocument/2006/relationships/hyperlink" Target="https://www.toplitz-productions.com/home.html" TargetMode="External"/><Relationship Id="rId368" Type="http://schemas.openxmlformats.org/officeDocument/2006/relationships/hyperlink" Target="https://www.firesquid.fr/publishing/" TargetMode="External"/><Relationship Id="rId121" Type="http://schemas.openxmlformats.org/officeDocument/2006/relationships/hyperlink" Target="https://fireshinegames.co.uk/pitch/" TargetMode="External"/><Relationship Id="rId363" Type="http://schemas.openxmlformats.org/officeDocument/2006/relationships/hyperlink" Target="https://www.iceberg-games.com/fordevelopers/" TargetMode="External"/><Relationship Id="rId120" Type="http://schemas.openxmlformats.org/officeDocument/2006/relationships/hyperlink" Target="https://fireshinegames.co.uk/" TargetMode="External"/><Relationship Id="rId362" Type="http://schemas.openxmlformats.org/officeDocument/2006/relationships/hyperlink" Target="https://www.iceberg-games.com/" TargetMode="External"/><Relationship Id="rId361" Type="http://schemas.openxmlformats.org/officeDocument/2006/relationships/hyperlink" Target="https://gamalytic.com/publisher/Nordcurrent%20Labs" TargetMode="External"/><Relationship Id="rId360" Type="http://schemas.openxmlformats.org/officeDocument/2006/relationships/hyperlink" Target="https://store.steampowered.com/publisher/NordcurrentLabs" TargetMode="External"/><Relationship Id="rId125" Type="http://schemas.openxmlformats.org/officeDocument/2006/relationships/hyperlink" Target="https://gamalytic.com/publisher/Fireshine%20Games" TargetMode="External"/><Relationship Id="rId367" Type="http://schemas.openxmlformats.org/officeDocument/2006/relationships/hyperlink" Target="https://www.firesquid.fr/" TargetMode="External"/><Relationship Id="rId124" Type="http://schemas.openxmlformats.org/officeDocument/2006/relationships/hyperlink" Target="https://store.steampowered.com/publisher/FireshineGames" TargetMode="External"/><Relationship Id="rId366" Type="http://schemas.openxmlformats.org/officeDocument/2006/relationships/hyperlink" Target="https://gamalytic.com/publisher/Iceberg%20Interactive" TargetMode="External"/><Relationship Id="rId123" Type="http://schemas.openxmlformats.org/officeDocument/2006/relationships/hyperlink" Target="https://www.linkedin.com/in/atilla-bertiz/" TargetMode="External"/><Relationship Id="rId365" Type="http://schemas.openxmlformats.org/officeDocument/2006/relationships/hyperlink" Target="https://store.steampowered.com/publisher/iceberg" TargetMode="External"/><Relationship Id="rId122" Type="http://schemas.openxmlformats.org/officeDocument/2006/relationships/hyperlink" Target="https://fireshinegames.co.uk/pitch-contact-form/" TargetMode="External"/><Relationship Id="rId364" Type="http://schemas.openxmlformats.org/officeDocument/2006/relationships/hyperlink" Target="https://www.linkedin.com/in/raymondsnippe/" TargetMode="External"/><Relationship Id="rId95" Type="http://schemas.openxmlformats.org/officeDocument/2006/relationships/hyperlink" Target="https://www.kwalee.com/" TargetMode="External"/><Relationship Id="rId94" Type="http://schemas.openxmlformats.org/officeDocument/2006/relationships/hyperlink" Target="https://gamalytic.com/publisher/XSEED%20Games" TargetMode="External"/><Relationship Id="rId97" Type="http://schemas.openxmlformats.org/officeDocument/2006/relationships/hyperlink" Target="https://www.kwalee.com/campaign/submit-your-game" TargetMode="External"/><Relationship Id="rId96" Type="http://schemas.openxmlformats.org/officeDocument/2006/relationships/hyperlink" Target="https://docs.google.com/presentation/d/1_wYa-BnT4yZfFOynQSyOXI4L97F_v-lUoqCN4Quz7Vw/edit" TargetMode="External"/><Relationship Id="rId99" Type="http://schemas.openxmlformats.org/officeDocument/2006/relationships/hyperlink" Target="https://store.steampowered.com/publisher/Kwalee" TargetMode="External"/><Relationship Id="rId98" Type="http://schemas.openxmlformats.org/officeDocument/2006/relationships/hyperlink" Target="https://uk.linkedin.com/in/jack-griffin2142" TargetMode="External"/><Relationship Id="rId91" Type="http://schemas.openxmlformats.org/officeDocument/2006/relationships/hyperlink" Target="https://www.xseedgames.com/" TargetMode="External"/><Relationship Id="rId90" Type="http://schemas.openxmlformats.org/officeDocument/2006/relationships/hyperlink" Target="https://gamalytic.com/publisher/NEOWIZ" TargetMode="External"/><Relationship Id="rId93" Type="http://schemas.openxmlformats.org/officeDocument/2006/relationships/hyperlink" Target="https://store.steampowered.com/publisher/marveloususa" TargetMode="External"/><Relationship Id="rId92" Type="http://schemas.openxmlformats.org/officeDocument/2006/relationships/hyperlink" Target="https://www.xseedgames.com/pitch-us-your-game/" TargetMode="External"/><Relationship Id="rId118" Type="http://schemas.openxmlformats.org/officeDocument/2006/relationships/hyperlink" Target="https://store.steampowered.com/publisher/Tripwire" TargetMode="External"/><Relationship Id="rId117" Type="http://schemas.openxmlformats.org/officeDocument/2006/relationships/hyperlink" Target="https://www.linkedin.com/in/jameslamorticelli/" TargetMode="External"/><Relationship Id="rId359" Type="http://schemas.openxmlformats.org/officeDocument/2006/relationships/hyperlink" Target="https://www.linkedin.com/in/arunas-mieliauskas-8a8194138/" TargetMode="External"/><Relationship Id="rId116" Type="http://schemas.openxmlformats.org/officeDocument/2006/relationships/hyperlink" Target="https://docs.google.com/forms/d/e/1FAIpQLSf8Tw-NGr5lUmjfpJ3h_FND5qVnYHe7uaE_BxHHdM-Od4CAPQ/viewform" TargetMode="External"/><Relationship Id="rId358" Type="http://schemas.openxmlformats.org/officeDocument/2006/relationships/hyperlink" Target="http://www.nordcurrent.com/" TargetMode="External"/><Relationship Id="rId115" Type="http://schemas.openxmlformats.org/officeDocument/2006/relationships/hyperlink" Target="https://www.tripwireinteractive.com/" TargetMode="External"/><Relationship Id="rId357" Type="http://schemas.openxmlformats.org/officeDocument/2006/relationships/hyperlink" Target="https://gamalytic.com/publisher/Shiro%20Unlimited" TargetMode="External"/><Relationship Id="rId599" Type="http://schemas.openxmlformats.org/officeDocument/2006/relationships/hyperlink" Target="https://www.blowfishstudios.com/" TargetMode="External"/><Relationship Id="rId119" Type="http://schemas.openxmlformats.org/officeDocument/2006/relationships/hyperlink" Target="https://gamalytic.com/publisher/Tripwire%20Interactive" TargetMode="External"/><Relationship Id="rId110" Type="http://schemas.openxmlformats.org/officeDocument/2006/relationships/hyperlink" Target="https://www.goodgamesgroup.com/" TargetMode="External"/><Relationship Id="rId352" Type="http://schemas.openxmlformats.org/officeDocument/2006/relationships/hyperlink" Target="https://store.steampowered.com/publisher/mooneye" TargetMode="External"/><Relationship Id="rId594" Type="http://schemas.openxmlformats.org/officeDocument/2006/relationships/hyperlink" Target="https://www.indie.io/" TargetMode="External"/><Relationship Id="rId351" Type="http://schemas.openxmlformats.org/officeDocument/2006/relationships/hyperlink" Target="https://www.linkedin.com/in/sinikka-compart-38a53031/" TargetMode="External"/><Relationship Id="rId593" Type="http://schemas.openxmlformats.org/officeDocument/2006/relationships/hyperlink" Target="https://gamalytic.com/publisher/RockGame%20S.A." TargetMode="External"/><Relationship Id="rId350" Type="http://schemas.openxmlformats.org/officeDocument/2006/relationships/hyperlink" Target="https://www.mooneyestudios.com/publishing" TargetMode="External"/><Relationship Id="rId592" Type="http://schemas.openxmlformats.org/officeDocument/2006/relationships/hyperlink" Target="https://store.steampowered.com/publisher/RockGame" TargetMode="External"/><Relationship Id="rId591" Type="http://schemas.openxmlformats.org/officeDocument/2006/relationships/hyperlink" Target="https://www.linkedin.com/in/daniel-kulaszewicz-a1336a65/" TargetMode="External"/><Relationship Id="rId114" Type="http://schemas.openxmlformats.org/officeDocument/2006/relationships/hyperlink" Target="https://www.tripwireinteractive.com/" TargetMode="External"/><Relationship Id="rId356" Type="http://schemas.openxmlformats.org/officeDocument/2006/relationships/hyperlink" Target="https://store.steampowered.com/publisher/shiro-unlimited" TargetMode="External"/><Relationship Id="rId598" Type="http://schemas.openxmlformats.org/officeDocument/2006/relationships/hyperlink" Target="https://gamalytic.com/publisher/indie.io" TargetMode="External"/><Relationship Id="rId113" Type="http://schemas.openxmlformats.org/officeDocument/2006/relationships/hyperlink" Target="https://gamalytic.com/publisher/Balor%20Games" TargetMode="External"/><Relationship Id="rId355" Type="http://schemas.openxmlformats.org/officeDocument/2006/relationships/hyperlink" Target="https://fr.linkedin.com/in/adrien-dugue" TargetMode="External"/><Relationship Id="rId597" Type="http://schemas.openxmlformats.org/officeDocument/2006/relationships/hyperlink" Target="https://store.steampowered.com/franchise/indieio" TargetMode="External"/><Relationship Id="rId112" Type="http://schemas.openxmlformats.org/officeDocument/2006/relationships/hyperlink" Target="https://store.steampowered.com/publisher/BalorGames" TargetMode="External"/><Relationship Id="rId354" Type="http://schemas.openxmlformats.org/officeDocument/2006/relationships/hyperlink" Target="https://shiro-unlimited.com/" TargetMode="External"/><Relationship Id="rId596" Type="http://schemas.openxmlformats.org/officeDocument/2006/relationships/hyperlink" Target="https://www.linkedin.com/in/donovanduncan/" TargetMode="External"/><Relationship Id="rId111" Type="http://schemas.openxmlformats.org/officeDocument/2006/relationships/hyperlink" Target="https://www.linkedin.com/in/marknash/" TargetMode="External"/><Relationship Id="rId353" Type="http://schemas.openxmlformats.org/officeDocument/2006/relationships/hyperlink" Target="https://gamalytic.com/publisher/Mooneye%20Studios" TargetMode="External"/><Relationship Id="rId595" Type="http://schemas.openxmlformats.org/officeDocument/2006/relationships/hyperlink" Target="https://www.indie.io/signup" TargetMode="External"/><Relationship Id="rId305" Type="http://schemas.openxmlformats.org/officeDocument/2006/relationships/hyperlink" Target="https://gamalytic.com/publisher/Metaroot" TargetMode="External"/><Relationship Id="rId547" Type="http://schemas.openxmlformats.org/officeDocument/2006/relationships/hyperlink" Target="https://1312interactive.com/" TargetMode="External"/><Relationship Id="rId789" Type="http://schemas.openxmlformats.org/officeDocument/2006/relationships/hyperlink" Target="https://theirregularcorporation.com/developers/" TargetMode="External"/><Relationship Id="rId304" Type="http://schemas.openxmlformats.org/officeDocument/2006/relationships/hyperlink" Target="https://store.steampowered.com/franchise/Metaroot" TargetMode="External"/><Relationship Id="rId546" Type="http://schemas.openxmlformats.org/officeDocument/2006/relationships/hyperlink" Target="https://gamalytic.com/publisher/Anshar%20Publishing" TargetMode="External"/><Relationship Id="rId788" Type="http://schemas.openxmlformats.org/officeDocument/2006/relationships/hyperlink" Target="https://theirregularcorporation.com/" TargetMode="External"/><Relationship Id="rId303" Type="http://schemas.openxmlformats.org/officeDocument/2006/relationships/hyperlink" Target="https://www.metaroot.ch/" TargetMode="External"/><Relationship Id="rId545" Type="http://schemas.openxmlformats.org/officeDocument/2006/relationships/hyperlink" Target="https://store.steampowered.com/publisher/AnsharPublishing" TargetMode="External"/><Relationship Id="rId787" Type="http://schemas.openxmlformats.org/officeDocument/2006/relationships/hyperlink" Target="https://gamalytic.com/publisher/Mode%207" TargetMode="External"/><Relationship Id="rId302" Type="http://schemas.openxmlformats.org/officeDocument/2006/relationships/hyperlink" Target="https://gamalytic.com/publisher/CRITICAL%20REFLEX" TargetMode="External"/><Relationship Id="rId544" Type="http://schemas.openxmlformats.org/officeDocument/2006/relationships/hyperlink" Target="https://www.linkedin.com/in/jakub-kwinta" TargetMode="External"/><Relationship Id="rId786" Type="http://schemas.openxmlformats.org/officeDocument/2006/relationships/hyperlink" Target="https://store.steampowered.com/publisher/mode7" TargetMode="External"/><Relationship Id="rId309" Type="http://schemas.openxmlformats.org/officeDocument/2006/relationships/hyperlink" Target="https://gamalytic.com/publisher/3D%20Realms" TargetMode="External"/><Relationship Id="rId308" Type="http://schemas.openxmlformats.org/officeDocument/2006/relationships/hyperlink" Target="https://store.steampowered.com/publisher/3DREALMS" TargetMode="External"/><Relationship Id="rId307" Type="http://schemas.openxmlformats.org/officeDocument/2006/relationships/hyperlink" Target="https://www.linkedin.com/in/justburnham/" TargetMode="External"/><Relationship Id="rId549" Type="http://schemas.openxmlformats.org/officeDocument/2006/relationships/hyperlink" Target="https://gamalytic.com/publisher/1312%20Interactive" TargetMode="External"/><Relationship Id="rId306" Type="http://schemas.openxmlformats.org/officeDocument/2006/relationships/hyperlink" Target="https://3drealms.com/" TargetMode="External"/><Relationship Id="rId548" Type="http://schemas.openxmlformats.org/officeDocument/2006/relationships/hyperlink" Target="https://store.steampowered.com/curator/45877783" TargetMode="External"/><Relationship Id="rId781" Type="http://schemas.openxmlformats.org/officeDocument/2006/relationships/hyperlink" Target="https://store.steampowered.com/publisher/VoxPopGames" TargetMode="External"/><Relationship Id="rId780" Type="http://schemas.openxmlformats.org/officeDocument/2006/relationships/hyperlink" Target="https://www.linkedin.com/in/marcarodriguez/" TargetMode="External"/><Relationship Id="rId301" Type="http://schemas.openxmlformats.org/officeDocument/2006/relationships/hyperlink" Target="https://store.steampowered.com/curator/40619234" TargetMode="External"/><Relationship Id="rId543" Type="http://schemas.openxmlformats.org/officeDocument/2006/relationships/hyperlink" Target="http://ansharpublishing.com" TargetMode="External"/><Relationship Id="rId785" Type="http://schemas.openxmlformats.org/officeDocument/2006/relationships/hyperlink" Target="https://www.linkedin.com/in/paul-kilduff-taylor/" TargetMode="External"/><Relationship Id="rId300" Type="http://schemas.openxmlformats.org/officeDocument/2006/relationships/hyperlink" Target="https://www.linkedin.com/in/rita-lebedeva-196629bb/" TargetMode="External"/><Relationship Id="rId542" Type="http://schemas.openxmlformats.org/officeDocument/2006/relationships/hyperlink" Target="https://gamalytic.com/publisher/101XP" TargetMode="External"/><Relationship Id="rId784" Type="http://schemas.openxmlformats.org/officeDocument/2006/relationships/hyperlink" Target="https://www.mode7.games/" TargetMode="External"/><Relationship Id="rId541" Type="http://schemas.openxmlformats.org/officeDocument/2006/relationships/hyperlink" Target="https://store.steampowered.com/publisher/101xp" TargetMode="External"/><Relationship Id="rId783" Type="http://schemas.openxmlformats.org/officeDocument/2006/relationships/hyperlink" Target="https://www.mode7.games/" TargetMode="External"/><Relationship Id="rId540" Type="http://schemas.openxmlformats.org/officeDocument/2006/relationships/hyperlink" Target="https://www.linkedin.com/in/twinsenito/" TargetMode="External"/><Relationship Id="rId782" Type="http://schemas.openxmlformats.org/officeDocument/2006/relationships/hyperlink" Target="https://gamalytic.com/publisher/VoxPop%20Games,%20Inc." TargetMode="External"/><Relationship Id="rId536" Type="http://schemas.openxmlformats.org/officeDocument/2006/relationships/hyperlink" Target="https://gamalytic.com/publisher/Outright%20Games%20Ltd." TargetMode="External"/><Relationship Id="rId778" Type="http://schemas.openxmlformats.org/officeDocument/2006/relationships/hyperlink" Target="https://gamalytic.com/publisher/Those%20Awesome%20Guys" TargetMode="External"/><Relationship Id="rId535" Type="http://schemas.openxmlformats.org/officeDocument/2006/relationships/hyperlink" Target="https://store.steampowered.com/publisher/outrightgames" TargetMode="External"/><Relationship Id="rId777" Type="http://schemas.openxmlformats.org/officeDocument/2006/relationships/hyperlink" Target="https://store.steampowered.com/publisher/thoseawesomeguys" TargetMode="External"/><Relationship Id="rId534" Type="http://schemas.openxmlformats.org/officeDocument/2006/relationships/hyperlink" Target="https://www.linkedin.com/in/dan-mccreadie-9b83599a/" TargetMode="External"/><Relationship Id="rId776" Type="http://schemas.openxmlformats.org/officeDocument/2006/relationships/hyperlink" Target="https://www.linkedin.com/in/vladw/" TargetMode="External"/><Relationship Id="rId533" Type="http://schemas.openxmlformats.org/officeDocument/2006/relationships/hyperlink" Target="https://outrightgames.com/contact/" TargetMode="External"/><Relationship Id="rId775" Type="http://schemas.openxmlformats.org/officeDocument/2006/relationships/hyperlink" Target="https://forms.clickup.com/p/f/2axdz-601/81QBJSB3SI99Q4WU8S/project-submission" TargetMode="External"/><Relationship Id="rId539" Type="http://schemas.openxmlformats.org/officeDocument/2006/relationships/hyperlink" Target="https://corp.101xp.com/publishing" TargetMode="External"/><Relationship Id="rId538" Type="http://schemas.openxmlformats.org/officeDocument/2006/relationships/hyperlink" Target="https://corp.101xp.com/publishing" TargetMode="External"/><Relationship Id="rId537" Type="http://schemas.openxmlformats.org/officeDocument/2006/relationships/hyperlink" Target="https://en.101xp.com/" TargetMode="External"/><Relationship Id="rId779" Type="http://schemas.openxmlformats.org/officeDocument/2006/relationships/hyperlink" Target="http://www.voxpopgames.com/" TargetMode="External"/><Relationship Id="rId770" Type="http://schemas.openxmlformats.org/officeDocument/2006/relationships/hyperlink" Target="https://braceyourselfgames.com/publishing/" TargetMode="External"/><Relationship Id="rId532" Type="http://schemas.openxmlformats.org/officeDocument/2006/relationships/hyperlink" Target="https://outrightgames.com/" TargetMode="External"/><Relationship Id="rId774" Type="http://schemas.openxmlformats.org/officeDocument/2006/relationships/hyperlink" Target="https://thoseawesomeguys.com/" TargetMode="External"/><Relationship Id="rId531" Type="http://schemas.openxmlformats.org/officeDocument/2006/relationships/hyperlink" Target="https://gamalytic.com/publisher/Akupara%20Games" TargetMode="External"/><Relationship Id="rId773" Type="http://schemas.openxmlformats.org/officeDocument/2006/relationships/hyperlink" Target="https://gamalytic.com/publisher/Brace%20Yourself%20Games" TargetMode="External"/><Relationship Id="rId530" Type="http://schemas.openxmlformats.org/officeDocument/2006/relationships/hyperlink" Target="https://store.steampowered.com/publisher/akuparagames" TargetMode="External"/><Relationship Id="rId772" Type="http://schemas.openxmlformats.org/officeDocument/2006/relationships/hyperlink" Target="https://store.steampowered.com/publisher/braceyourselfgames" TargetMode="External"/><Relationship Id="rId771" Type="http://schemas.openxmlformats.org/officeDocument/2006/relationships/hyperlink" Target="https://www.linkedin.com/in/ryanmclark/" TargetMode="External"/><Relationship Id="rId327" Type="http://schemas.openxmlformats.org/officeDocument/2006/relationships/hyperlink" Target="https://gamalytic.com/publisher/Kasedo%20Games" TargetMode="External"/><Relationship Id="rId569" Type="http://schemas.openxmlformats.org/officeDocument/2006/relationships/hyperlink" Target="https://www.graffitigames.com/contact/pitch-your-game" TargetMode="External"/><Relationship Id="rId326" Type="http://schemas.openxmlformats.org/officeDocument/2006/relationships/hyperlink" Target="https://store.steampowered.com/publisher/Kasedo" TargetMode="External"/><Relationship Id="rId568" Type="http://schemas.openxmlformats.org/officeDocument/2006/relationships/hyperlink" Target="https://www.graffitigames.com/" TargetMode="External"/><Relationship Id="rId325" Type="http://schemas.openxmlformats.org/officeDocument/2006/relationships/hyperlink" Target="https://www.linkedin.com/in/edvitimea/" TargetMode="External"/><Relationship Id="rId567" Type="http://schemas.openxmlformats.org/officeDocument/2006/relationships/hyperlink" Target="https://gamalytic.com/publisher/First%20Break%20Labs" TargetMode="External"/><Relationship Id="rId324" Type="http://schemas.openxmlformats.org/officeDocument/2006/relationships/hyperlink" Target="https://www.kasedogames.com/pitch-to-us" TargetMode="External"/><Relationship Id="rId566" Type="http://schemas.openxmlformats.org/officeDocument/2006/relationships/hyperlink" Target="https://store.steampowered.com/developer/FirstBreakLabs" TargetMode="External"/><Relationship Id="rId329" Type="http://schemas.openxmlformats.org/officeDocument/2006/relationships/hyperlink" Target="https://www.yogscast.games/" TargetMode="External"/><Relationship Id="rId328" Type="http://schemas.openxmlformats.org/officeDocument/2006/relationships/hyperlink" Target="https://www.yogscast.games/" TargetMode="External"/><Relationship Id="rId561" Type="http://schemas.openxmlformats.org/officeDocument/2006/relationships/hyperlink" Target="https://www.linkedin.com/in/alainmilly/" TargetMode="External"/><Relationship Id="rId560" Type="http://schemas.openxmlformats.org/officeDocument/2006/relationships/hyperlink" Target="https://www.microids.com/contact/" TargetMode="External"/><Relationship Id="rId323" Type="http://schemas.openxmlformats.org/officeDocument/2006/relationships/hyperlink" Target="https://www.kasedogames.com/" TargetMode="External"/><Relationship Id="rId565" Type="http://schemas.openxmlformats.org/officeDocument/2006/relationships/hyperlink" Target="https://www.linkedin.com/in/alfonsocubiasjr/" TargetMode="External"/><Relationship Id="rId322" Type="http://schemas.openxmlformats.org/officeDocument/2006/relationships/hyperlink" Target="https://gamalytic.com/publisher/Tribute%20Games%20Inc." TargetMode="External"/><Relationship Id="rId564" Type="http://schemas.openxmlformats.org/officeDocument/2006/relationships/hyperlink" Target="https://firstbreaklabs.com/" TargetMode="External"/><Relationship Id="rId321" Type="http://schemas.openxmlformats.org/officeDocument/2006/relationships/hyperlink" Target="https://store.steampowered.com/publisher/tributegames" TargetMode="External"/><Relationship Id="rId563" Type="http://schemas.openxmlformats.org/officeDocument/2006/relationships/hyperlink" Target="https://gamalytic.com/publisher/Microids" TargetMode="External"/><Relationship Id="rId320" Type="http://schemas.openxmlformats.org/officeDocument/2006/relationships/hyperlink" Target="https://www.linkedin.com/in/strych9/" TargetMode="External"/><Relationship Id="rId562" Type="http://schemas.openxmlformats.org/officeDocument/2006/relationships/hyperlink" Target="https://store.steampowered.com/publisher/microids" TargetMode="External"/><Relationship Id="rId316" Type="http://schemas.openxmlformats.org/officeDocument/2006/relationships/hyperlink" Target="https://www.linkedin.com/in/nicolasgb/" TargetMode="External"/><Relationship Id="rId558" Type="http://schemas.openxmlformats.org/officeDocument/2006/relationships/hyperlink" Target="https://gamalytic.com/publisher/Noodlecake" TargetMode="External"/><Relationship Id="rId315" Type="http://schemas.openxmlformats.org/officeDocument/2006/relationships/hyperlink" Target="https://twin-sails.com/en/publish/" TargetMode="External"/><Relationship Id="rId557" Type="http://schemas.openxmlformats.org/officeDocument/2006/relationships/hyperlink" Target="https://store.steampowered.com/publisher/NOODLECAKE" TargetMode="External"/><Relationship Id="rId799" Type="http://schemas.openxmlformats.org/officeDocument/2006/relationships/hyperlink" Target="https://www.linkedin.com/in/williambertin/" TargetMode="External"/><Relationship Id="rId314" Type="http://schemas.openxmlformats.org/officeDocument/2006/relationships/hyperlink" Target="https://twin-sails.com/en/" TargetMode="External"/><Relationship Id="rId556" Type="http://schemas.openxmlformats.org/officeDocument/2006/relationships/hyperlink" Target="https://www.linkedin.com/in/bo-dong-b74ba073/" TargetMode="External"/><Relationship Id="rId798" Type="http://schemas.openxmlformats.org/officeDocument/2006/relationships/hyperlink" Target="https://plugindigital.com/form-sales-and-biz-dev/" TargetMode="External"/><Relationship Id="rId313" Type="http://schemas.openxmlformats.org/officeDocument/2006/relationships/hyperlink" Target="https://gamalytic.com/publisher/Gambit%20Digital" TargetMode="External"/><Relationship Id="rId555" Type="http://schemas.openxmlformats.org/officeDocument/2006/relationships/hyperlink" Target="https://noodlecake.com/publishing/" TargetMode="External"/><Relationship Id="rId797" Type="http://schemas.openxmlformats.org/officeDocument/2006/relationships/hyperlink" Target="https://plugindigital.com/studio/" TargetMode="External"/><Relationship Id="rId319" Type="http://schemas.openxmlformats.org/officeDocument/2006/relationships/hyperlink" Target="https://tributegames.com/" TargetMode="External"/><Relationship Id="rId318" Type="http://schemas.openxmlformats.org/officeDocument/2006/relationships/hyperlink" Target="https://gamalytic.com/publisher/Twin%20Sails%20Interactive" TargetMode="External"/><Relationship Id="rId317" Type="http://schemas.openxmlformats.org/officeDocument/2006/relationships/hyperlink" Target="https://store.steampowered.com/publisher/twinsailsinteractive" TargetMode="External"/><Relationship Id="rId559" Type="http://schemas.openxmlformats.org/officeDocument/2006/relationships/hyperlink" Target="https://www.microids.com/" TargetMode="External"/><Relationship Id="rId550" Type="http://schemas.openxmlformats.org/officeDocument/2006/relationships/hyperlink" Target="https://whitethorngames.com/" TargetMode="External"/><Relationship Id="rId792" Type="http://schemas.openxmlformats.org/officeDocument/2006/relationships/hyperlink" Target="https://www.funcom.com/" TargetMode="External"/><Relationship Id="rId791" Type="http://schemas.openxmlformats.org/officeDocument/2006/relationships/hyperlink" Target="https://gamalytic.com/publisher/The%20Irregular%20Corporation" TargetMode="External"/><Relationship Id="rId790" Type="http://schemas.openxmlformats.org/officeDocument/2006/relationships/hyperlink" Target="https://store.steampowered.com/publisher/IrregularCorp" TargetMode="External"/><Relationship Id="rId312" Type="http://schemas.openxmlformats.org/officeDocument/2006/relationships/hyperlink" Target="https://store.steampowered.com/search/?publisher=Gambit%20Digital" TargetMode="External"/><Relationship Id="rId554" Type="http://schemas.openxmlformats.org/officeDocument/2006/relationships/hyperlink" Target="https://noodlecake.com/" TargetMode="External"/><Relationship Id="rId796" Type="http://schemas.openxmlformats.org/officeDocument/2006/relationships/hyperlink" Target="https://plugindigital.com/" TargetMode="External"/><Relationship Id="rId311" Type="http://schemas.openxmlformats.org/officeDocument/2006/relationships/hyperlink" Target="https://www.linkedin.com/in/zac-antonaci-ba782836/" TargetMode="External"/><Relationship Id="rId553" Type="http://schemas.openxmlformats.org/officeDocument/2006/relationships/hyperlink" Target="https://gamalytic.com/publisher/Whitethorn%20Games" TargetMode="External"/><Relationship Id="rId795" Type="http://schemas.openxmlformats.org/officeDocument/2006/relationships/hyperlink" Target="https://gamalytic.com/publisher/Funcom" TargetMode="External"/><Relationship Id="rId310" Type="http://schemas.openxmlformats.org/officeDocument/2006/relationships/hyperlink" Target="https://gambitdigital.ca/" TargetMode="External"/><Relationship Id="rId552" Type="http://schemas.openxmlformats.org/officeDocument/2006/relationships/hyperlink" Target="https://store.steampowered.com/publisher/whitethorngames" TargetMode="External"/><Relationship Id="rId794" Type="http://schemas.openxmlformats.org/officeDocument/2006/relationships/hyperlink" Target="https://store.steampowered.com/developer/Funcom" TargetMode="External"/><Relationship Id="rId551" Type="http://schemas.openxmlformats.org/officeDocument/2006/relationships/hyperlink" Target="https://www.linkedin.com/in/blanketswilson/" TargetMode="External"/><Relationship Id="rId793" Type="http://schemas.openxmlformats.org/officeDocument/2006/relationships/hyperlink" Target="https://www.linkedin.com/in/ilya-salamatov-34447a12/" TargetMode="External"/><Relationship Id="rId297" Type="http://schemas.openxmlformats.org/officeDocument/2006/relationships/hyperlink" Target="https://gamalytic.com/publisher/Mad%20Mushroom" TargetMode="External"/><Relationship Id="rId296" Type="http://schemas.openxmlformats.org/officeDocument/2006/relationships/hyperlink" Target="https://store.steampowered.com/publisher/madmushroommedia?snr=1_5_9__408" TargetMode="External"/><Relationship Id="rId295" Type="http://schemas.openxmlformats.org/officeDocument/2006/relationships/hyperlink" Target="https://www.madmushroom.gg/submit-your-game" TargetMode="External"/><Relationship Id="rId294" Type="http://schemas.openxmlformats.org/officeDocument/2006/relationships/hyperlink" Target="https://www.madmushroom.gg/" TargetMode="External"/><Relationship Id="rId299" Type="http://schemas.openxmlformats.org/officeDocument/2006/relationships/hyperlink" Target="https://docs.google.com/forms/d/e/1FAIpQLScDZGJZZlYFa2ZBDcSR-PQ1-ajdwcDVpqePcrNBDXaTWke0xw/viewform" TargetMode="External"/><Relationship Id="rId298" Type="http://schemas.openxmlformats.org/officeDocument/2006/relationships/hyperlink" Target="https://www.criticalreflex.com/" TargetMode="External"/><Relationship Id="rId271" Type="http://schemas.openxmlformats.org/officeDocument/2006/relationships/hyperlink" Target="https://store.steampowered.com/publisher/ParadoxArc" TargetMode="External"/><Relationship Id="rId270" Type="http://schemas.openxmlformats.org/officeDocument/2006/relationships/hyperlink" Target="https://www.linkedin.com/in/denis-ilecic-5952a563/" TargetMode="External"/><Relationship Id="rId269" Type="http://schemas.openxmlformats.org/officeDocument/2006/relationships/hyperlink" Target="https://www.paradoxinteractive.com/contact/pitch-your-game-to-paradox" TargetMode="External"/><Relationship Id="rId264" Type="http://schemas.openxmlformats.org/officeDocument/2006/relationships/hyperlink" Target="https://crytivo.com/" TargetMode="External"/><Relationship Id="rId263" Type="http://schemas.openxmlformats.org/officeDocument/2006/relationships/hyperlink" Target="https://gamalytic.com/publisher/Alawar" TargetMode="External"/><Relationship Id="rId262" Type="http://schemas.openxmlformats.org/officeDocument/2006/relationships/hyperlink" Target="https://store.steampowered.com/publisher/alawar" TargetMode="External"/><Relationship Id="rId261" Type="http://schemas.openxmlformats.org/officeDocument/2006/relationships/hyperlink" Target="https://www.linkedin.com/in/alex-arsentiev-7243b8204/" TargetMode="External"/><Relationship Id="rId268" Type="http://schemas.openxmlformats.org/officeDocument/2006/relationships/hyperlink" Target="https://www.paradoxinteractive.com/" TargetMode="External"/><Relationship Id="rId267" Type="http://schemas.openxmlformats.org/officeDocument/2006/relationships/hyperlink" Target="https://gamalytic.com/publisher/Crytivo" TargetMode="External"/><Relationship Id="rId266" Type="http://schemas.openxmlformats.org/officeDocument/2006/relationships/hyperlink" Target="https://store.steampowered.com/publisher/Crytivo" TargetMode="External"/><Relationship Id="rId265" Type="http://schemas.openxmlformats.org/officeDocument/2006/relationships/hyperlink" Target="https://crytivo.com/en/publishing" TargetMode="External"/><Relationship Id="rId260" Type="http://schemas.openxmlformats.org/officeDocument/2006/relationships/hyperlink" Target="https://alawar.com/pitch" TargetMode="External"/><Relationship Id="rId259" Type="http://schemas.openxmlformats.org/officeDocument/2006/relationships/hyperlink" Target="https://alawar.com/" TargetMode="External"/><Relationship Id="rId258" Type="http://schemas.openxmlformats.org/officeDocument/2006/relationships/hyperlink" Target="https://gamalytic.com/publisher/Oro%20Interactive" TargetMode="External"/><Relationship Id="rId253" Type="http://schemas.openxmlformats.org/officeDocument/2006/relationships/hyperlink" Target="https://store.steampowered.com/publisher/TheArcadeCrew" TargetMode="External"/><Relationship Id="rId495" Type="http://schemas.openxmlformats.org/officeDocument/2006/relationships/hyperlink" Target="https://gamalytic.com/publisher/HeroCraft%20PC" TargetMode="External"/><Relationship Id="rId252" Type="http://schemas.openxmlformats.org/officeDocument/2006/relationships/hyperlink" Target="https://twitter.com/Julien_Chvt" TargetMode="External"/><Relationship Id="rId494" Type="http://schemas.openxmlformats.org/officeDocument/2006/relationships/hyperlink" Target="https://store.steampowered.com/publisher/HeroCraft_PC" TargetMode="External"/><Relationship Id="rId251" Type="http://schemas.openxmlformats.org/officeDocument/2006/relationships/hyperlink" Target="https://www.thearcadecrew.com/contact/" TargetMode="External"/><Relationship Id="rId493" Type="http://schemas.openxmlformats.org/officeDocument/2006/relationships/hyperlink" Target="https://www.linkedin.com/in/vasiliytedeev/" TargetMode="External"/><Relationship Id="rId250" Type="http://schemas.openxmlformats.org/officeDocument/2006/relationships/hyperlink" Target="https://www.thearcadecrew.com/" TargetMode="External"/><Relationship Id="rId492" Type="http://schemas.openxmlformats.org/officeDocument/2006/relationships/hyperlink" Target="https://www.herocraft.com/release/pc/" TargetMode="External"/><Relationship Id="rId257" Type="http://schemas.openxmlformats.org/officeDocument/2006/relationships/hyperlink" Target="https://store.steampowered.com/publisher/orointeractive" TargetMode="External"/><Relationship Id="rId499" Type="http://schemas.openxmlformats.org/officeDocument/2006/relationships/hyperlink" Target="https://store.steampowered.com/curator/41245051-Double-Eleven-Official/" TargetMode="External"/><Relationship Id="rId256" Type="http://schemas.openxmlformats.org/officeDocument/2006/relationships/hyperlink" Target="https://www.linkedin.com/in/daniel-lyozov-348495133/" TargetMode="External"/><Relationship Id="rId498" Type="http://schemas.openxmlformats.org/officeDocument/2006/relationships/hyperlink" Target="https://www.linkedin.com/in/kirsten-cummins-6a5a774b/" TargetMode="External"/><Relationship Id="rId255" Type="http://schemas.openxmlformats.org/officeDocument/2006/relationships/hyperlink" Target="https://www.orointeractive.com/" TargetMode="External"/><Relationship Id="rId497" Type="http://schemas.openxmlformats.org/officeDocument/2006/relationships/hyperlink" Target="https://double11.com/contact-us" TargetMode="External"/><Relationship Id="rId254" Type="http://schemas.openxmlformats.org/officeDocument/2006/relationships/hyperlink" Target="https://gamalytic.com/publisher/The%20Arcade%20Crew" TargetMode="External"/><Relationship Id="rId496" Type="http://schemas.openxmlformats.org/officeDocument/2006/relationships/hyperlink" Target="https://double11.com" TargetMode="External"/><Relationship Id="rId293" Type="http://schemas.openxmlformats.org/officeDocument/2006/relationships/hyperlink" Target="https://gamalytic.com/publisher/Kitfox%20Games" TargetMode="External"/><Relationship Id="rId292" Type="http://schemas.openxmlformats.org/officeDocument/2006/relationships/hyperlink" Target="https://store.steampowered.com/publisher/kitfoxgames" TargetMode="External"/><Relationship Id="rId291" Type="http://schemas.openxmlformats.org/officeDocument/2006/relationships/hyperlink" Target="https://www.linkedin.com/in/tanyashort/" TargetMode="External"/><Relationship Id="rId290" Type="http://schemas.openxmlformats.org/officeDocument/2006/relationships/hyperlink" Target="https://www.kitfoxgames.com/en" TargetMode="External"/><Relationship Id="rId286" Type="http://schemas.openxmlformats.org/officeDocument/2006/relationships/hyperlink" Target="https://www.smilegate.com/en/" TargetMode="External"/><Relationship Id="rId285" Type="http://schemas.openxmlformats.org/officeDocument/2006/relationships/hyperlink" Target="https://gamalytic.com/publisher/No%20More%20Robots" TargetMode="External"/><Relationship Id="rId284" Type="http://schemas.openxmlformats.org/officeDocument/2006/relationships/hyperlink" Target="https://store.steampowered.com/publisher/nomorerobots" TargetMode="External"/><Relationship Id="rId283" Type="http://schemas.openxmlformats.org/officeDocument/2006/relationships/hyperlink" Target="https://www.linkedin.com/in/stacey-satchell-64134615a/" TargetMode="External"/><Relationship Id="rId289" Type="http://schemas.openxmlformats.org/officeDocument/2006/relationships/hyperlink" Target="https://gamalytic.com/publisher/Smilegate%20Entertainment" TargetMode="External"/><Relationship Id="rId288" Type="http://schemas.openxmlformats.org/officeDocument/2006/relationships/hyperlink" Target="https://store.steampowered.com/search/?developer=Smilegate%20RPG" TargetMode="External"/><Relationship Id="rId287" Type="http://schemas.openxmlformats.org/officeDocument/2006/relationships/hyperlink" Target="https://www.linkedin.com/in/techmarketer/" TargetMode="External"/><Relationship Id="rId282" Type="http://schemas.openxmlformats.org/officeDocument/2006/relationships/hyperlink" Target="https://nomorerobots.io/" TargetMode="External"/><Relationship Id="rId281" Type="http://schemas.openxmlformats.org/officeDocument/2006/relationships/hyperlink" Target="https://gamalytic.com/publisher/Astra%20Logical" TargetMode="External"/><Relationship Id="rId280" Type="http://schemas.openxmlformats.org/officeDocument/2006/relationships/hyperlink" Target="https://store.steampowered.com/publisher/AstraLogical" TargetMode="External"/><Relationship Id="rId275" Type="http://schemas.openxmlformats.org/officeDocument/2006/relationships/hyperlink" Target="https://www.linkedin.com/in/billwang1/" TargetMode="External"/><Relationship Id="rId274" Type="http://schemas.openxmlformats.org/officeDocument/2006/relationships/hyperlink" Target="https://skystone.games/" TargetMode="External"/><Relationship Id="rId273" Type="http://schemas.openxmlformats.org/officeDocument/2006/relationships/hyperlink" Target="http://skystone.games" TargetMode="External"/><Relationship Id="rId272" Type="http://schemas.openxmlformats.org/officeDocument/2006/relationships/hyperlink" Target="https://gamalytic.com/publisher/Paradox%20Arc" TargetMode="External"/><Relationship Id="rId279" Type="http://schemas.openxmlformats.org/officeDocument/2006/relationships/hyperlink" Target="https://astralogical.org/pitch" TargetMode="External"/><Relationship Id="rId278" Type="http://schemas.openxmlformats.org/officeDocument/2006/relationships/hyperlink" Target="https://astralogical.org/" TargetMode="External"/><Relationship Id="rId277" Type="http://schemas.openxmlformats.org/officeDocument/2006/relationships/hyperlink" Target="https://gamalytic.com/publisher/Skystone%20Games" TargetMode="External"/><Relationship Id="rId276" Type="http://schemas.openxmlformats.org/officeDocument/2006/relationships/hyperlink" Target="https://store.steampowered.com/publisher/skystone" TargetMode="External"/><Relationship Id="rId907" Type="http://schemas.openxmlformats.org/officeDocument/2006/relationships/vmlDrawing" Target="../drawings/vmlDrawing3.vml"/><Relationship Id="rId906" Type="http://schemas.openxmlformats.org/officeDocument/2006/relationships/drawing" Target="../drawings/drawing4.xml"/><Relationship Id="rId905" Type="http://schemas.openxmlformats.org/officeDocument/2006/relationships/hyperlink" Target="https://gamalytic.com/publisher/HandyGames" TargetMode="External"/><Relationship Id="rId904" Type="http://schemas.openxmlformats.org/officeDocument/2006/relationships/hyperlink" Target="https://store.steampowered.com/developer/HandyGames" TargetMode="External"/><Relationship Id="rId903" Type="http://schemas.openxmlformats.org/officeDocument/2006/relationships/hyperlink" Target="https://www.linkedin.com/in/jay-pfeifer-233a7514a/" TargetMode="External"/><Relationship Id="rId902" Type="http://schemas.openxmlformats.org/officeDocument/2006/relationships/hyperlink" Target="https://handy-games.com/en/publishing/" TargetMode="External"/><Relationship Id="rId901" Type="http://schemas.openxmlformats.org/officeDocument/2006/relationships/hyperlink" Target="https://www.handy-games.com/" TargetMode="External"/><Relationship Id="rId900" Type="http://schemas.openxmlformats.org/officeDocument/2006/relationships/hyperlink" Target="https://www.handy-games.com" TargetMode="External"/><Relationship Id="rId629" Type="http://schemas.openxmlformats.org/officeDocument/2006/relationships/hyperlink" Target="https://store.steampowered.com/publisher/GMG" TargetMode="External"/><Relationship Id="rId624" Type="http://schemas.openxmlformats.org/officeDocument/2006/relationships/hyperlink" Target="https://pineapple.works/" TargetMode="External"/><Relationship Id="rId866" Type="http://schemas.openxmlformats.org/officeDocument/2006/relationships/hyperlink" Target="https://www.linkedin.com/in/leela-collins/" TargetMode="External"/><Relationship Id="rId623" Type="http://schemas.openxmlformats.org/officeDocument/2006/relationships/hyperlink" Target="https://gamalytic.com/publisher/Selecta%20Play" TargetMode="External"/><Relationship Id="rId865" Type="http://schemas.openxmlformats.org/officeDocument/2006/relationships/hyperlink" Target="https://www.bansheegames.co.uk/" TargetMode="External"/><Relationship Id="rId622" Type="http://schemas.openxmlformats.org/officeDocument/2006/relationships/hyperlink" Target="https://store.steampowered.com/publisher/SelectaPlay" TargetMode="External"/><Relationship Id="rId864" Type="http://schemas.openxmlformats.org/officeDocument/2006/relationships/hyperlink" Target="https://gamalytic.com/publisher/Studio%20Zero" TargetMode="External"/><Relationship Id="rId621" Type="http://schemas.openxmlformats.org/officeDocument/2006/relationships/hyperlink" Target="https://selecta-play.com/en/" TargetMode="External"/><Relationship Id="rId863" Type="http://schemas.openxmlformats.org/officeDocument/2006/relationships/hyperlink" Target="https://store.steampowered.com/app/1680650/Astonishing_Baseball_Manager/" TargetMode="External"/><Relationship Id="rId628" Type="http://schemas.openxmlformats.org/officeDocument/2006/relationships/hyperlink" Target="https://www.linkedin.com/in/ben-tucker-164a49159/" TargetMode="External"/><Relationship Id="rId627" Type="http://schemas.openxmlformats.org/officeDocument/2006/relationships/hyperlink" Target="https://www.greenmangaming.com/" TargetMode="External"/><Relationship Id="rId869" Type="http://schemas.openxmlformats.org/officeDocument/2006/relationships/hyperlink" Target="https://klabater.com/en/home/" TargetMode="External"/><Relationship Id="rId626" Type="http://schemas.openxmlformats.org/officeDocument/2006/relationships/hyperlink" Target="https://gamalytic.com/publisher/Pineapple%20Works" TargetMode="External"/><Relationship Id="rId868" Type="http://schemas.openxmlformats.org/officeDocument/2006/relationships/hyperlink" Target="https://gamalytic.com/publisher/Banshee%20Games" TargetMode="External"/><Relationship Id="rId625" Type="http://schemas.openxmlformats.org/officeDocument/2006/relationships/hyperlink" Target="https://store.steampowered.com/developer/pineappleworks" TargetMode="External"/><Relationship Id="rId867" Type="http://schemas.openxmlformats.org/officeDocument/2006/relationships/hyperlink" Target="https://store.steampowered.com/developer/banshee" TargetMode="External"/><Relationship Id="rId620" Type="http://schemas.openxmlformats.org/officeDocument/2006/relationships/hyperlink" Target="https://gamalytic.com/publisher/Judatone%20Studios" TargetMode="External"/><Relationship Id="rId862" Type="http://schemas.openxmlformats.org/officeDocument/2006/relationships/hyperlink" Target="https://www.linkedin.com/in/quentin-sallat/" TargetMode="External"/><Relationship Id="rId861" Type="http://schemas.openxmlformats.org/officeDocument/2006/relationships/hyperlink" Target="https://www.zero-one.fr/" TargetMode="External"/><Relationship Id="rId860" Type="http://schemas.openxmlformats.org/officeDocument/2006/relationships/hyperlink" Target="https://gamalytic.com/publisher/Bigmode" TargetMode="External"/><Relationship Id="rId619" Type="http://schemas.openxmlformats.org/officeDocument/2006/relationships/hyperlink" Target="https://store.steampowered.com/search/?publisher=Judatone+Studios" TargetMode="External"/><Relationship Id="rId618" Type="http://schemas.openxmlformats.org/officeDocument/2006/relationships/hyperlink" Target="https://www.linkedin.com/in/antonio-assenza/" TargetMode="External"/><Relationship Id="rId613" Type="http://schemas.openxmlformats.org/officeDocument/2006/relationships/hyperlink" Target="https://docs.google.com/presentation/d/1bWWQTIaMJ1Rc39ttsoz7sgeWPY7MmlzuVHGw22VTRPg/edit" TargetMode="External"/><Relationship Id="rId855" Type="http://schemas.openxmlformats.org/officeDocument/2006/relationships/hyperlink" Target="https://www.linkedin.com/in/pinkerator" TargetMode="External"/><Relationship Id="rId612" Type="http://schemas.openxmlformats.org/officeDocument/2006/relationships/hyperlink" Target="https://www.togeproductions.com/" TargetMode="External"/><Relationship Id="rId854" Type="http://schemas.openxmlformats.org/officeDocument/2006/relationships/hyperlink" Target="https://www.sometimesyou.com" TargetMode="External"/><Relationship Id="rId611" Type="http://schemas.openxmlformats.org/officeDocument/2006/relationships/hyperlink" Target="https://gamalytic.com/publisher/Forever%20Entertainment%20S.%20A." TargetMode="External"/><Relationship Id="rId853" Type="http://schemas.openxmlformats.org/officeDocument/2006/relationships/hyperlink" Target="https://gamalytic.com/publisher/Big%20Sugar" TargetMode="External"/><Relationship Id="rId610" Type="http://schemas.openxmlformats.org/officeDocument/2006/relationships/hyperlink" Target="https://store.steampowered.com/publisher/foreverentert" TargetMode="External"/><Relationship Id="rId852" Type="http://schemas.openxmlformats.org/officeDocument/2006/relationships/hyperlink" Target="https://store.steampowered.com/publisher/BigSugar" TargetMode="External"/><Relationship Id="rId617" Type="http://schemas.openxmlformats.org/officeDocument/2006/relationships/hyperlink" Target="https://judatone.com/" TargetMode="External"/><Relationship Id="rId859" Type="http://schemas.openxmlformats.org/officeDocument/2006/relationships/hyperlink" Target="https://store.steampowered.com/publisher/BIGMODE" TargetMode="External"/><Relationship Id="rId616" Type="http://schemas.openxmlformats.org/officeDocument/2006/relationships/hyperlink" Target="https://gamalytic.com/publisher/Toge%20Productions" TargetMode="External"/><Relationship Id="rId858" Type="http://schemas.openxmlformats.org/officeDocument/2006/relationships/hyperlink" Target="https://bigmode.com/apply" TargetMode="External"/><Relationship Id="rId615" Type="http://schemas.openxmlformats.org/officeDocument/2006/relationships/hyperlink" Target="https://store.steampowered.com/publisher/togeproductions" TargetMode="External"/><Relationship Id="rId857" Type="http://schemas.openxmlformats.org/officeDocument/2006/relationships/hyperlink" Target="https://bigmode.com/" TargetMode="External"/><Relationship Id="rId614" Type="http://schemas.openxmlformats.org/officeDocument/2006/relationships/hyperlink" Target="https://www.linkedin.com/in/kris-antoni-hadiputra-a675b819/?originalSubdomain=id" TargetMode="External"/><Relationship Id="rId856" Type="http://schemas.openxmlformats.org/officeDocument/2006/relationships/hyperlink" Target="https://gamalytic.com/publisher/Sometimes%20You" TargetMode="External"/><Relationship Id="rId851" Type="http://schemas.openxmlformats.org/officeDocument/2006/relationships/hyperlink" Target="https://www.bigsugar.games/contact/" TargetMode="External"/><Relationship Id="rId850" Type="http://schemas.openxmlformats.org/officeDocument/2006/relationships/hyperlink" Target="https://www.bigsugar.games/" TargetMode="External"/><Relationship Id="rId409" Type="http://schemas.openxmlformats.org/officeDocument/2006/relationships/hyperlink" Target="https://www.walesinteractive.com/contact" TargetMode="External"/><Relationship Id="rId404" Type="http://schemas.openxmlformats.org/officeDocument/2006/relationships/hyperlink" Target="http://www.gameops.pl/en/about-us/" TargetMode="External"/><Relationship Id="rId646" Type="http://schemas.openxmlformats.org/officeDocument/2006/relationships/hyperlink" Target="https://gamalytic.com/publisher/Bonus%20Stage%20Publishing" TargetMode="External"/><Relationship Id="rId888" Type="http://schemas.openxmlformats.org/officeDocument/2006/relationships/hyperlink" Target="http://www.whisperinteractive.com/" TargetMode="External"/><Relationship Id="rId403" Type="http://schemas.openxmlformats.org/officeDocument/2006/relationships/hyperlink" Target="https://gamalytic.com/publisher/DANGEN%20Entertainment" TargetMode="External"/><Relationship Id="rId645" Type="http://schemas.openxmlformats.org/officeDocument/2006/relationships/hyperlink" Target="https://store.steampowered.com/publisher/bonusstage" TargetMode="External"/><Relationship Id="rId887" Type="http://schemas.openxmlformats.org/officeDocument/2006/relationships/hyperlink" Target="https://gamalytic.com/publisher/Lesser%20Evil" TargetMode="External"/><Relationship Id="rId402" Type="http://schemas.openxmlformats.org/officeDocument/2006/relationships/hyperlink" Target="https://store.steampowered.com/publisher/dangen" TargetMode="External"/><Relationship Id="rId644" Type="http://schemas.openxmlformats.org/officeDocument/2006/relationships/hyperlink" Target="https://www.bonusstage.co/developers" TargetMode="External"/><Relationship Id="rId886" Type="http://schemas.openxmlformats.org/officeDocument/2006/relationships/hyperlink" Target="https://store.steampowered.com/publisher/LesserEvil" TargetMode="External"/><Relationship Id="rId401" Type="http://schemas.openxmlformats.org/officeDocument/2006/relationships/hyperlink" Target="https://www.linkedin.com/in/dan-stern-55177a24" TargetMode="External"/><Relationship Id="rId643" Type="http://schemas.openxmlformats.org/officeDocument/2006/relationships/hyperlink" Target="https://www.bonusstage.co/" TargetMode="External"/><Relationship Id="rId885" Type="http://schemas.openxmlformats.org/officeDocument/2006/relationships/hyperlink" Target="https://www.linkedin.com/in/michalgembicki/" TargetMode="External"/><Relationship Id="rId408" Type="http://schemas.openxmlformats.org/officeDocument/2006/relationships/hyperlink" Target="https://www.walesinteractive.com/" TargetMode="External"/><Relationship Id="rId407" Type="http://schemas.openxmlformats.org/officeDocument/2006/relationships/hyperlink" Target="https://gamalytic.com/publisher/Games%20Operators" TargetMode="External"/><Relationship Id="rId649" Type="http://schemas.openxmlformats.org/officeDocument/2006/relationships/hyperlink" Target="https://gamalytic.com/publisher/QUByte%20Interactive" TargetMode="External"/><Relationship Id="rId406" Type="http://schemas.openxmlformats.org/officeDocument/2006/relationships/hyperlink" Target="https://store.steampowered.com/publisher/gameops" TargetMode="External"/><Relationship Id="rId648" Type="http://schemas.openxmlformats.org/officeDocument/2006/relationships/hyperlink" Target="https://store.steampowered.com/publisher/qubyte" TargetMode="External"/><Relationship Id="rId405" Type="http://schemas.openxmlformats.org/officeDocument/2006/relationships/hyperlink" Target="https://www.linkedin.com/in/konrad-chmielewski-dev/" TargetMode="External"/><Relationship Id="rId647" Type="http://schemas.openxmlformats.org/officeDocument/2006/relationships/hyperlink" Target="https://www.qubyteinteractive.com/site/" TargetMode="External"/><Relationship Id="rId889" Type="http://schemas.openxmlformats.org/officeDocument/2006/relationships/hyperlink" Target="https://store.steampowered.com/publisher/WhisperGames/" TargetMode="External"/><Relationship Id="rId880" Type="http://schemas.openxmlformats.org/officeDocument/2006/relationships/hyperlink" Target="http://www.tapblaze.com/" TargetMode="External"/><Relationship Id="rId400" Type="http://schemas.openxmlformats.org/officeDocument/2006/relationships/hyperlink" Target="https://pitch.dangenentertainment.com/?_xm=13900.283328865470775310" TargetMode="External"/><Relationship Id="rId642" Type="http://schemas.openxmlformats.org/officeDocument/2006/relationships/hyperlink" Target="https://gamalytic.com/publisher/Tiny%20Dragon" TargetMode="External"/><Relationship Id="rId884" Type="http://schemas.openxmlformats.org/officeDocument/2006/relationships/hyperlink" Target="https://lesserevil.games/" TargetMode="External"/><Relationship Id="rId641" Type="http://schemas.openxmlformats.org/officeDocument/2006/relationships/hyperlink" Target="https://store.steampowered.com/publisher/tinydragon" TargetMode="External"/><Relationship Id="rId883" Type="http://schemas.openxmlformats.org/officeDocument/2006/relationships/hyperlink" Target="https://gamalytic.com/publisher/TapBlaze" TargetMode="External"/><Relationship Id="rId640" Type="http://schemas.openxmlformats.org/officeDocument/2006/relationships/hyperlink" Target="mailto:sean@tinydragongames.com" TargetMode="External"/><Relationship Id="rId882" Type="http://schemas.openxmlformats.org/officeDocument/2006/relationships/hyperlink" Target="https://store.steampowered.com/curator/34438802" TargetMode="External"/><Relationship Id="rId881" Type="http://schemas.openxmlformats.org/officeDocument/2006/relationships/hyperlink" Target="https://www.linkedin.com/in/mranthonylai" TargetMode="External"/><Relationship Id="rId635" Type="http://schemas.openxmlformats.org/officeDocument/2006/relationships/hyperlink" Target="https://catnessgames.com/" TargetMode="External"/><Relationship Id="rId877" Type="http://schemas.openxmlformats.org/officeDocument/2006/relationships/hyperlink" Target="https://www.iphigames.com" TargetMode="External"/><Relationship Id="rId634" Type="http://schemas.openxmlformats.org/officeDocument/2006/relationships/hyperlink" Target="https://gamalytic.com/publisher/Dionous%20Games" TargetMode="External"/><Relationship Id="rId876" Type="http://schemas.openxmlformats.org/officeDocument/2006/relationships/hyperlink" Target="https://gamalytic.com/publisher/Blue%20Sunset%20Games" TargetMode="External"/><Relationship Id="rId633" Type="http://schemas.openxmlformats.org/officeDocument/2006/relationships/hyperlink" Target="https://store.steampowered.com/developer/dionous" TargetMode="External"/><Relationship Id="rId875" Type="http://schemas.openxmlformats.org/officeDocument/2006/relationships/hyperlink" Target="https://store.steampowered.com/curator/33021578" TargetMode="External"/><Relationship Id="rId632" Type="http://schemas.openxmlformats.org/officeDocument/2006/relationships/hyperlink" Target="https://www.dionous.com/game-pitches/" TargetMode="External"/><Relationship Id="rId874" Type="http://schemas.openxmlformats.org/officeDocument/2006/relationships/hyperlink" Target="http://www.bluesunsetgames.com/" TargetMode="External"/><Relationship Id="rId639" Type="http://schemas.openxmlformats.org/officeDocument/2006/relationships/hyperlink" Target="https://www.tinydragongames.com/services" TargetMode="External"/><Relationship Id="rId638" Type="http://schemas.openxmlformats.org/officeDocument/2006/relationships/hyperlink" Target="https://www.tinydragongames.com/" TargetMode="External"/><Relationship Id="rId637" Type="http://schemas.openxmlformats.org/officeDocument/2006/relationships/hyperlink" Target="https://gamalytic.com/publisher/Catness%20Game%20Studios" TargetMode="External"/><Relationship Id="rId879" Type="http://schemas.openxmlformats.org/officeDocument/2006/relationships/hyperlink" Target="https://gamalytic.com/publisher/Iphigames" TargetMode="External"/><Relationship Id="rId636" Type="http://schemas.openxmlformats.org/officeDocument/2006/relationships/hyperlink" Target="https://store.steampowered.com/publisher/catnessgames" TargetMode="External"/><Relationship Id="rId878" Type="http://schemas.openxmlformats.org/officeDocument/2006/relationships/hyperlink" Target="https://store.steampowered.com/publisher/iphigames" TargetMode="External"/><Relationship Id="rId631" Type="http://schemas.openxmlformats.org/officeDocument/2006/relationships/hyperlink" Target="https://www.dionous.com/" TargetMode="External"/><Relationship Id="rId873" Type="http://schemas.openxmlformats.org/officeDocument/2006/relationships/hyperlink" Target="https://gamalytic.com/publisher/Klabater" TargetMode="External"/><Relationship Id="rId630" Type="http://schemas.openxmlformats.org/officeDocument/2006/relationships/hyperlink" Target="https://gamalytic.com/publisher/Green%20Man%20Gaming%20Publishing" TargetMode="External"/><Relationship Id="rId872" Type="http://schemas.openxmlformats.org/officeDocument/2006/relationships/hyperlink" Target="https://store.steampowered.com/publisher/klabater" TargetMode="External"/><Relationship Id="rId871" Type="http://schemas.openxmlformats.org/officeDocument/2006/relationships/hyperlink" Target="https://www.linkedin.com/in/mariuszduda/" TargetMode="External"/><Relationship Id="rId870" Type="http://schemas.openxmlformats.org/officeDocument/2006/relationships/hyperlink" Target="https://klabater.com/en/submit-your-game/" TargetMode="External"/><Relationship Id="rId829" Type="http://schemas.openxmlformats.org/officeDocument/2006/relationships/hyperlink" Target="https://www.linkedin.com/in/korinaabbott/" TargetMode="External"/><Relationship Id="rId828" Type="http://schemas.openxmlformats.org/officeDocument/2006/relationships/hyperlink" Target="https://www.neonhive.co.uk" TargetMode="External"/><Relationship Id="rId827" Type="http://schemas.openxmlformats.org/officeDocument/2006/relationships/hyperlink" Target="https://gamalytic.com/publisher/CULT%20Games" TargetMode="External"/><Relationship Id="rId822" Type="http://schemas.openxmlformats.org/officeDocument/2006/relationships/hyperlink" Target="https://www.linkedin.com/in/sam-de-boeck-632b68169/" TargetMode="External"/><Relationship Id="rId821" Type="http://schemas.openxmlformats.org/officeDocument/2006/relationships/hyperlink" Target="https://www.daestudios.be/" TargetMode="External"/><Relationship Id="rId820" Type="http://schemas.openxmlformats.org/officeDocument/2006/relationships/hyperlink" Target="https://gamalytic.com/publisher/The%20CoLab" TargetMode="External"/><Relationship Id="rId826" Type="http://schemas.openxmlformats.org/officeDocument/2006/relationships/hyperlink" Target="https://store.steampowered.com/publisher/CULTgames" TargetMode="External"/><Relationship Id="rId825" Type="http://schemas.openxmlformats.org/officeDocument/2006/relationships/hyperlink" Target="https://www.linkedin.com/in/helen-burnill-336b0538/" TargetMode="External"/><Relationship Id="rId824" Type="http://schemas.openxmlformats.org/officeDocument/2006/relationships/hyperlink" Target="https://7nkc9d420u5.typeform.com/to/GQFLbf0x" TargetMode="External"/><Relationship Id="rId823" Type="http://schemas.openxmlformats.org/officeDocument/2006/relationships/hyperlink" Target="https://www.thecultgames.com/" TargetMode="External"/><Relationship Id="rId819" Type="http://schemas.openxmlformats.org/officeDocument/2006/relationships/hyperlink" Target="https://store.steampowered.com/publisher/TheColab" TargetMode="External"/><Relationship Id="rId818" Type="http://schemas.openxmlformats.org/officeDocument/2006/relationships/hyperlink" Target="https://www.linkedin.com/in/darrennewnham/" TargetMode="External"/><Relationship Id="rId817" Type="http://schemas.openxmlformats.org/officeDocument/2006/relationships/hyperlink" Target="https://www.thecolabgames.com/" TargetMode="External"/><Relationship Id="rId816" Type="http://schemas.openxmlformats.org/officeDocument/2006/relationships/hyperlink" Target="https://gamalytic.com/publisher/Pixmain" TargetMode="External"/><Relationship Id="rId811" Type="http://schemas.openxmlformats.org/officeDocument/2006/relationships/hyperlink" Target="https://gamalytic.com/publisher/Firestoke" TargetMode="External"/><Relationship Id="rId810" Type="http://schemas.openxmlformats.org/officeDocument/2006/relationships/hyperlink" Target="https://store.steampowered.com/publisher/firestoke" TargetMode="External"/><Relationship Id="rId815" Type="http://schemas.openxmlformats.org/officeDocument/2006/relationships/hyperlink" Target="https://store.steampowered.com/publisher/pixmain" TargetMode="External"/><Relationship Id="rId814" Type="http://schemas.openxmlformats.org/officeDocument/2006/relationships/hyperlink" Target="https://www.linkedin.com/in/jeff-huang-bytedance/" TargetMode="External"/><Relationship Id="rId813" Type="http://schemas.openxmlformats.org/officeDocument/2006/relationships/hyperlink" Target="https://www.pixmain.com/pitch-to-pixmain" TargetMode="External"/><Relationship Id="rId812" Type="http://schemas.openxmlformats.org/officeDocument/2006/relationships/hyperlink" Target="https://www.pixmain.com/" TargetMode="External"/><Relationship Id="rId609" Type="http://schemas.openxmlformats.org/officeDocument/2006/relationships/hyperlink" Target="https://www.linkedin.com/in/dominika-chyli%C5%84ska-55a77511a/" TargetMode="External"/><Relationship Id="rId608" Type="http://schemas.openxmlformats.org/officeDocument/2006/relationships/hyperlink" Target="https://forever-entertainment.com/" TargetMode="External"/><Relationship Id="rId607" Type="http://schemas.openxmlformats.org/officeDocument/2006/relationships/hyperlink" Target="https://gamalytic.com/publisher/Nuntius%20Games" TargetMode="External"/><Relationship Id="rId849" Type="http://schemas.openxmlformats.org/officeDocument/2006/relationships/hyperlink" Target="https://gamalytic.com/publisher/Walkabout" TargetMode="External"/><Relationship Id="rId602" Type="http://schemas.openxmlformats.org/officeDocument/2006/relationships/hyperlink" Target="https://www.grabthegames.com/" TargetMode="External"/><Relationship Id="rId844" Type="http://schemas.openxmlformats.org/officeDocument/2006/relationships/hyperlink" Target="https://playdigious.com/contact/" TargetMode="External"/><Relationship Id="rId601" Type="http://schemas.openxmlformats.org/officeDocument/2006/relationships/hyperlink" Target="https://gamalytic.com/publisher/Blowfish%20Studios" TargetMode="External"/><Relationship Id="rId843" Type="http://schemas.openxmlformats.org/officeDocument/2006/relationships/hyperlink" Target="https://playdigious.com/originals/" TargetMode="External"/><Relationship Id="rId600" Type="http://schemas.openxmlformats.org/officeDocument/2006/relationships/hyperlink" Target="https://store.steampowered.com/publisher/blowfishstudios" TargetMode="External"/><Relationship Id="rId842" Type="http://schemas.openxmlformats.org/officeDocument/2006/relationships/hyperlink" Target="https://gamalytic.com/publisher/Ravenage%20Games" TargetMode="External"/><Relationship Id="rId841" Type="http://schemas.openxmlformats.org/officeDocument/2006/relationships/hyperlink" Target="https://store.steampowered.com/publisher/ravenage" TargetMode="External"/><Relationship Id="rId606" Type="http://schemas.openxmlformats.org/officeDocument/2006/relationships/hyperlink" Target="https://store.steampowered.com/publisher/nuntiusgames/" TargetMode="External"/><Relationship Id="rId848" Type="http://schemas.openxmlformats.org/officeDocument/2006/relationships/hyperlink" Target="https://store.steampowered.com/publisher/Walkabout" TargetMode="External"/><Relationship Id="rId605" Type="http://schemas.openxmlformats.org/officeDocument/2006/relationships/hyperlink" Target="https://nuntiusgames.com/" TargetMode="External"/><Relationship Id="rId847" Type="http://schemas.openxmlformats.org/officeDocument/2006/relationships/hyperlink" Target="https://walkabout.games/" TargetMode="External"/><Relationship Id="rId604" Type="http://schemas.openxmlformats.org/officeDocument/2006/relationships/hyperlink" Target="https://gamalytic.com/publisher/GrabTheGames" TargetMode="External"/><Relationship Id="rId846" Type="http://schemas.openxmlformats.org/officeDocument/2006/relationships/hyperlink" Target="https://gamalytic.com/publisher/Playdigious%20Originals" TargetMode="External"/><Relationship Id="rId603" Type="http://schemas.openxmlformats.org/officeDocument/2006/relationships/hyperlink" Target="https://store.steampowered.com/publisher/GrabTheGames" TargetMode="External"/><Relationship Id="rId845" Type="http://schemas.openxmlformats.org/officeDocument/2006/relationships/hyperlink" Target="https://store.steampowered.com/curator/44253161" TargetMode="External"/><Relationship Id="rId840" Type="http://schemas.openxmlformats.org/officeDocument/2006/relationships/hyperlink" Target="https://ravenage.games/" TargetMode="External"/><Relationship Id="rId839" Type="http://schemas.openxmlformats.org/officeDocument/2006/relationships/hyperlink" Target="https://ravenage.games/" TargetMode="External"/><Relationship Id="rId838" Type="http://schemas.openxmlformats.org/officeDocument/2006/relationships/hyperlink" Target="https://gamalytic.com/publisher/Ishtar%20Games" TargetMode="External"/><Relationship Id="rId833" Type="http://schemas.openxmlformats.org/officeDocument/2006/relationships/hyperlink" Target="https://gamalytic.com/publisher/Digerati" TargetMode="External"/><Relationship Id="rId832" Type="http://schemas.openxmlformats.org/officeDocument/2006/relationships/hyperlink" Target="https://store.steampowered.com/publisher/Digerati" TargetMode="External"/><Relationship Id="rId831" Type="http://schemas.openxmlformats.org/officeDocument/2006/relationships/hyperlink" Target="https://www.digerati.games/contact/" TargetMode="External"/><Relationship Id="rId830" Type="http://schemas.openxmlformats.org/officeDocument/2006/relationships/hyperlink" Target="https://www.digerati.games/" TargetMode="External"/><Relationship Id="rId837" Type="http://schemas.openxmlformats.org/officeDocument/2006/relationships/hyperlink" Target="https://store.steampowered.com/developer/ishtargames" TargetMode="External"/><Relationship Id="rId836" Type="http://schemas.openxmlformats.org/officeDocument/2006/relationships/hyperlink" Target="https://www.linkedin.com/in/jordy-embun-8b3429a4/" TargetMode="External"/><Relationship Id="rId835" Type="http://schemas.openxmlformats.org/officeDocument/2006/relationships/hyperlink" Target="https://ishtar.games/" TargetMode="External"/><Relationship Id="rId834" Type="http://schemas.openxmlformats.org/officeDocument/2006/relationships/hyperlink" Target="https://poyskyproductions.com/" TargetMode="External"/><Relationship Id="rId228" Type="http://schemas.openxmlformats.org/officeDocument/2006/relationships/hyperlink" Target="https://gamalytic.com/publisher/Excalibur%20Games" TargetMode="External"/><Relationship Id="rId227" Type="http://schemas.openxmlformats.org/officeDocument/2006/relationships/hyperlink" Target="https://store.steampowered.com/publisher/excalibur-games" TargetMode="External"/><Relationship Id="rId469" Type="http://schemas.openxmlformats.org/officeDocument/2006/relationships/hyperlink" Target="https://store.steampowered.com/developer/ancientforge" TargetMode="External"/><Relationship Id="rId226" Type="http://schemas.openxmlformats.org/officeDocument/2006/relationships/hyperlink" Target="https://www.linkedin.com/in/steve-stopps-5628508/" TargetMode="External"/><Relationship Id="rId468" Type="http://schemas.openxmlformats.org/officeDocument/2006/relationships/hyperlink" Target="https://www.linkedin.com/in/dushan-chaciej/" TargetMode="External"/><Relationship Id="rId225" Type="http://schemas.openxmlformats.org/officeDocument/2006/relationships/hyperlink" Target="https://excalibur-games.com/" TargetMode="External"/><Relationship Id="rId467" Type="http://schemas.openxmlformats.org/officeDocument/2006/relationships/hyperlink" Target="https://ancientforgestudio.com/" TargetMode="External"/><Relationship Id="rId229" Type="http://schemas.openxmlformats.org/officeDocument/2006/relationships/hyperlink" Target="https://www.unitedlabelgames.com/" TargetMode="External"/><Relationship Id="rId220" Type="http://schemas.openxmlformats.org/officeDocument/2006/relationships/hyperlink" Target="https://gamalytic.com/publisher/Digital%20Bandidos" TargetMode="External"/><Relationship Id="rId462" Type="http://schemas.openxmlformats.org/officeDocument/2006/relationships/hyperlink" Target="https://store.steampowered.com/search/?publisher=Elda%20Entertainment" TargetMode="External"/><Relationship Id="rId461" Type="http://schemas.openxmlformats.org/officeDocument/2006/relationships/hyperlink" Target="https://www.linkedin.com/in/robincederholm/" TargetMode="External"/><Relationship Id="rId460" Type="http://schemas.openxmlformats.org/officeDocument/2006/relationships/hyperlink" Target="https://www.elda-entertainment.com/" TargetMode="External"/><Relationship Id="rId224" Type="http://schemas.openxmlformats.org/officeDocument/2006/relationships/hyperlink" Target="https://gamalytic.com/publisher/Spiral%20Up%20Games" TargetMode="External"/><Relationship Id="rId466" Type="http://schemas.openxmlformats.org/officeDocument/2006/relationships/hyperlink" Target="https://gamalytic.com/publisher/NAGA" TargetMode="External"/><Relationship Id="rId223" Type="http://schemas.openxmlformats.org/officeDocument/2006/relationships/hyperlink" Target="https://store.steampowered.com/publisher/spiralupgames" TargetMode="External"/><Relationship Id="rId465" Type="http://schemas.openxmlformats.org/officeDocument/2006/relationships/hyperlink" Target="https://store.steampowered.com/curator/45630690" TargetMode="External"/><Relationship Id="rId222" Type="http://schemas.openxmlformats.org/officeDocument/2006/relationships/hyperlink" Target="https://docs.google.com/forms/d/e/1FAIpQLSdXiem_6fw-1FZIDa_xEPKlJ0o_LRPxzdYiXuExx7Aw2obXBA/viewform" TargetMode="External"/><Relationship Id="rId464" Type="http://schemas.openxmlformats.org/officeDocument/2006/relationships/hyperlink" Target="https://www.naga-publishing.com/" TargetMode="External"/><Relationship Id="rId221" Type="http://schemas.openxmlformats.org/officeDocument/2006/relationships/hyperlink" Target="https://www.spiralupgames.com/" TargetMode="External"/><Relationship Id="rId463" Type="http://schemas.openxmlformats.org/officeDocument/2006/relationships/hyperlink" Target="https://gamalytic.com/publisher/Elda%20Entertainment" TargetMode="External"/><Relationship Id="rId217" Type="http://schemas.openxmlformats.org/officeDocument/2006/relationships/hyperlink" Target="https://digitalbandidos.com/submit-a-game/" TargetMode="External"/><Relationship Id="rId459" Type="http://schemas.openxmlformats.org/officeDocument/2006/relationships/hyperlink" Target="https://gamalytic.com/publisher/Envar%20Publishing" TargetMode="External"/><Relationship Id="rId216" Type="http://schemas.openxmlformats.org/officeDocument/2006/relationships/hyperlink" Target="https://digitalbandidos.com/" TargetMode="External"/><Relationship Id="rId458" Type="http://schemas.openxmlformats.org/officeDocument/2006/relationships/hyperlink" Target="https://store.steampowered.com/search/?publisher=Envar%20Publishing" TargetMode="External"/><Relationship Id="rId215" Type="http://schemas.openxmlformats.org/officeDocument/2006/relationships/hyperlink" Target="https://gamalytic.com/publisher/offbrand%20games" TargetMode="External"/><Relationship Id="rId457" Type="http://schemas.openxmlformats.org/officeDocument/2006/relationships/hyperlink" Target="https://www.linkedin.com/in/liam-o-neill-45068750/" TargetMode="External"/><Relationship Id="rId699" Type="http://schemas.openxmlformats.org/officeDocument/2006/relationships/hyperlink" Target="https://store.steampowered.com/publisher/popagenda" TargetMode="External"/><Relationship Id="rId214" Type="http://schemas.openxmlformats.org/officeDocument/2006/relationships/hyperlink" Target="https://store.steampowered.com/publisher/offbrandgames" TargetMode="External"/><Relationship Id="rId456" Type="http://schemas.openxmlformats.org/officeDocument/2006/relationships/hyperlink" Target="https://www.envarstudio.com/publishing" TargetMode="External"/><Relationship Id="rId698" Type="http://schemas.openxmlformats.org/officeDocument/2006/relationships/hyperlink" Target="https://x.com/NicolasVerge" TargetMode="External"/><Relationship Id="rId219" Type="http://schemas.openxmlformats.org/officeDocument/2006/relationships/hyperlink" Target="https://store.steampowered.com/curator/45135283" TargetMode="External"/><Relationship Id="rId218" Type="http://schemas.openxmlformats.org/officeDocument/2006/relationships/hyperlink" Target="https://www.linkedin.com/in/lcj0025/" TargetMode="External"/><Relationship Id="rId451" Type="http://schemas.openxmlformats.org/officeDocument/2006/relationships/hyperlink" Target="https://www.linkedin.com/in/ibrahimyildirim/" TargetMode="External"/><Relationship Id="rId693" Type="http://schemas.openxmlformats.org/officeDocument/2006/relationships/hyperlink" Target="https://www.linkedin.com/in/lili-zehui-zang-%E2%9C%88gamescom-86b20a164/" TargetMode="External"/><Relationship Id="rId450" Type="http://schemas.openxmlformats.org/officeDocument/2006/relationships/hyperlink" Target="https://tarkgames.com/submit" TargetMode="External"/><Relationship Id="rId692" Type="http://schemas.openxmlformats.org/officeDocument/2006/relationships/hyperlink" Target="https://www.agoragamingpartners.com/" TargetMode="External"/><Relationship Id="rId691" Type="http://schemas.openxmlformats.org/officeDocument/2006/relationships/hyperlink" Target="https://www.linkedin.com/in/michael-anderson-381a3952/" TargetMode="External"/><Relationship Id="rId690" Type="http://schemas.openxmlformats.org/officeDocument/2006/relationships/hyperlink" Target="https://www.nightsight.games/" TargetMode="External"/><Relationship Id="rId213" Type="http://schemas.openxmlformats.org/officeDocument/2006/relationships/hyperlink" Target="https://www.linkedin.com/in/ldeeep/" TargetMode="External"/><Relationship Id="rId455" Type="http://schemas.openxmlformats.org/officeDocument/2006/relationships/hyperlink" Target="https://www.envarstudio.com/" TargetMode="External"/><Relationship Id="rId697" Type="http://schemas.openxmlformats.org/officeDocument/2006/relationships/hyperlink" Target="https://popagenda.co/" TargetMode="External"/><Relationship Id="rId212" Type="http://schemas.openxmlformats.org/officeDocument/2006/relationships/hyperlink" Target="https://offbrand.gg/devs/" TargetMode="External"/><Relationship Id="rId454" Type="http://schemas.openxmlformats.org/officeDocument/2006/relationships/hyperlink" Target="https://gamalytic.com/publisher/TARK" TargetMode="External"/><Relationship Id="rId696" Type="http://schemas.openxmlformats.org/officeDocument/2006/relationships/hyperlink" Target="https://www.neonhearth.ca/pitch" TargetMode="External"/><Relationship Id="rId211" Type="http://schemas.openxmlformats.org/officeDocument/2006/relationships/hyperlink" Target="https://offbrand.gg/" TargetMode="External"/><Relationship Id="rId453" Type="http://schemas.openxmlformats.org/officeDocument/2006/relationships/hyperlink" Target="https://store.steampowered.com/publisher/tark" TargetMode="External"/><Relationship Id="rId695" Type="http://schemas.openxmlformats.org/officeDocument/2006/relationships/hyperlink" Target="https://neonhearth.ca/" TargetMode="External"/><Relationship Id="rId210" Type="http://schemas.openxmlformats.org/officeDocument/2006/relationships/hyperlink" Target="https://gamalytic.com/publisher/Sidekick%20Publishing" TargetMode="External"/><Relationship Id="rId452" Type="http://schemas.openxmlformats.org/officeDocument/2006/relationships/hyperlink" Target="https://www.linkedin.com/in/ibrahimyildirim/" TargetMode="External"/><Relationship Id="rId694" Type="http://schemas.openxmlformats.org/officeDocument/2006/relationships/hyperlink" Target="https://www.re-koup.com/" TargetMode="External"/><Relationship Id="rId491" Type="http://schemas.openxmlformats.org/officeDocument/2006/relationships/hyperlink" Target="https://www.herocraft.com/" TargetMode="External"/><Relationship Id="rId490" Type="http://schemas.openxmlformats.org/officeDocument/2006/relationships/hyperlink" Target="https://gamalytic.com/publisher/Wired%20Productions" TargetMode="External"/><Relationship Id="rId249" Type="http://schemas.openxmlformats.org/officeDocument/2006/relationships/hyperlink" Target="https://gamalytic.com/publisher/Gameforge%204D%20GmbH" TargetMode="External"/><Relationship Id="rId248" Type="http://schemas.openxmlformats.org/officeDocument/2006/relationships/hyperlink" Target="https://store.steampowered.com/publisher/Gameforge" TargetMode="External"/><Relationship Id="rId247" Type="http://schemas.openxmlformats.org/officeDocument/2006/relationships/hyperlink" Target="https://www.linkedin.com/in/peter-stein/" TargetMode="External"/><Relationship Id="rId489" Type="http://schemas.openxmlformats.org/officeDocument/2006/relationships/hyperlink" Target="https://store.steampowered.com/publisher/WIRED" TargetMode="External"/><Relationship Id="rId242" Type="http://schemas.openxmlformats.org/officeDocument/2006/relationships/hyperlink" Target="https://thunderfulgames.com/" TargetMode="External"/><Relationship Id="rId484" Type="http://schemas.openxmlformats.org/officeDocument/2006/relationships/hyperlink" Target="https://store.steampowered.com/publisher/Dear-Villagers" TargetMode="External"/><Relationship Id="rId241" Type="http://schemas.openxmlformats.org/officeDocument/2006/relationships/hyperlink" Target="https://gamalytic.com/publisher/Forklift%20Interactive" TargetMode="External"/><Relationship Id="rId483" Type="http://schemas.openxmlformats.org/officeDocument/2006/relationships/hyperlink" Target="mailto:gwozniak@plugindigital.com" TargetMode="External"/><Relationship Id="rId240" Type="http://schemas.openxmlformats.org/officeDocument/2006/relationships/hyperlink" Target="https://store.steampowered.com/publisher/forklift" TargetMode="External"/><Relationship Id="rId482" Type="http://schemas.openxmlformats.org/officeDocument/2006/relationships/hyperlink" Target="https://dearvillagers.com/pitch-your-game-form/" TargetMode="External"/><Relationship Id="rId481" Type="http://schemas.openxmlformats.org/officeDocument/2006/relationships/hyperlink" Target="https://dearvillagers.com/" TargetMode="External"/><Relationship Id="rId246" Type="http://schemas.openxmlformats.org/officeDocument/2006/relationships/hyperlink" Target="https://gameforge.com/en-GB/" TargetMode="External"/><Relationship Id="rId488" Type="http://schemas.openxmlformats.org/officeDocument/2006/relationships/hyperlink" Target="https://www.linkedin.com/in/kevinleathersuk/" TargetMode="External"/><Relationship Id="rId245" Type="http://schemas.openxmlformats.org/officeDocument/2006/relationships/hyperlink" Target="https://gamalytic.com/publisher/Thunderful%20Publishing" TargetMode="External"/><Relationship Id="rId487" Type="http://schemas.openxmlformats.org/officeDocument/2006/relationships/hyperlink" Target="https://wiredproductions.com/contact/" TargetMode="External"/><Relationship Id="rId244" Type="http://schemas.openxmlformats.org/officeDocument/2006/relationships/hyperlink" Target="https://store.steampowered.com/publisher/thunderfulpublishing" TargetMode="External"/><Relationship Id="rId486" Type="http://schemas.openxmlformats.org/officeDocument/2006/relationships/hyperlink" Target="https://wiredproductions.com/" TargetMode="External"/><Relationship Id="rId243" Type="http://schemas.openxmlformats.org/officeDocument/2006/relationships/hyperlink" Target="https://thunderfulgames.com/pitch-a-game/" TargetMode="External"/><Relationship Id="rId485" Type="http://schemas.openxmlformats.org/officeDocument/2006/relationships/hyperlink" Target="https://gamalytic.com/publisher/Dear%20Villagers" TargetMode="External"/><Relationship Id="rId480" Type="http://schemas.openxmlformats.org/officeDocument/2006/relationships/hyperlink" Target="https://gamalytic.com/publisher/Aquila%20Interactive" TargetMode="External"/><Relationship Id="rId239" Type="http://schemas.openxmlformats.org/officeDocument/2006/relationships/hyperlink" Target="https://www.linkedin.com/in/podopriguez/" TargetMode="External"/><Relationship Id="rId238" Type="http://schemas.openxmlformats.org/officeDocument/2006/relationships/hyperlink" Target="https://www.forklift.gg/" TargetMode="External"/><Relationship Id="rId237" Type="http://schemas.openxmlformats.org/officeDocument/2006/relationships/hyperlink" Target="https://gamalytic.com/publisher/META%20Publishing" TargetMode="External"/><Relationship Id="rId479" Type="http://schemas.openxmlformats.org/officeDocument/2006/relationships/hyperlink" Target="https://store.steampowered.com/publisher/AquilaInteractive" TargetMode="External"/><Relationship Id="rId236" Type="http://schemas.openxmlformats.org/officeDocument/2006/relationships/hyperlink" Target="https://store.steampowered.com/publisher/MetaPublishing" TargetMode="External"/><Relationship Id="rId478" Type="http://schemas.openxmlformats.org/officeDocument/2006/relationships/hyperlink" Target="https://www.linkedin.com/in/lampickas/" TargetMode="External"/><Relationship Id="rId231" Type="http://schemas.openxmlformats.org/officeDocument/2006/relationships/hyperlink" Target="https://store.steampowered.com/curator/35979300-United-Label" TargetMode="External"/><Relationship Id="rId473" Type="http://schemas.openxmlformats.org/officeDocument/2006/relationships/hyperlink" Target="mailto:submissions@silverliningint.com" TargetMode="External"/><Relationship Id="rId230" Type="http://schemas.openxmlformats.org/officeDocument/2006/relationships/hyperlink" Target="https://forms.monday.com/forms/347d5f193a6463eb9f0a11a38599bf57?r=euc1" TargetMode="External"/><Relationship Id="rId472" Type="http://schemas.openxmlformats.org/officeDocument/2006/relationships/hyperlink" Target="https://www.silverliningint.com/pitch-your-game" TargetMode="External"/><Relationship Id="rId471" Type="http://schemas.openxmlformats.org/officeDocument/2006/relationships/hyperlink" Target="https://www.silverliningint.com/" TargetMode="External"/><Relationship Id="rId470" Type="http://schemas.openxmlformats.org/officeDocument/2006/relationships/hyperlink" Target="https://gamalytic.com/publisher/Ancient%20Forge" TargetMode="External"/><Relationship Id="rId235" Type="http://schemas.openxmlformats.org/officeDocument/2006/relationships/hyperlink" Target="https://www.linkedin.com/in/ilyagrabelnikov/" TargetMode="External"/><Relationship Id="rId477" Type="http://schemas.openxmlformats.org/officeDocument/2006/relationships/hyperlink" Target="https://aquilainteractive.io/" TargetMode="External"/><Relationship Id="rId234" Type="http://schemas.openxmlformats.org/officeDocument/2006/relationships/hyperlink" Target="https://metapublishing.io/for-developers/" TargetMode="External"/><Relationship Id="rId476" Type="http://schemas.openxmlformats.org/officeDocument/2006/relationships/hyperlink" Target="https://gamalytic.com/publisher/Silver%20Lining%20Interactive" TargetMode="External"/><Relationship Id="rId233" Type="http://schemas.openxmlformats.org/officeDocument/2006/relationships/hyperlink" Target="https://metapublishing.io/" TargetMode="External"/><Relationship Id="rId475" Type="http://schemas.openxmlformats.org/officeDocument/2006/relationships/hyperlink" Target="https://store.steampowered.com/curator/45287187" TargetMode="External"/><Relationship Id="rId232" Type="http://schemas.openxmlformats.org/officeDocument/2006/relationships/hyperlink" Target="https://gamalytic.com/publisher/United%20Label" TargetMode="External"/><Relationship Id="rId474" Type="http://schemas.openxmlformats.org/officeDocument/2006/relationships/hyperlink" Target="https://www.linkedin.com/in/thomas-griffiths-8572b518a/" TargetMode="External"/><Relationship Id="rId426" Type="http://schemas.openxmlformats.org/officeDocument/2006/relationships/hyperlink" Target="https://maximument.com/" TargetMode="External"/><Relationship Id="rId668" Type="http://schemas.openxmlformats.org/officeDocument/2006/relationships/hyperlink" Target="https://practicalmedia.io/" TargetMode="External"/><Relationship Id="rId425" Type="http://schemas.openxmlformats.org/officeDocument/2006/relationships/hyperlink" Target="https://gamalytic.com/publisher/Exothermic" TargetMode="External"/><Relationship Id="rId667" Type="http://schemas.openxmlformats.org/officeDocument/2006/relationships/hyperlink" Target="https://gamalytic.com/publisher/GIGATANK%203000" TargetMode="External"/><Relationship Id="rId424" Type="http://schemas.openxmlformats.org/officeDocument/2006/relationships/hyperlink" Target="https://store.steampowered.com/publisher/Exothermic" TargetMode="External"/><Relationship Id="rId666" Type="http://schemas.openxmlformats.org/officeDocument/2006/relationships/hyperlink" Target="https://store.steampowered.com/publisher/GIGATANK3000" TargetMode="External"/><Relationship Id="rId423" Type="http://schemas.openxmlformats.org/officeDocument/2006/relationships/hyperlink" Target="mailto:support@exothermic.co" TargetMode="External"/><Relationship Id="rId665" Type="http://schemas.openxmlformats.org/officeDocument/2006/relationships/hyperlink" Target="https://twitter.com/GIGATANK3000" TargetMode="External"/><Relationship Id="rId429" Type="http://schemas.openxmlformats.org/officeDocument/2006/relationships/hyperlink" Target="https://store.steampowered.com/developer/maximumentertainment" TargetMode="External"/><Relationship Id="rId428" Type="http://schemas.openxmlformats.org/officeDocument/2006/relationships/hyperlink" Target="https://www.linkedin.com/in/tgenre/" TargetMode="External"/><Relationship Id="rId427" Type="http://schemas.openxmlformats.org/officeDocument/2006/relationships/hyperlink" Target="https://maximument.com/publishing/" TargetMode="External"/><Relationship Id="rId669" Type="http://schemas.openxmlformats.org/officeDocument/2006/relationships/hyperlink" Target="https://practicalmedia.com/contact" TargetMode="External"/><Relationship Id="rId660" Type="http://schemas.openxmlformats.org/officeDocument/2006/relationships/hyperlink" Target="https://twitter.com/scg_krasstv" TargetMode="External"/><Relationship Id="rId422" Type="http://schemas.openxmlformats.org/officeDocument/2006/relationships/hyperlink" Target="https://exothermic.co/" TargetMode="External"/><Relationship Id="rId664" Type="http://schemas.openxmlformats.org/officeDocument/2006/relationships/hyperlink" Target="https://gigatank3000.com/publishing/" TargetMode="External"/><Relationship Id="rId421" Type="http://schemas.openxmlformats.org/officeDocument/2006/relationships/hyperlink" Target="https://gamalytic.com/publisher/Armor%20Games%20Studios" TargetMode="External"/><Relationship Id="rId663" Type="http://schemas.openxmlformats.org/officeDocument/2006/relationships/hyperlink" Target="https://gigatank3000.com/" TargetMode="External"/><Relationship Id="rId420" Type="http://schemas.openxmlformats.org/officeDocument/2006/relationships/hyperlink" Target="https://store.steampowered.com/publisher/armorgamesstudios" TargetMode="External"/><Relationship Id="rId662" Type="http://schemas.openxmlformats.org/officeDocument/2006/relationships/hyperlink" Target="https://gamalytic.com/publisher/Static%20City%20Games" TargetMode="External"/><Relationship Id="rId661" Type="http://schemas.openxmlformats.org/officeDocument/2006/relationships/hyperlink" Target="https://store.steampowered.com/dev/staticcitygames" TargetMode="External"/><Relationship Id="rId415" Type="http://schemas.openxmlformats.org/officeDocument/2006/relationships/hyperlink" Target="https://www.linkedin.com/in/phil-pradel-581180188/" TargetMode="External"/><Relationship Id="rId657" Type="http://schemas.openxmlformats.org/officeDocument/2006/relationships/hyperlink" Target="https://store.steampowered.com/publisher/nogravitygames" TargetMode="External"/><Relationship Id="rId899" Type="http://schemas.openxmlformats.org/officeDocument/2006/relationships/hyperlink" Target="https://gamalytic.com/publisher/Null%20Games" TargetMode="External"/><Relationship Id="rId414" Type="http://schemas.openxmlformats.org/officeDocument/2006/relationships/hyperlink" Target="https://spotlight.deck13.com/contact-us/" TargetMode="External"/><Relationship Id="rId656" Type="http://schemas.openxmlformats.org/officeDocument/2006/relationships/hyperlink" Target="https://www.linkedin.com/in/aleksierzega/" TargetMode="External"/><Relationship Id="rId898" Type="http://schemas.openxmlformats.org/officeDocument/2006/relationships/hyperlink" Target="https://store.steampowered.com/publisher/null" TargetMode="External"/><Relationship Id="rId413" Type="http://schemas.openxmlformats.org/officeDocument/2006/relationships/hyperlink" Target="https://spotlight.deck13.com/" TargetMode="External"/><Relationship Id="rId655" Type="http://schemas.openxmlformats.org/officeDocument/2006/relationships/hyperlink" Target="http://www.nogravitygames.com/" TargetMode="External"/><Relationship Id="rId897" Type="http://schemas.openxmlformats.org/officeDocument/2006/relationships/hyperlink" Target="https://www.linkedin.com/in/michael-ailshie-b85b785a/" TargetMode="External"/><Relationship Id="rId412" Type="http://schemas.openxmlformats.org/officeDocument/2006/relationships/hyperlink" Target="https://gamalytic.com/publisher/Wales%20Interactive" TargetMode="External"/><Relationship Id="rId654" Type="http://schemas.openxmlformats.org/officeDocument/2006/relationships/hyperlink" Target="https://gamalytic.com/publisher/JanduSoft" TargetMode="External"/><Relationship Id="rId896" Type="http://schemas.openxmlformats.org/officeDocument/2006/relationships/hyperlink" Target="https://null.com/pitch" TargetMode="External"/><Relationship Id="rId419" Type="http://schemas.openxmlformats.org/officeDocument/2006/relationships/hyperlink" Target="https://armorgamesstudios.com/publishing" TargetMode="External"/><Relationship Id="rId418" Type="http://schemas.openxmlformats.org/officeDocument/2006/relationships/hyperlink" Target="https://armorgamesstudios.com" TargetMode="External"/><Relationship Id="rId417" Type="http://schemas.openxmlformats.org/officeDocument/2006/relationships/hyperlink" Target="https://gamalytic.com/publisher/Deck13" TargetMode="External"/><Relationship Id="rId659" Type="http://schemas.openxmlformats.org/officeDocument/2006/relationships/hyperlink" Target="https://staticcitygames.com/" TargetMode="External"/><Relationship Id="rId416" Type="http://schemas.openxmlformats.org/officeDocument/2006/relationships/hyperlink" Target="https://store.steampowered.com/publisher/DECK13" TargetMode="External"/><Relationship Id="rId658" Type="http://schemas.openxmlformats.org/officeDocument/2006/relationships/hyperlink" Target="https://gamalytic.com/publisher/No%20Gravity%20Games" TargetMode="External"/><Relationship Id="rId891" Type="http://schemas.openxmlformats.org/officeDocument/2006/relationships/hyperlink" Target="https://rogueco.com/" TargetMode="External"/><Relationship Id="rId890" Type="http://schemas.openxmlformats.org/officeDocument/2006/relationships/hyperlink" Target="https://gamalytic.com/publisher/Whisper%20Games" TargetMode="External"/><Relationship Id="rId411" Type="http://schemas.openxmlformats.org/officeDocument/2006/relationships/hyperlink" Target="https://store.steampowered.com/publisher/WalesInteractive" TargetMode="External"/><Relationship Id="rId653" Type="http://schemas.openxmlformats.org/officeDocument/2006/relationships/hyperlink" Target="https://store.steampowered.com/publisher/jandusoft" TargetMode="External"/><Relationship Id="rId895" Type="http://schemas.openxmlformats.org/officeDocument/2006/relationships/hyperlink" Target="https://null.com/" TargetMode="External"/><Relationship Id="rId410" Type="http://schemas.openxmlformats.org/officeDocument/2006/relationships/hyperlink" Target="https://www.linkedin.com/in/davidbanner/" TargetMode="External"/><Relationship Id="rId652" Type="http://schemas.openxmlformats.org/officeDocument/2006/relationships/hyperlink" Target="https://www.linkedin.com/in/jandujar2/" TargetMode="External"/><Relationship Id="rId894" Type="http://schemas.openxmlformats.org/officeDocument/2006/relationships/hyperlink" Target="https://gamalytic.com/publisher/Rogue%20Games,%20Inc." TargetMode="External"/><Relationship Id="rId651" Type="http://schemas.openxmlformats.org/officeDocument/2006/relationships/hyperlink" Target="https://www.jandusoft.com/pitchusyourgame/" TargetMode="External"/><Relationship Id="rId893" Type="http://schemas.openxmlformats.org/officeDocument/2006/relationships/hyperlink" Target="https://store.steampowered.com/publisher/roguegamesinc" TargetMode="External"/><Relationship Id="rId650" Type="http://schemas.openxmlformats.org/officeDocument/2006/relationships/hyperlink" Target="https://www.jandusoft.com/" TargetMode="External"/><Relationship Id="rId892" Type="http://schemas.openxmlformats.org/officeDocument/2006/relationships/hyperlink" Target="https://rogueco.com/contact/developer/" TargetMode="External"/><Relationship Id="rId206" Type="http://schemas.openxmlformats.org/officeDocument/2006/relationships/hyperlink" Target="https://gamalytic.com/publisher/Big%20Cheese%20Studio" TargetMode="External"/><Relationship Id="rId448" Type="http://schemas.openxmlformats.org/officeDocument/2006/relationships/hyperlink" Target="https://gamalytic.com/publisher/Isolated%20Games" TargetMode="External"/><Relationship Id="rId205" Type="http://schemas.openxmlformats.org/officeDocument/2006/relationships/hyperlink" Target="https://store.steampowered.com/developer/bigcheesestudio" TargetMode="External"/><Relationship Id="rId447" Type="http://schemas.openxmlformats.org/officeDocument/2006/relationships/hyperlink" Target="https://store.steampowered.com/developer/isolatedgames" TargetMode="External"/><Relationship Id="rId689" Type="http://schemas.openxmlformats.org/officeDocument/2006/relationships/hyperlink" Target="https://www.linkedin.com/in/eduardofmenezes/" TargetMode="External"/><Relationship Id="rId204" Type="http://schemas.openxmlformats.org/officeDocument/2006/relationships/hyperlink" Target="https://www.linkedin.com/in/mateusz-dudkowski-35b586168/" TargetMode="External"/><Relationship Id="rId446" Type="http://schemas.openxmlformats.org/officeDocument/2006/relationships/hyperlink" Target="mailto:andres.ruiz@isolatedgames.com" TargetMode="External"/><Relationship Id="rId688" Type="http://schemas.openxmlformats.org/officeDocument/2006/relationships/hyperlink" Target="https://www.alchemy.games/home" TargetMode="External"/><Relationship Id="rId203" Type="http://schemas.openxmlformats.org/officeDocument/2006/relationships/hyperlink" Target="https://bigcheesestudio.com/index.php/en/contact/" TargetMode="External"/><Relationship Id="rId445" Type="http://schemas.openxmlformats.org/officeDocument/2006/relationships/hyperlink" Target="https://www.isolatedgames.com/" TargetMode="External"/><Relationship Id="rId687" Type="http://schemas.openxmlformats.org/officeDocument/2006/relationships/hyperlink" Target="https://www.alchemy.games/" TargetMode="External"/><Relationship Id="rId209" Type="http://schemas.openxmlformats.org/officeDocument/2006/relationships/hyperlink" Target="https://store.steampowered.com/publisher/sidekick" TargetMode="External"/><Relationship Id="rId208" Type="http://schemas.openxmlformats.org/officeDocument/2006/relationships/hyperlink" Target="https://www.linkedin.com/in/melvin-frank/" TargetMode="External"/><Relationship Id="rId207" Type="http://schemas.openxmlformats.org/officeDocument/2006/relationships/hyperlink" Target="https://sidekickpublishing.com/" TargetMode="External"/><Relationship Id="rId449" Type="http://schemas.openxmlformats.org/officeDocument/2006/relationships/hyperlink" Target="https://tarkgames.com/" TargetMode="External"/><Relationship Id="rId440" Type="http://schemas.openxmlformats.org/officeDocument/2006/relationships/hyperlink" Target="https://gamalytic.com/publisher/DreadXP" TargetMode="External"/><Relationship Id="rId682" Type="http://schemas.openxmlformats.org/officeDocument/2006/relationships/hyperlink" Target="https://www.farmeargames.com/" TargetMode="External"/><Relationship Id="rId681" Type="http://schemas.openxmlformats.org/officeDocument/2006/relationships/hyperlink" Target="https://gamalytic.com/publisher/Entalto%20Publishing" TargetMode="External"/><Relationship Id="rId680" Type="http://schemas.openxmlformats.org/officeDocument/2006/relationships/hyperlink" Target="https://store.steampowered.com/publisher/EntaltoStudios/" TargetMode="External"/><Relationship Id="rId202" Type="http://schemas.openxmlformats.org/officeDocument/2006/relationships/hyperlink" Target="https://bigcheesestudio.com/index.php/en/home-eng/" TargetMode="External"/><Relationship Id="rId444" Type="http://schemas.openxmlformats.org/officeDocument/2006/relationships/hyperlink" Target="https://gamalytic.com/publisher/Headup%20Publishing" TargetMode="External"/><Relationship Id="rId686" Type="http://schemas.openxmlformats.org/officeDocument/2006/relationships/hyperlink" Target="https://www.darkproduct.com/" TargetMode="External"/><Relationship Id="rId201" Type="http://schemas.openxmlformats.org/officeDocument/2006/relationships/hyperlink" Target="https://gamalytic.com/publisher/rokaplay" TargetMode="External"/><Relationship Id="rId443" Type="http://schemas.openxmlformats.org/officeDocument/2006/relationships/hyperlink" Target="https://store.steampowered.com/publisher/Headup" TargetMode="External"/><Relationship Id="rId685" Type="http://schemas.openxmlformats.org/officeDocument/2006/relationships/hyperlink" Target="https://gamalytic.com/publisher/Farmear%20Games" TargetMode="External"/><Relationship Id="rId200" Type="http://schemas.openxmlformats.org/officeDocument/2006/relationships/hyperlink" Target="https://store.steampowered.com/publisher/rokaplay" TargetMode="External"/><Relationship Id="rId442" Type="http://schemas.openxmlformats.org/officeDocument/2006/relationships/hyperlink" Target="https://www.linkedin.com/in/julialkenny/" TargetMode="External"/><Relationship Id="rId684" Type="http://schemas.openxmlformats.org/officeDocument/2006/relationships/hyperlink" Target="https://store.steampowered.com/publisher/Farmear%20Games" TargetMode="External"/><Relationship Id="rId441" Type="http://schemas.openxmlformats.org/officeDocument/2006/relationships/hyperlink" Target="https://twitter.com/HeadupGames" TargetMode="External"/><Relationship Id="rId683" Type="http://schemas.openxmlformats.org/officeDocument/2006/relationships/hyperlink" Target="https://www.linkedin.com/in/diegofreijo/" TargetMode="External"/><Relationship Id="rId437" Type="http://schemas.openxmlformats.org/officeDocument/2006/relationships/hyperlink" Target="https://www.dreadxp.com/" TargetMode="External"/><Relationship Id="rId679" Type="http://schemas.openxmlformats.org/officeDocument/2006/relationships/hyperlink" Target="https://www.linkedin.com/in/enrique-martinez-romero/" TargetMode="External"/><Relationship Id="rId436" Type="http://schemas.openxmlformats.org/officeDocument/2006/relationships/hyperlink" Target="https://gamalytic.com/publisher/Neverland%20Entertainment" TargetMode="External"/><Relationship Id="rId678" Type="http://schemas.openxmlformats.org/officeDocument/2006/relationships/hyperlink" Target="https://www.entaltostudios.com/contact" TargetMode="External"/><Relationship Id="rId435" Type="http://schemas.openxmlformats.org/officeDocument/2006/relationships/hyperlink" Target="https://store.steampowered.com/publisher/Neverland" TargetMode="External"/><Relationship Id="rId677" Type="http://schemas.openxmlformats.org/officeDocument/2006/relationships/hyperlink" Target="https://www.entaltostudios.com/" TargetMode="External"/><Relationship Id="rId434" Type="http://schemas.openxmlformats.org/officeDocument/2006/relationships/hyperlink" Target="https://www.nlentmt.com/" TargetMode="External"/><Relationship Id="rId676" Type="http://schemas.openxmlformats.org/officeDocument/2006/relationships/hyperlink" Target="https://gamalytic.com/publisher/Perfect%20Gen" TargetMode="External"/><Relationship Id="rId439" Type="http://schemas.openxmlformats.org/officeDocument/2006/relationships/hyperlink" Target="https://store.steampowered.com/publisher/DreadXP" TargetMode="External"/><Relationship Id="rId438" Type="http://schemas.openxmlformats.org/officeDocument/2006/relationships/hyperlink" Target="https://www.linkedin.com/in/henryhoare/" TargetMode="External"/><Relationship Id="rId671" Type="http://schemas.openxmlformats.org/officeDocument/2006/relationships/hyperlink" Target="https://store.steampowered.com/publisher/practicalmedia" TargetMode="External"/><Relationship Id="rId670" Type="http://schemas.openxmlformats.org/officeDocument/2006/relationships/hyperlink" Target="https://www.linkedin.com/in/practicalnpc" TargetMode="External"/><Relationship Id="rId433" Type="http://schemas.openxmlformats.org/officeDocument/2006/relationships/hyperlink" Target="https://gamalytic.com/publisher/Blumhouse%20Games" TargetMode="External"/><Relationship Id="rId675" Type="http://schemas.openxmlformats.org/officeDocument/2006/relationships/hyperlink" Target="https://store.steampowered.com/search/?developer=Perfect%20Gen" TargetMode="External"/><Relationship Id="rId432" Type="http://schemas.openxmlformats.org/officeDocument/2006/relationships/hyperlink" Target="https://store.steampowered.com/publisher/blumhousegames" TargetMode="External"/><Relationship Id="rId674" Type="http://schemas.openxmlformats.org/officeDocument/2006/relationships/hyperlink" Target="https://docs.google.com/forms/d/e/1FAIpQLSfptLb2VsdkmVH1T1eq_kTgzs2uFUtAIp3zRo5caQzcy4CYfQ/viewform" TargetMode="External"/><Relationship Id="rId431" Type="http://schemas.openxmlformats.org/officeDocument/2006/relationships/hyperlink" Target="https://www.blumhouse.com/games" TargetMode="External"/><Relationship Id="rId673" Type="http://schemas.openxmlformats.org/officeDocument/2006/relationships/hyperlink" Target="https://www.pg-publishing.com/" TargetMode="External"/><Relationship Id="rId430" Type="http://schemas.openxmlformats.org/officeDocument/2006/relationships/hyperlink" Target="https://gamalytic.com/publisher/Maximum%20Entertainment" TargetMode="External"/><Relationship Id="rId672" Type="http://schemas.openxmlformats.org/officeDocument/2006/relationships/hyperlink" Target="https://gamalytic.com/publisher/Practical%20Media"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innersloth.com/outersloth/" TargetMode="External"/><Relationship Id="rId9" Type="http://schemas.openxmlformats.org/officeDocument/2006/relationships/hyperlink" Target="https://www.kowloonnights.com/" TargetMode="External"/><Relationship Id="rId5" Type="http://schemas.openxmlformats.org/officeDocument/2006/relationships/hyperlink" Target="https://forms.clickup.com/8594055/f/868m7-40802/WUREECGJGOKAA2Q7EX" TargetMode="External"/><Relationship Id="rId6" Type="http://schemas.openxmlformats.org/officeDocument/2006/relationships/hyperlink" Target="https://www.almostready.fund/" TargetMode="External"/><Relationship Id="rId7" Type="http://schemas.openxmlformats.org/officeDocument/2006/relationships/hyperlink" Target="https://docs.google.com/forms/d/e/1FAIpQLSe0yxoMXfXyBAkN87epn0lq8C4m43pcCgEySTO_uUBgqQiFJw/viewform" TargetMode="External"/><Relationship Id="rId8" Type="http://schemas.openxmlformats.org/officeDocument/2006/relationships/hyperlink" Target="https://www.linkedin.com/in/bengin-bayrak-43770882/" TargetMode="External"/><Relationship Id="rId40" Type="http://schemas.openxmlformats.org/officeDocument/2006/relationships/hyperlink" Target="https://thegamesangels.com/" TargetMode="External"/><Relationship Id="rId42" Type="http://schemas.openxmlformats.org/officeDocument/2006/relationships/hyperlink" Target="https://gamesfund.vc/" TargetMode="External"/><Relationship Id="rId41" Type="http://schemas.openxmlformats.org/officeDocument/2006/relationships/hyperlink" Target="https://www.linkedin.com/in/nickbuttonbrown/" TargetMode="External"/><Relationship Id="rId44" Type="http://schemas.openxmlformats.org/officeDocument/2006/relationships/hyperlink" Target="https://1upfund.com/" TargetMode="External"/><Relationship Id="rId43" Type="http://schemas.openxmlformats.org/officeDocument/2006/relationships/hyperlink" Target="https://www.linkedin.com/in/podopriguez/" TargetMode="External"/><Relationship Id="rId46" Type="http://schemas.openxmlformats.org/officeDocument/2006/relationships/hyperlink" Target="https://behold.vc/" TargetMode="External"/><Relationship Id="rId45" Type="http://schemas.openxmlformats.org/officeDocument/2006/relationships/hyperlink" Target="https://1upfund.com/contact-us/" TargetMode="External"/><Relationship Id="rId48" Type="http://schemas.openxmlformats.org/officeDocument/2006/relationships/hyperlink" Target="https://www.linkedin.com/in/walfisz/" TargetMode="External"/><Relationship Id="rId47" Type="http://schemas.openxmlformats.org/officeDocument/2006/relationships/hyperlink" Target="https://behold.vc/pitchus" TargetMode="External"/><Relationship Id="rId49" Type="http://schemas.openxmlformats.org/officeDocument/2006/relationships/hyperlink" Target="https://www.amplifiergameinvest.com/" TargetMode="External"/><Relationship Id="rId31" Type="http://schemas.openxmlformats.org/officeDocument/2006/relationships/hyperlink" Target="https://weirdghosts.ca/" TargetMode="External"/><Relationship Id="rId30" Type="http://schemas.openxmlformats.org/officeDocument/2006/relationships/hyperlink" Target="https://midgame.fund/investors" TargetMode="External"/><Relationship Id="rId33" Type="http://schemas.openxmlformats.org/officeDocument/2006/relationships/hyperlink" Target="mailto:hello@weirdghosts.ca" TargetMode="External"/><Relationship Id="rId32" Type="http://schemas.openxmlformats.org/officeDocument/2006/relationships/hyperlink" Target="https://weirdghosts.ca/apply" TargetMode="External"/><Relationship Id="rId35" Type="http://schemas.openxmlformats.org/officeDocument/2006/relationships/hyperlink" Target="mailto:scouting@agoragamingpartners.com" TargetMode="External"/><Relationship Id="rId34" Type="http://schemas.openxmlformats.org/officeDocument/2006/relationships/hyperlink" Target="https://www.linkedin.com/company/ichiba-project-financing/" TargetMode="External"/><Relationship Id="rId37" Type="http://schemas.openxmlformats.org/officeDocument/2006/relationships/hyperlink" Target="https://blueoceangames.com/challenge/winners" TargetMode="External"/><Relationship Id="rId36" Type="http://schemas.openxmlformats.org/officeDocument/2006/relationships/hyperlink" Target="https://www.linkedin.com/in/pontusmahler/" TargetMode="External"/><Relationship Id="rId39" Type="http://schemas.openxmlformats.org/officeDocument/2006/relationships/hyperlink" Target="https://thegamesangels.com/" TargetMode="External"/><Relationship Id="rId38" Type="http://schemas.openxmlformats.org/officeDocument/2006/relationships/hyperlink" Target="https://www.linkedin.com/in/richardyangli/" TargetMode="External"/><Relationship Id="rId20" Type="http://schemas.openxmlformats.org/officeDocument/2006/relationships/hyperlink" Target="https://www.joystickventures.com/" TargetMode="External"/><Relationship Id="rId22" Type="http://schemas.openxmlformats.org/officeDocument/2006/relationships/hyperlink" Target="https://www.linkedin.com/in/krriyo/" TargetMode="External"/><Relationship Id="rId21" Type="http://schemas.openxmlformats.org/officeDocument/2006/relationships/hyperlink" Target="https://www.joystickventures.com/contact-us" TargetMode="External"/><Relationship Id="rId24" Type="http://schemas.openxmlformats.org/officeDocument/2006/relationships/hyperlink" Target="https://wingsfund.me/apply/" TargetMode="External"/><Relationship Id="rId23" Type="http://schemas.openxmlformats.org/officeDocument/2006/relationships/hyperlink" Target="https://wingsfund.me/" TargetMode="External"/><Relationship Id="rId26" Type="http://schemas.openxmlformats.org/officeDocument/2006/relationships/hyperlink" Target="https://gamedevfund.vc/" TargetMode="External"/><Relationship Id="rId25" Type="http://schemas.openxmlformats.org/officeDocument/2006/relationships/hyperlink" Target="https://gamedevfund.vc/" TargetMode="External"/><Relationship Id="rId28" Type="http://schemas.openxmlformats.org/officeDocument/2006/relationships/hyperlink" Target="https://indie-fund.com/" TargetMode="External"/><Relationship Id="rId27" Type="http://schemas.openxmlformats.org/officeDocument/2006/relationships/hyperlink" Target="https://www.linkedin.com/in/vytautasdobilas/" TargetMode="External"/><Relationship Id="rId29" Type="http://schemas.openxmlformats.org/officeDocument/2006/relationships/hyperlink" Target="https://indie-fund.com/apply" TargetMode="External"/><Relationship Id="rId11" Type="http://schemas.openxmlformats.org/officeDocument/2006/relationships/hyperlink" Target="https://www.linkedin.com/in/claudiasng/" TargetMode="External"/><Relationship Id="rId10" Type="http://schemas.openxmlformats.org/officeDocument/2006/relationships/hyperlink" Target="https://www.kowloonnights.com/contact-us" TargetMode="External"/><Relationship Id="rId13" Type="http://schemas.openxmlformats.org/officeDocument/2006/relationships/hyperlink" Target="https://www.linkedin.com/in/kirsten-lee-naidoo-245787120/" TargetMode="External"/><Relationship Id="rId12" Type="http://schemas.openxmlformats.org/officeDocument/2006/relationships/hyperlink" Target="https://landfall.se/supported" TargetMode="External"/><Relationship Id="rId15" Type="http://schemas.openxmlformats.org/officeDocument/2006/relationships/hyperlink" Target="https://www.game-seer.com/pitch-us/" TargetMode="External"/><Relationship Id="rId14" Type="http://schemas.openxmlformats.org/officeDocument/2006/relationships/hyperlink" Target="https://www.game-seer.com/" TargetMode="External"/><Relationship Id="rId17" Type="http://schemas.openxmlformats.org/officeDocument/2006/relationships/hyperlink" Target="https://brightgambit.com/" TargetMode="External"/><Relationship Id="rId16" Type="http://schemas.openxmlformats.org/officeDocument/2006/relationships/hyperlink" Target="https://www.linkedin.com/in/bertrand-vernizeau-2795144a/" TargetMode="External"/><Relationship Id="rId19" Type="http://schemas.openxmlformats.org/officeDocument/2006/relationships/hyperlink" Target="https://www.linkedin.com/in/timbrowne/" TargetMode="External"/><Relationship Id="rId18" Type="http://schemas.openxmlformats.org/officeDocument/2006/relationships/hyperlink" Target="https://brightgambit.com/contact/" TargetMode="External"/><Relationship Id="rId84" Type="http://schemas.openxmlformats.org/officeDocument/2006/relationships/hyperlink" Target="https://velanventures.com/" TargetMode="External"/><Relationship Id="rId83" Type="http://schemas.openxmlformats.org/officeDocument/2006/relationships/hyperlink" Target="https://www.linkedin.com/in/mariovalle/" TargetMode="External"/><Relationship Id="rId86" Type="http://schemas.openxmlformats.org/officeDocument/2006/relationships/vmlDrawing" Target="../drawings/vmlDrawing4.vml"/><Relationship Id="rId85" Type="http://schemas.openxmlformats.org/officeDocument/2006/relationships/drawing" Target="../drawings/drawing5.xml"/><Relationship Id="rId80" Type="http://schemas.openxmlformats.org/officeDocument/2006/relationships/hyperlink" Target="https://www.doublejumpcapital.com/apply" TargetMode="External"/><Relationship Id="rId82" Type="http://schemas.openxmlformats.org/officeDocument/2006/relationships/hyperlink" Target="https://www.venturecapital.game/" TargetMode="External"/><Relationship Id="rId81" Type="http://schemas.openxmlformats.org/officeDocument/2006/relationships/hyperlink" Target="https://www.linkedin.com/in/brettmbrown/" TargetMode="External"/><Relationship Id="rId73" Type="http://schemas.openxmlformats.org/officeDocument/2006/relationships/hyperlink" Target="https://www.linkedin.com/in/szymon-westfal-3a3a7020a/" TargetMode="External"/><Relationship Id="rId72" Type="http://schemas.openxmlformats.org/officeDocument/2006/relationships/hyperlink" Target="https://share.hsforms.com/13ZIZ801iRd-Osqo-uUmL5g5liw1" TargetMode="External"/><Relationship Id="rId75" Type="http://schemas.openxmlformats.org/officeDocument/2006/relationships/hyperlink" Target="https://foton.games/pitch-us" TargetMode="External"/><Relationship Id="rId74" Type="http://schemas.openxmlformats.org/officeDocument/2006/relationships/hyperlink" Target="https://foton.games/" TargetMode="External"/><Relationship Id="rId77" Type="http://schemas.openxmlformats.org/officeDocument/2006/relationships/hyperlink" Target="http://treasurehuntersfanclub.com" TargetMode="External"/><Relationship Id="rId76" Type="http://schemas.openxmlformats.org/officeDocument/2006/relationships/hyperlink" Target="https://www.linkedin.com/in/itapino/" TargetMode="External"/><Relationship Id="rId79" Type="http://schemas.openxmlformats.org/officeDocument/2006/relationships/hyperlink" Target="https://www.doublejumpcapital.com/" TargetMode="External"/><Relationship Id="rId78" Type="http://schemas.openxmlformats.org/officeDocument/2006/relationships/hyperlink" Target="https://www.linkedin.com/in/spencer-hayes-50971770/" TargetMode="External"/><Relationship Id="rId71" Type="http://schemas.openxmlformats.org/officeDocument/2006/relationships/hyperlink" Target="https://mill-games.com/en/" TargetMode="External"/><Relationship Id="rId70" Type="http://schemas.openxmlformats.org/officeDocument/2006/relationships/hyperlink" Target="https://www.linkedin.com/in/peykemans/" TargetMode="External"/><Relationship Id="rId62" Type="http://schemas.openxmlformats.org/officeDocument/2006/relationships/hyperlink" Target="https://www.nz-code.nz/" TargetMode="External"/><Relationship Id="rId61" Type="http://schemas.openxmlformats.org/officeDocument/2006/relationships/hyperlink" Target="https://cmf-fmc.ca/" TargetMode="External"/><Relationship Id="rId64" Type="http://schemas.openxmlformats.org/officeDocument/2006/relationships/hyperlink" Target="https://www.globaltopround.com/" TargetMode="External"/><Relationship Id="rId63" Type="http://schemas.openxmlformats.org/officeDocument/2006/relationships/hyperlink" Target="https://www.globaltopround.com/" TargetMode="External"/><Relationship Id="rId66" Type="http://schemas.openxmlformats.org/officeDocument/2006/relationships/hyperlink" Target="https://www.nocturne.games" TargetMode="External"/><Relationship Id="rId65" Type="http://schemas.openxmlformats.org/officeDocument/2006/relationships/hyperlink" Target="https://www.linkedin.com/in/maxk%C3%BCbler/" TargetMode="External"/><Relationship Id="rId68" Type="http://schemas.openxmlformats.org/officeDocument/2006/relationships/hyperlink" Target="https://www.astragames.org/" TargetMode="External"/><Relationship Id="rId67" Type="http://schemas.openxmlformats.org/officeDocument/2006/relationships/hyperlink" Target="https://www.nocturne.games/apply" TargetMode="External"/><Relationship Id="rId60" Type="http://schemas.openxmlformats.org/officeDocument/2006/relationships/hyperlink" Target="https://www.linkedin.com/in/wangjintao/" TargetMode="External"/><Relationship Id="rId69" Type="http://schemas.openxmlformats.org/officeDocument/2006/relationships/hyperlink" Target="https://airtable.com/shrbKz2axXKgb4pHd" TargetMode="External"/><Relationship Id="rId51" Type="http://schemas.openxmlformats.org/officeDocument/2006/relationships/hyperlink" Target="https://www.linkedin.com/in/timglaus/" TargetMode="External"/><Relationship Id="rId50" Type="http://schemas.openxmlformats.org/officeDocument/2006/relationships/hyperlink" Target="https://www.amplifiergameinvest.com/pitch-us/" TargetMode="External"/><Relationship Id="rId53" Type="http://schemas.openxmlformats.org/officeDocument/2006/relationships/hyperlink" Target="https://docs.google.com/forms/d/1op6sFyTJ0x5uK2w4YHiWXH2UrG6iAj3aKl5RVCDxcWY/viewform?edit_requested=true" TargetMode="External"/><Relationship Id="rId52" Type="http://schemas.openxmlformats.org/officeDocument/2006/relationships/hyperlink" Target="https://heyglitch.com/moonrise" TargetMode="External"/><Relationship Id="rId55" Type="http://schemas.openxmlformats.org/officeDocument/2006/relationships/hyperlink" Target="https://mgvc.com/application" TargetMode="External"/><Relationship Id="rId54" Type="http://schemas.openxmlformats.org/officeDocument/2006/relationships/hyperlink" Target="https://mgvc.com/" TargetMode="External"/><Relationship Id="rId57" Type="http://schemas.openxmlformats.org/officeDocument/2006/relationships/hyperlink" Target="https://noteforms.com/forms/narwhal-accelertor-applying-form-fzutca" TargetMode="External"/><Relationship Id="rId56" Type="http://schemas.openxmlformats.org/officeDocument/2006/relationships/hyperlink" Target="https://narwhal.ax/" TargetMode="External"/><Relationship Id="rId59" Type="http://schemas.openxmlformats.org/officeDocument/2006/relationships/hyperlink" Target="https://www.coreblazer.com/en-US" TargetMode="External"/><Relationship Id="rId58" Type="http://schemas.openxmlformats.org/officeDocument/2006/relationships/hyperlink" Target="https://www.elbowgreasegames.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riffingp.com/" TargetMode="External"/><Relationship Id="rId2" Type="http://schemas.openxmlformats.org/officeDocument/2006/relationships/hyperlink" Target="https://www.innersloth.com/outersloth/" TargetMode="External"/><Relationship Id="rId3" Type="http://schemas.openxmlformats.org/officeDocument/2006/relationships/hyperlink" Target="https://forms.clickup.com/8594055/f/868m7-40802/WUREECGJGOKAA2Q7EX" TargetMode="External"/><Relationship Id="rId4" Type="http://schemas.openxmlformats.org/officeDocument/2006/relationships/hyperlink" Target="https://www.almostready.fund/" TargetMode="External"/><Relationship Id="rId9" Type="http://schemas.openxmlformats.org/officeDocument/2006/relationships/hyperlink" Target="https://www.linkedin.com/in/claudiasng/" TargetMode="External"/><Relationship Id="rId5" Type="http://schemas.openxmlformats.org/officeDocument/2006/relationships/hyperlink" Target="https://docs.google.com/forms/d/e/1FAIpQLSe0yxoMXfXyBAkN87epn0lq8C4m43pcCgEySTO_uUBgqQiFJw/viewform" TargetMode="External"/><Relationship Id="rId6" Type="http://schemas.openxmlformats.org/officeDocument/2006/relationships/hyperlink" Target="https://www.linkedin.com/in/bengin-bayrak-43770882/" TargetMode="External"/><Relationship Id="rId7" Type="http://schemas.openxmlformats.org/officeDocument/2006/relationships/hyperlink" Target="https://www.kowloonnights.com/" TargetMode="External"/><Relationship Id="rId8" Type="http://schemas.openxmlformats.org/officeDocument/2006/relationships/hyperlink" Target="https://www.kowloonnights.com/contact-us" TargetMode="External"/><Relationship Id="rId40" Type="http://schemas.openxmlformats.org/officeDocument/2006/relationships/hyperlink" Target="https://thegamesangels.com/" TargetMode="External"/><Relationship Id="rId42" Type="http://schemas.openxmlformats.org/officeDocument/2006/relationships/hyperlink" Target="https://gamesfund.vc/" TargetMode="External"/><Relationship Id="rId41" Type="http://schemas.openxmlformats.org/officeDocument/2006/relationships/hyperlink" Target="https://www.linkedin.com/in/nickbuttonbrown/" TargetMode="External"/><Relationship Id="rId44" Type="http://schemas.openxmlformats.org/officeDocument/2006/relationships/hyperlink" Target="https://1upfund.com/contact-us/" TargetMode="External"/><Relationship Id="rId43" Type="http://schemas.openxmlformats.org/officeDocument/2006/relationships/hyperlink" Target="https://1upfund.com/" TargetMode="External"/><Relationship Id="rId46" Type="http://schemas.openxmlformats.org/officeDocument/2006/relationships/hyperlink" Target="https://behold.vc/pitchus" TargetMode="External"/><Relationship Id="rId45" Type="http://schemas.openxmlformats.org/officeDocument/2006/relationships/hyperlink" Target="https://behold.vc/" TargetMode="External"/><Relationship Id="rId48" Type="http://schemas.openxmlformats.org/officeDocument/2006/relationships/hyperlink" Target="https://www.amplifiergameinvest.com/" TargetMode="External"/><Relationship Id="rId47" Type="http://schemas.openxmlformats.org/officeDocument/2006/relationships/hyperlink" Target="https://www.linkedin.com/in/walfisz/" TargetMode="External"/><Relationship Id="rId49" Type="http://schemas.openxmlformats.org/officeDocument/2006/relationships/hyperlink" Target="https://www.amplifiergameinvest.com/pitch-us/" TargetMode="External"/><Relationship Id="rId31" Type="http://schemas.openxmlformats.org/officeDocument/2006/relationships/hyperlink" Target="mailto:scouting@agoragamingpartners.com" TargetMode="External"/><Relationship Id="rId30" Type="http://schemas.openxmlformats.org/officeDocument/2006/relationships/hyperlink" Target="https://www.linkedin.com/company/ichiba-project-financing/" TargetMode="External"/><Relationship Id="rId33" Type="http://schemas.openxmlformats.org/officeDocument/2006/relationships/hyperlink" Target="https://grants.draknek.org/" TargetMode="External"/><Relationship Id="rId32" Type="http://schemas.openxmlformats.org/officeDocument/2006/relationships/hyperlink" Target="https://www.linkedin.com/in/pontusmahler/" TargetMode="External"/><Relationship Id="rId35" Type="http://schemas.openxmlformats.org/officeDocument/2006/relationships/hyperlink" Target="https://www.nightsight.games/" TargetMode="External"/><Relationship Id="rId34" Type="http://schemas.openxmlformats.org/officeDocument/2006/relationships/hyperlink" Target="https://docs.google.com/forms/d/e/1FAIpQLSduUZpwiB6dIjBoSqBBrDkdNIgXo52lFI475SC1BYsPgOf9sA/viewform" TargetMode="External"/><Relationship Id="rId37" Type="http://schemas.openxmlformats.org/officeDocument/2006/relationships/hyperlink" Target="https://www.linkedin.com/in/michael-anderson-381a3952/" TargetMode="External"/><Relationship Id="rId36" Type="http://schemas.openxmlformats.org/officeDocument/2006/relationships/hyperlink" Target="https://www.nightsight.games/submit-your-game" TargetMode="External"/><Relationship Id="rId39" Type="http://schemas.openxmlformats.org/officeDocument/2006/relationships/hyperlink" Target="https://www.linkedin.com/in/richardyangli/" TargetMode="External"/><Relationship Id="rId38" Type="http://schemas.openxmlformats.org/officeDocument/2006/relationships/hyperlink" Target="https://blueoceangames.com/challenge/winners" TargetMode="External"/><Relationship Id="rId20" Type="http://schemas.openxmlformats.org/officeDocument/2006/relationships/hyperlink" Target="https://wingsfund.me/" TargetMode="External"/><Relationship Id="rId22" Type="http://schemas.openxmlformats.org/officeDocument/2006/relationships/hyperlink" Target="https://gamedevfund.vc/" TargetMode="External"/><Relationship Id="rId21" Type="http://schemas.openxmlformats.org/officeDocument/2006/relationships/hyperlink" Target="https://wingsfund.me/apply/" TargetMode="External"/><Relationship Id="rId24" Type="http://schemas.openxmlformats.org/officeDocument/2006/relationships/hyperlink" Target="https://www.linkedin.com/in/vytautasdobilas/" TargetMode="External"/><Relationship Id="rId23" Type="http://schemas.openxmlformats.org/officeDocument/2006/relationships/hyperlink" Target="https://gamedevfund.vc/" TargetMode="External"/><Relationship Id="rId26" Type="http://schemas.openxmlformats.org/officeDocument/2006/relationships/hyperlink" Target="https://indie-fund.com/apply" TargetMode="External"/><Relationship Id="rId25" Type="http://schemas.openxmlformats.org/officeDocument/2006/relationships/hyperlink" Target="https://indie-fund.com/" TargetMode="External"/><Relationship Id="rId28" Type="http://schemas.openxmlformats.org/officeDocument/2006/relationships/hyperlink" Target="https://weirdghosts.ca/" TargetMode="External"/><Relationship Id="rId27" Type="http://schemas.openxmlformats.org/officeDocument/2006/relationships/hyperlink" Target="https://midgame.fund/investors" TargetMode="External"/><Relationship Id="rId29" Type="http://schemas.openxmlformats.org/officeDocument/2006/relationships/hyperlink" Target="https://weirdghosts.ca/apply" TargetMode="External"/><Relationship Id="rId11" Type="http://schemas.openxmlformats.org/officeDocument/2006/relationships/hyperlink" Target="https://www.linkedin.com/in/kirsten-lee-naidoo-245787120/" TargetMode="External"/><Relationship Id="rId10" Type="http://schemas.openxmlformats.org/officeDocument/2006/relationships/hyperlink" Target="https://landfall.se/supported" TargetMode="External"/><Relationship Id="rId13" Type="http://schemas.openxmlformats.org/officeDocument/2006/relationships/hyperlink" Target="https://www.game-seer.com/pitch-us/" TargetMode="External"/><Relationship Id="rId12" Type="http://schemas.openxmlformats.org/officeDocument/2006/relationships/hyperlink" Target="https://www.game-seer.com/" TargetMode="External"/><Relationship Id="rId15" Type="http://schemas.openxmlformats.org/officeDocument/2006/relationships/hyperlink" Target="https://brightgambit.com/contact/" TargetMode="External"/><Relationship Id="rId14" Type="http://schemas.openxmlformats.org/officeDocument/2006/relationships/hyperlink" Target="https://www.linkedin.com/in/bertrand-vernizeau-2795144a/" TargetMode="External"/><Relationship Id="rId17" Type="http://schemas.openxmlformats.org/officeDocument/2006/relationships/hyperlink" Target="https://www.joystickventures.com/" TargetMode="External"/><Relationship Id="rId16" Type="http://schemas.openxmlformats.org/officeDocument/2006/relationships/hyperlink" Target="https://www.linkedin.com/in/timbrowne/" TargetMode="External"/><Relationship Id="rId19" Type="http://schemas.openxmlformats.org/officeDocument/2006/relationships/hyperlink" Target="https://www.linkedin.com/in/krriyo/" TargetMode="External"/><Relationship Id="rId18" Type="http://schemas.openxmlformats.org/officeDocument/2006/relationships/hyperlink" Target="https://www.joystickventures.com/contact-us" TargetMode="External"/><Relationship Id="rId84" Type="http://schemas.openxmlformats.org/officeDocument/2006/relationships/hyperlink" Target="https://www.linkedin.com/in/brettmbrown/" TargetMode="External"/><Relationship Id="rId83" Type="http://schemas.openxmlformats.org/officeDocument/2006/relationships/hyperlink" Target="https://www.doublejumpcapital.com/apply" TargetMode="External"/><Relationship Id="rId86" Type="http://schemas.openxmlformats.org/officeDocument/2006/relationships/hyperlink" Target="https://www.linkedin.com/in/mariovalle/" TargetMode="External"/><Relationship Id="rId85" Type="http://schemas.openxmlformats.org/officeDocument/2006/relationships/hyperlink" Target="https://www.venturecapital.game/" TargetMode="External"/><Relationship Id="rId88" Type="http://schemas.openxmlformats.org/officeDocument/2006/relationships/hyperlink" Target="https://mastodon.gamedev.place/@mangotronics/113674734435808102" TargetMode="External"/><Relationship Id="rId87" Type="http://schemas.openxmlformats.org/officeDocument/2006/relationships/hyperlink" Target="https://velanventures.com/" TargetMode="External"/><Relationship Id="rId89" Type="http://schemas.openxmlformats.org/officeDocument/2006/relationships/hyperlink" Target="https://docs.google.com/forms/d/e/1FAIpQLSeS4s-5gHABEgggaHeyYJPa8j-c2jsj0iT8IMZgdPCegkVsQQ/closedform" TargetMode="External"/><Relationship Id="rId80" Type="http://schemas.openxmlformats.org/officeDocument/2006/relationships/hyperlink" Target="http://treasurehuntersfanclub.com" TargetMode="External"/><Relationship Id="rId82" Type="http://schemas.openxmlformats.org/officeDocument/2006/relationships/hyperlink" Target="https://www.doublejumpcapital.com/" TargetMode="External"/><Relationship Id="rId81" Type="http://schemas.openxmlformats.org/officeDocument/2006/relationships/hyperlink" Target="https://www.linkedin.com/in/spencer-hayes-50971770/" TargetMode="External"/><Relationship Id="rId73" Type="http://schemas.openxmlformats.org/officeDocument/2006/relationships/hyperlink" Target="https://www.linkedin.com/in/peykemans/" TargetMode="External"/><Relationship Id="rId72" Type="http://schemas.openxmlformats.org/officeDocument/2006/relationships/hyperlink" Target="https://airtable.com/shrbKz2axXKgb4pHd" TargetMode="External"/><Relationship Id="rId75" Type="http://schemas.openxmlformats.org/officeDocument/2006/relationships/hyperlink" Target="https://share.hsforms.com/13ZIZ801iRd-Osqo-uUmL5g5liw1" TargetMode="External"/><Relationship Id="rId74" Type="http://schemas.openxmlformats.org/officeDocument/2006/relationships/hyperlink" Target="https://mill-games.com/en/" TargetMode="External"/><Relationship Id="rId77" Type="http://schemas.openxmlformats.org/officeDocument/2006/relationships/hyperlink" Target="https://foton.games/" TargetMode="External"/><Relationship Id="rId76" Type="http://schemas.openxmlformats.org/officeDocument/2006/relationships/hyperlink" Target="https://www.linkedin.com/in/szymon-westfal-3a3a7020a/" TargetMode="External"/><Relationship Id="rId79" Type="http://schemas.openxmlformats.org/officeDocument/2006/relationships/hyperlink" Target="https://www.linkedin.com/in/itapino/" TargetMode="External"/><Relationship Id="rId78" Type="http://schemas.openxmlformats.org/officeDocument/2006/relationships/hyperlink" Target="https://foton.games/pitch-us" TargetMode="External"/><Relationship Id="rId71" Type="http://schemas.openxmlformats.org/officeDocument/2006/relationships/hyperlink" Target="https://www.astragames.org/" TargetMode="External"/><Relationship Id="rId70" Type="http://schemas.openxmlformats.org/officeDocument/2006/relationships/hyperlink" Target="https://www.nocturne.games/apply" TargetMode="External"/><Relationship Id="rId62" Type="http://schemas.openxmlformats.org/officeDocument/2006/relationships/hyperlink" Target="https://cmf-fmc.ca/" TargetMode="External"/><Relationship Id="rId61" Type="http://schemas.openxmlformats.org/officeDocument/2006/relationships/hyperlink" Target="https://www.linkedin.com/in/hendriklesser/" TargetMode="External"/><Relationship Id="rId64" Type="http://schemas.openxmlformats.org/officeDocument/2006/relationships/hyperlink" Target="https://www.screenaustralia.gov.au/fund/emerging-gamemakers-fund-2/" TargetMode="External"/><Relationship Id="rId63" Type="http://schemas.openxmlformats.org/officeDocument/2006/relationships/hyperlink" Target="https://www.nz-code.nz/" TargetMode="External"/><Relationship Id="rId66" Type="http://schemas.openxmlformats.org/officeDocument/2006/relationships/hyperlink" Target="https://www.globaltopround.com/" TargetMode="External"/><Relationship Id="rId65" Type="http://schemas.openxmlformats.org/officeDocument/2006/relationships/hyperlink" Target="https://screenaustraliafunding.smartygrants.com.au/Yj0uqW7tKD" TargetMode="External"/><Relationship Id="rId68" Type="http://schemas.openxmlformats.org/officeDocument/2006/relationships/hyperlink" Target="https://www.linkedin.com/in/maxk%C3%BCbler/" TargetMode="External"/><Relationship Id="rId67" Type="http://schemas.openxmlformats.org/officeDocument/2006/relationships/hyperlink" Target="https://www.globaltopround.com/" TargetMode="External"/><Relationship Id="rId60" Type="http://schemas.openxmlformats.org/officeDocument/2006/relationships/hyperlink" Target="https://rcp.family/join/" TargetMode="External"/><Relationship Id="rId69" Type="http://schemas.openxmlformats.org/officeDocument/2006/relationships/hyperlink" Target="https://www.nocturne.games" TargetMode="External"/><Relationship Id="rId51" Type="http://schemas.openxmlformats.org/officeDocument/2006/relationships/hyperlink" Target="https://heyglitch.com/moonrise" TargetMode="External"/><Relationship Id="rId50" Type="http://schemas.openxmlformats.org/officeDocument/2006/relationships/hyperlink" Target="https://www.linkedin.com/in/timglaus/" TargetMode="External"/><Relationship Id="rId53" Type="http://schemas.openxmlformats.org/officeDocument/2006/relationships/hyperlink" Target="https://mgvc.com/" TargetMode="External"/><Relationship Id="rId52" Type="http://schemas.openxmlformats.org/officeDocument/2006/relationships/hyperlink" Target="https://docs.google.com/forms/d/1op6sFyTJ0x5uK2w4YHiWXH2UrG6iAj3aKl5RVCDxcWY/viewform?edit_requested=true" TargetMode="External"/><Relationship Id="rId55" Type="http://schemas.openxmlformats.org/officeDocument/2006/relationships/hyperlink" Target="https://narwhal.ax/" TargetMode="External"/><Relationship Id="rId54" Type="http://schemas.openxmlformats.org/officeDocument/2006/relationships/hyperlink" Target="https://mgvc.com/application" TargetMode="External"/><Relationship Id="rId57" Type="http://schemas.openxmlformats.org/officeDocument/2006/relationships/hyperlink" Target="https://www.elbowgreasegames.com/" TargetMode="External"/><Relationship Id="rId56" Type="http://schemas.openxmlformats.org/officeDocument/2006/relationships/hyperlink" Target="https://noteforms.com/forms/narwhal-accelertor-applying-form-fzutca" TargetMode="External"/><Relationship Id="rId59" Type="http://schemas.openxmlformats.org/officeDocument/2006/relationships/hyperlink" Target="https://www.linkedin.com/in/wangjintao/" TargetMode="External"/><Relationship Id="rId58" Type="http://schemas.openxmlformats.org/officeDocument/2006/relationships/hyperlink" Target="https://www.coreblazer.com/en-US" TargetMode="External"/><Relationship Id="rId9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howtomarketagame.com/festivals" TargetMode="External"/><Relationship Id="rId2" Type="http://schemas.openxmlformats.org/officeDocument/2006/relationships/hyperlink" Target="https://docs.google.com/spreadsheets/d/1SU2Pjx2nyanOqrgvNHnFoYAtwlOTAIbO0GamRO_MBk4/edit?usp=sharing" TargetMode="External"/><Relationship Id="rId3" Type="http://schemas.openxmlformats.org/officeDocument/2006/relationships/hyperlink" Target="https://www.progamemarketing.com/l/dashboard" TargetMode="External"/><Relationship Id="rId4" Type="http://schemas.openxmlformats.org/officeDocument/2006/relationships/hyperlink" Target="https://into-games.notion.site/7ad9ee991f974b9eb3f33a648868822f" TargetMode="External"/><Relationship Id="rId9" Type="http://schemas.openxmlformats.org/officeDocument/2006/relationships/hyperlink" Target="https://impress.games/press-kitty" TargetMode="External"/><Relationship Id="rId5" Type="http://schemas.openxmlformats.org/officeDocument/2006/relationships/hyperlink" Target="https://immutable-events-wishlists.netlify.app/" TargetMode="External"/><Relationship Id="rId6" Type="http://schemas.openxmlformats.org/officeDocument/2006/relationships/hyperlink" Target="https://blueoceangames.com/review-analysis" TargetMode="External"/><Relationship Id="rId7" Type="http://schemas.openxmlformats.org/officeDocument/2006/relationships/hyperlink" Target="https://gamalytic.com" TargetMode="External"/><Relationship Id="rId8" Type="http://schemas.openxmlformats.org/officeDocument/2006/relationships/hyperlink" Target="https://www.steamassetcreator.com/" TargetMode="External"/><Relationship Id="rId11" Type="http://schemas.openxmlformats.org/officeDocument/2006/relationships/hyperlink" Target="https://www.youtube.com/@JonasTyroller" TargetMode="External"/><Relationship Id="rId10" Type="http://schemas.openxmlformats.org/officeDocument/2006/relationships/hyperlink" Target="https://open.spotify.com/show/5p1x8yXzt2gleBaw4Ic6Ak?si=81d5279ca4244d42" TargetMode="External"/><Relationship Id="rId13" Type="http://schemas.openxmlformats.org/officeDocument/2006/relationships/drawing" Target="../drawings/drawing7.xml"/><Relationship Id="rId12" Type="http://schemas.openxmlformats.org/officeDocument/2006/relationships/hyperlink" Target="https://www.youtube.com/@ScientiaLud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70.13"/>
    <col customWidth="1" min="3" max="3" width="21.38"/>
  </cols>
  <sheetData>
    <row r="1" ht="25.5" customHeight="1">
      <c r="A1" s="2" t="s">
        <v>1</v>
      </c>
    </row>
    <row r="2">
      <c r="A2" s="4" t="s">
        <v>2</v>
      </c>
    </row>
    <row r="3" ht="6.0" customHeight="1">
      <c r="A3" s="5"/>
      <c r="B3" s="5"/>
      <c r="C3" s="5"/>
    </row>
    <row r="4" ht="17.25" customHeight="1">
      <c r="A4" s="7" t="s">
        <v>4</v>
      </c>
    </row>
    <row r="5">
      <c r="A5" s="9" t="s">
        <v>6</v>
      </c>
    </row>
    <row r="6">
      <c r="A6" s="9" t="s">
        <v>9</v>
      </c>
    </row>
    <row r="7" ht="6.0" customHeight="1">
      <c r="A7" s="5"/>
      <c r="B7" s="5"/>
      <c r="C7" s="5"/>
    </row>
    <row r="8" ht="17.25" customHeight="1">
      <c r="A8" s="7" t="s">
        <v>13</v>
      </c>
    </row>
    <row r="9">
      <c r="A9" s="11" t="s">
        <v>15</v>
      </c>
      <c r="B9" s="11" t="s">
        <v>18</v>
      </c>
      <c r="C9" s="11" t="s">
        <v>20</v>
      </c>
    </row>
    <row r="10">
      <c r="A10" s="20" t="s">
        <v>25</v>
      </c>
      <c r="B10" s="23" t="s">
        <v>34</v>
      </c>
      <c r="C10" s="23" t="s">
        <v>35</v>
      </c>
    </row>
    <row r="11">
      <c r="A11" s="20" t="s">
        <v>36</v>
      </c>
      <c r="B11" s="23" t="s">
        <v>37</v>
      </c>
      <c r="C11" s="23" t="s">
        <v>38</v>
      </c>
    </row>
    <row r="12">
      <c r="A12" s="20" t="s">
        <v>40</v>
      </c>
      <c r="B12" s="23" t="s">
        <v>42</v>
      </c>
      <c r="C12" s="23" t="s">
        <v>43</v>
      </c>
    </row>
    <row r="13">
      <c r="A13" s="20" t="s">
        <v>45</v>
      </c>
      <c r="B13" s="23" t="s">
        <v>47</v>
      </c>
      <c r="C13" s="23" t="s">
        <v>38</v>
      </c>
    </row>
    <row r="14">
      <c r="A14" s="20" t="s">
        <v>48</v>
      </c>
      <c r="B14" s="23" t="s">
        <v>50</v>
      </c>
      <c r="C14" s="23" t="s">
        <v>43</v>
      </c>
    </row>
    <row r="15">
      <c r="A15" s="20" t="s">
        <v>52</v>
      </c>
      <c r="B15" s="23" t="s">
        <v>53</v>
      </c>
      <c r="C15" s="23" t="s">
        <v>38</v>
      </c>
    </row>
    <row r="16" ht="6.0" customHeight="1">
      <c r="A16" s="5"/>
      <c r="B16" s="5"/>
      <c r="C16" s="5"/>
    </row>
    <row r="17" ht="17.25" customHeight="1">
      <c r="A17" s="7" t="s">
        <v>54</v>
      </c>
    </row>
    <row r="18">
      <c r="A18" s="11" t="s">
        <v>57</v>
      </c>
      <c r="B18" s="11" t="s">
        <v>58</v>
      </c>
      <c r="C18" s="46"/>
    </row>
    <row r="19">
      <c r="A19" s="47" t="s">
        <v>59</v>
      </c>
      <c r="B19" s="23" t="s">
        <v>62</v>
      </c>
      <c r="C19" s="48"/>
    </row>
    <row r="20">
      <c r="A20" s="47" t="s">
        <v>63</v>
      </c>
      <c r="B20" s="23" t="s">
        <v>64</v>
      </c>
      <c r="C20" s="48"/>
    </row>
    <row r="21">
      <c r="A21" s="47" t="s">
        <v>65</v>
      </c>
      <c r="B21" s="23" t="s">
        <v>66</v>
      </c>
      <c r="C21" s="48"/>
    </row>
    <row r="22">
      <c r="A22" s="47" t="s">
        <v>67</v>
      </c>
      <c r="B22" s="23" t="s">
        <v>68</v>
      </c>
      <c r="C22" s="48"/>
    </row>
    <row r="23">
      <c r="A23" s="47" t="s">
        <v>69</v>
      </c>
      <c r="B23" s="23" t="s">
        <v>70</v>
      </c>
      <c r="C23" s="48"/>
    </row>
    <row r="24">
      <c r="A24" s="50" t="s">
        <v>71</v>
      </c>
    </row>
    <row r="25" ht="6.0" customHeight="1">
      <c r="A25" s="5"/>
      <c r="B25" s="5"/>
      <c r="C25" s="5"/>
    </row>
    <row r="26" ht="17.25" customHeight="1">
      <c r="A26" s="7" t="s">
        <v>73</v>
      </c>
    </row>
    <row r="27">
      <c r="A27" s="11" t="s">
        <v>74</v>
      </c>
      <c r="B27" s="11" t="s">
        <v>58</v>
      </c>
      <c r="C27" s="11" t="s">
        <v>75</v>
      </c>
    </row>
    <row r="28">
      <c r="A28" s="47" t="s">
        <v>3</v>
      </c>
      <c r="B28" s="23" t="s">
        <v>76</v>
      </c>
      <c r="C28" s="23" t="s">
        <v>77</v>
      </c>
    </row>
    <row r="29">
      <c r="A29" s="47" t="s">
        <v>5</v>
      </c>
      <c r="B29" s="23" t="s">
        <v>78</v>
      </c>
      <c r="C29" s="23" t="s">
        <v>79</v>
      </c>
    </row>
    <row r="30">
      <c r="A30" s="47" t="s">
        <v>7</v>
      </c>
      <c r="B30" s="23" t="s">
        <v>81</v>
      </c>
      <c r="C30" s="23" t="s">
        <v>79</v>
      </c>
    </row>
    <row r="31">
      <c r="A31" s="47" t="s">
        <v>8</v>
      </c>
      <c r="B31" s="23" t="s">
        <v>82</v>
      </c>
      <c r="C31" s="23" t="s">
        <v>79</v>
      </c>
    </row>
    <row r="32">
      <c r="A32" s="47" t="s">
        <v>10</v>
      </c>
      <c r="B32" s="23" t="s">
        <v>83</v>
      </c>
      <c r="C32" s="23" t="s">
        <v>79</v>
      </c>
    </row>
    <row r="33">
      <c r="A33" s="47" t="s">
        <v>11</v>
      </c>
      <c r="B33" s="23" t="s">
        <v>84</v>
      </c>
      <c r="C33" s="51" t="s">
        <v>85</v>
      </c>
    </row>
    <row r="34">
      <c r="A34" s="47" t="s">
        <v>12</v>
      </c>
      <c r="B34" s="23" t="s">
        <v>86</v>
      </c>
      <c r="C34" s="23" t="s">
        <v>87</v>
      </c>
    </row>
    <row r="35">
      <c r="A35" s="47" t="s">
        <v>14</v>
      </c>
      <c r="B35" s="23" t="s">
        <v>89</v>
      </c>
      <c r="C35" s="23" t="s">
        <v>90</v>
      </c>
    </row>
    <row r="36">
      <c r="A36" s="47" t="s">
        <v>16</v>
      </c>
      <c r="B36" s="23" t="s">
        <v>91</v>
      </c>
      <c r="C36" s="23" t="s">
        <v>87</v>
      </c>
    </row>
    <row r="37">
      <c r="A37" s="47" t="s">
        <v>17</v>
      </c>
      <c r="B37" s="23" t="s">
        <v>92</v>
      </c>
      <c r="C37" s="23" t="s">
        <v>90</v>
      </c>
    </row>
    <row r="38">
      <c r="A38" s="47" t="s">
        <v>93</v>
      </c>
      <c r="B38" s="23" t="s">
        <v>94</v>
      </c>
      <c r="C38" s="23" t="s">
        <v>90</v>
      </c>
    </row>
    <row r="39">
      <c r="A39" s="47" t="s">
        <v>95</v>
      </c>
      <c r="B39" s="23" t="s">
        <v>96</v>
      </c>
      <c r="C39" s="23" t="s">
        <v>90</v>
      </c>
    </row>
    <row r="40">
      <c r="A40" s="47" t="s">
        <v>27</v>
      </c>
      <c r="B40" s="23" t="s">
        <v>97</v>
      </c>
      <c r="C40" s="23" t="s">
        <v>90</v>
      </c>
    </row>
    <row r="41">
      <c r="A41" s="47" t="s">
        <v>28</v>
      </c>
      <c r="B41" s="23" t="s">
        <v>98</v>
      </c>
      <c r="C41" s="23" t="s">
        <v>79</v>
      </c>
    </row>
    <row r="42">
      <c r="A42" s="47" t="s">
        <v>29</v>
      </c>
      <c r="B42" s="51" t="s">
        <v>99</v>
      </c>
      <c r="C42" s="51" t="s">
        <v>85</v>
      </c>
    </row>
    <row r="43">
      <c r="A43" s="47" t="s">
        <v>30</v>
      </c>
      <c r="B43" s="23" t="s">
        <v>100</v>
      </c>
      <c r="C43" s="23" t="s">
        <v>101</v>
      </c>
    </row>
    <row r="44">
      <c r="A44" s="47" t="s">
        <v>31</v>
      </c>
      <c r="B44" s="23" t="s">
        <v>102</v>
      </c>
      <c r="C44" s="23" t="s">
        <v>90</v>
      </c>
    </row>
    <row r="45">
      <c r="A45" s="47" t="s">
        <v>32</v>
      </c>
      <c r="B45" s="23" t="s">
        <v>103</v>
      </c>
      <c r="C45" s="51" t="s">
        <v>85</v>
      </c>
    </row>
    <row r="46">
      <c r="A46" s="54" t="s">
        <v>104</v>
      </c>
    </row>
    <row r="47" ht="6.0" customHeight="1">
      <c r="A47" s="5"/>
      <c r="B47" s="5"/>
      <c r="C47" s="5"/>
    </row>
    <row r="48">
      <c r="A48" s="11" t="s">
        <v>28</v>
      </c>
      <c r="B48" s="11" t="s">
        <v>105</v>
      </c>
      <c r="C48" s="46"/>
    </row>
    <row r="49">
      <c r="A49" s="57" t="s">
        <v>107</v>
      </c>
      <c r="B49" s="23" t="s">
        <v>108</v>
      </c>
      <c r="C49" s="48"/>
    </row>
    <row r="50">
      <c r="A50" s="57" t="s">
        <v>110</v>
      </c>
      <c r="B50" s="23" t="s">
        <v>111</v>
      </c>
      <c r="C50" s="48"/>
    </row>
    <row r="51">
      <c r="A51" s="57" t="s">
        <v>112</v>
      </c>
      <c r="B51" s="23" t="s">
        <v>113</v>
      </c>
      <c r="C51" s="48"/>
    </row>
    <row r="52">
      <c r="A52" s="54" t="s">
        <v>114</v>
      </c>
    </row>
    <row r="53" ht="6.0" customHeight="1">
      <c r="A53" s="5"/>
      <c r="B53" s="5"/>
      <c r="C53" s="5"/>
    </row>
    <row r="54">
      <c r="A54" s="11" t="s">
        <v>29</v>
      </c>
      <c r="B54" s="58" t="s">
        <v>115</v>
      </c>
      <c r="C54" s="46"/>
    </row>
    <row r="55">
      <c r="A55" s="57" t="s">
        <v>116</v>
      </c>
      <c r="B55" s="51" t="s">
        <v>117</v>
      </c>
      <c r="C55" s="48"/>
    </row>
    <row r="56">
      <c r="A56" s="57" t="s">
        <v>118</v>
      </c>
      <c r="B56" s="51" t="s">
        <v>119</v>
      </c>
      <c r="C56" s="48"/>
    </row>
    <row r="57">
      <c r="A57" s="57" t="s">
        <v>120</v>
      </c>
      <c r="B57" s="51" t="s">
        <v>121</v>
      </c>
      <c r="C57" s="48"/>
    </row>
    <row r="58">
      <c r="A58" s="50" t="s">
        <v>122</v>
      </c>
    </row>
    <row r="59" ht="6.0" customHeight="1">
      <c r="A59" s="5"/>
      <c r="B59" s="5"/>
      <c r="C59" s="5"/>
    </row>
    <row r="60" ht="17.25" customHeight="1">
      <c r="A60" s="7" t="s">
        <v>123</v>
      </c>
    </row>
    <row r="61">
      <c r="A61" s="9" t="s">
        <v>125</v>
      </c>
    </row>
    <row r="62">
      <c r="A62" s="9" t="s">
        <v>126</v>
      </c>
    </row>
    <row r="63">
      <c r="A63" s="9" t="s">
        <v>127</v>
      </c>
    </row>
    <row r="64" ht="6.0" customHeight="1">
      <c r="A64" s="5"/>
      <c r="B64" s="5"/>
      <c r="C64" s="5"/>
    </row>
    <row r="65" ht="17.25" customHeight="1">
      <c r="A65" s="7" t="s">
        <v>128</v>
      </c>
    </row>
    <row r="66">
      <c r="A66" s="9" t="s">
        <v>129</v>
      </c>
    </row>
    <row r="67">
      <c r="A67" s="9" t="s">
        <v>130</v>
      </c>
    </row>
    <row r="68">
      <c r="A68" s="9" t="s">
        <v>131</v>
      </c>
    </row>
    <row r="69" ht="15.0" customHeight="1">
      <c r="A69" s="60" t="s">
        <v>132</v>
      </c>
    </row>
    <row r="70" ht="17.25" customHeight="1">
      <c r="A70" s="5"/>
      <c r="B70" s="5"/>
      <c r="C70" s="5"/>
    </row>
    <row r="71">
      <c r="A71" s="7" t="s">
        <v>133</v>
      </c>
    </row>
    <row r="72">
      <c r="A72" s="47" t="s">
        <v>134</v>
      </c>
      <c r="B72" s="23" t="s">
        <v>135</v>
      </c>
      <c r="C72" s="67" t="str">
        <f>HYPERLINK("https://www.patreon.com/seyedhn","patreon.com/seyedhn")</f>
        <v>patreon.com/seyedhn</v>
      </c>
    </row>
    <row r="73">
      <c r="A73" s="47" t="s">
        <v>142</v>
      </c>
      <c r="B73" s="23" t="s">
        <v>143</v>
      </c>
      <c r="C73" s="67" t="str">
        <f>HYPERLINK("http://eepurl.com/hJDPT1","Subscribe")</f>
        <v>Subscribe</v>
      </c>
    </row>
    <row r="74">
      <c r="A74" s="47" t="s">
        <v>146</v>
      </c>
      <c r="B74" s="23" t="s">
        <v>148</v>
      </c>
      <c r="C74" s="48"/>
    </row>
    <row r="75">
      <c r="A75" s="47" t="s">
        <v>149</v>
      </c>
      <c r="B75" s="23" t="s">
        <v>150</v>
      </c>
      <c r="C75" s="48"/>
    </row>
  </sheetData>
  <mergeCells count="22">
    <mergeCell ref="A1:C1"/>
    <mergeCell ref="A2:C2"/>
    <mergeCell ref="A4:C4"/>
    <mergeCell ref="A5:C5"/>
    <mergeCell ref="A6:C6"/>
    <mergeCell ref="A8:C8"/>
    <mergeCell ref="A17:C17"/>
    <mergeCell ref="A62:C62"/>
    <mergeCell ref="A63:C63"/>
    <mergeCell ref="A65:C65"/>
    <mergeCell ref="A66:C66"/>
    <mergeCell ref="A67:C67"/>
    <mergeCell ref="A68:C68"/>
    <mergeCell ref="A69:C69"/>
    <mergeCell ref="A71:C71"/>
    <mergeCell ref="A24:C24"/>
    <mergeCell ref="A26:C26"/>
    <mergeCell ref="A46:C46"/>
    <mergeCell ref="A52:C52"/>
    <mergeCell ref="A58:C58"/>
    <mergeCell ref="A60:C60"/>
    <mergeCell ref="A61:C61"/>
  </mergeCells>
  <hyperlinks>
    <hyperlink display="Find a Publisher" location="'Find a Publisher'!A1" ref="A10"/>
    <hyperlink display="Publishers (curated)" location="'Publishers (curated)'!A1" ref="A11"/>
    <hyperlink display="Publishers (open)" location="'Publishers (open)'!A1" ref="A12"/>
    <hyperlink display="Investors (curated)" location="'Investors (curated)'!A1" ref="A13"/>
    <hyperlink display="Investors (open)" location="'Investors (open)'!A1" ref="A14"/>
    <hyperlink display="Developer Resources" location="'Developer Resources'!A1" ref="A15"/>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4.0" topLeftCell="B15" activePane="bottomRight" state="frozen"/>
      <selection activeCell="B1" sqref="B1" pane="topRight"/>
      <selection activeCell="A15" sqref="A15" pane="bottomLeft"/>
      <selection activeCell="B15" sqref="B15" pane="bottomRight"/>
    </sheetView>
  </sheetViews>
  <sheetFormatPr customHeight="1" defaultColWidth="12.63" defaultRowHeight="15.75"/>
  <cols>
    <col customWidth="1" min="1" max="1" width="19.88"/>
    <col customWidth="1" min="2" max="2" width="15.13"/>
    <col customWidth="1" min="3" max="3" width="16.25"/>
    <col customWidth="1" min="4" max="4" width="12.63"/>
    <col customWidth="1" min="5" max="5" width="19.25"/>
    <col customWidth="1" min="6" max="6" width="16.63"/>
    <col customWidth="1" min="7" max="7" width="15.38"/>
    <col customWidth="1" min="8" max="8" width="14.13"/>
    <col customWidth="1" min="9" max="9" width="7.63"/>
    <col customWidth="1" min="10" max="12" width="8.38"/>
    <col customWidth="1" min="13" max="13" width="7.88"/>
    <col customWidth="1" min="14" max="14" width="8.25"/>
    <col customWidth="1" min="15" max="15" width="7.5"/>
    <col customWidth="1" min="16" max="16" width="11.0"/>
    <col customWidth="1" min="17" max="17" width="12.13"/>
    <col customWidth="1" min="18" max="18" width="10.5"/>
    <col customWidth="1" min="19" max="19" width="57.13"/>
    <col customWidth="1" min="20" max="20" width="25.75"/>
    <col customWidth="1" min="21" max="21" width="94.63"/>
  </cols>
  <sheetData>
    <row r="1" ht="21.0" customHeight="1">
      <c r="A1" s="1" t="s">
        <v>0</v>
      </c>
      <c r="B1" s="3"/>
      <c r="C1" s="3"/>
      <c r="D1" s="3"/>
      <c r="E1" s="3"/>
      <c r="F1" s="3"/>
      <c r="G1" s="3"/>
      <c r="H1" s="3"/>
      <c r="I1" s="3"/>
      <c r="J1" s="3"/>
      <c r="K1" s="3"/>
      <c r="L1" s="3"/>
      <c r="M1" s="3"/>
      <c r="N1" s="3"/>
      <c r="O1" s="3"/>
      <c r="P1" s="3"/>
      <c r="Q1" s="3"/>
      <c r="R1" s="3"/>
      <c r="S1" s="3"/>
      <c r="T1" s="3"/>
      <c r="U1" s="3"/>
    </row>
    <row r="2">
      <c r="A2" s="13" t="s">
        <v>19</v>
      </c>
      <c r="B2" s="14"/>
      <c r="C2" s="14"/>
      <c r="D2" s="14"/>
      <c r="E2" s="14"/>
      <c r="F2" s="14"/>
      <c r="G2" s="14"/>
      <c r="H2" s="14"/>
      <c r="I2" s="14"/>
      <c r="J2" s="14"/>
      <c r="K2" s="14"/>
      <c r="L2" s="14"/>
      <c r="M2" s="14"/>
      <c r="N2" s="14"/>
      <c r="O2" s="14"/>
      <c r="P2" s="14"/>
      <c r="Q2" s="14"/>
      <c r="R2" s="14"/>
      <c r="S2" s="14"/>
      <c r="T2" s="14"/>
      <c r="U2" s="14"/>
    </row>
    <row r="3">
      <c r="A3" s="14"/>
      <c r="B3" s="14"/>
      <c r="C3" s="14"/>
      <c r="D3" s="14"/>
      <c r="E3" s="14"/>
      <c r="F3" s="14"/>
      <c r="G3" s="14"/>
      <c r="H3" s="14"/>
      <c r="I3" s="14"/>
      <c r="J3" s="14"/>
      <c r="K3" s="14"/>
      <c r="L3" s="14"/>
      <c r="M3" s="14"/>
      <c r="N3" s="14"/>
      <c r="O3" s="14"/>
      <c r="P3" s="14"/>
      <c r="Q3" s="14"/>
      <c r="R3" s="14"/>
      <c r="S3" s="14"/>
      <c r="T3" s="14"/>
      <c r="U3" s="14"/>
    </row>
    <row r="4">
      <c r="A4" s="19" t="s">
        <v>33</v>
      </c>
      <c r="B4" s="25"/>
      <c r="F4" s="29" t="b">
        <v>0</v>
      </c>
      <c r="G4" s="31" t="s">
        <v>41</v>
      </c>
      <c r="H4" s="14"/>
      <c r="I4" s="14"/>
      <c r="J4" s="14"/>
      <c r="K4" s="14"/>
      <c r="L4" s="14"/>
      <c r="M4" s="14"/>
      <c r="N4" s="14"/>
      <c r="O4" s="14"/>
      <c r="P4" s="14"/>
      <c r="Q4" s="14"/>
      <c r="R4" s="14"/>
      <c r="S4" s="14"/>
      <c r="T4" s="14"/>
      <c r="U4" s="14"/>
    </row>
    <row r="5">
      <c r="A5" s="19" t="s">
        <v>44</v>
      </c>
      <c r="B5" s="37" t="s">
        <v>46</v>
      </c>
      <c r="F5" s="14"/>
      <c r="G5" s="14"/>
      <c r="H5" s="14"/>
      <c r="I5" s="14"/>
      <c r="J5" s="14"/>
      <c r="K5" s="14"/>
      <c r="L5" s="14"/>
      <c r="M5" s="14"/>
      <c r="N5" s="14"/>
      <c r="O5" s="14"/>
      <c r="P5" s="14"/>
      <c r="Q5" s="14"/>
      <c r="R5" s="14"/>
      <c r="S5" s="14"/>
      <c r="T5" s="14"/>
      <c r="U5" s="14"/>
    </row>
    <row r="6">
      <c r="A6" s="19" t="s">
        <v>49</v>
      </c>
      <c r="B6" s="37" t="s">
        <v>51</v>
      </c>
      <c r="F6" s="14"/>
      <c r="G6" s="14"/>
      <c r="H6" s="14"/>
      <c r="I6" s="14"/>
      <c r="J6" s="14"/>
      <c r="K6" s="14"/>
      <c r="L6" s="14"/>
      <c r="M6" s="14"/>
      <c r="N6" s="14"/>
      <c r="O6" s="14"/>
      <c r="P6" s="14"/>
      <c r="Q6" s="14"/>
      <c r="R6" s="14"/>
      <c r="S6" s="14"/>
      <c r="T6" s="14"/>
      <c r="U6" s="14"/>
    </row>
    <row r="7">
      <c r="A7" s="19" t="s">
        <v>28</v>
      </c>
      <c r="B7" s="37" t="s">
        <v>55</v>
      </c>
      <c r="F7" s="14"/>
      <c r="G7" s="14"/>
      <c r="H7" s="14"/>
      <c r="I7" s="14"/>
      <c r="J7" s="14"/>
      <c r="K7" s="14"/>
      <c r="L7" s="14"/>
      <c r="M7" s="14"/>
      <c r="N7" s="14"/>
      <c r="O7" s="14"/>
      <c r="P7" s="14"/>
      <c r="Q7" s="14"/>
      <c r="R7" s="14"/>
      <c r="S7" s="14"/>
      <c r="T7" s="14"/>
      <c r="U7" s="14"/>
    </row>
    <row r="8">
      <c r="A8" s="19" t="s">
        <v>5</v>
      </c>
      <c r="B8" s="37"/>
      <c r="F8" s="14"/>
      <c r="G8" s="14"/>
      <c r="H8" s="14"/>
      <c r="I8" s="14"/>
      <c r="J8" s="14"/>
      <c r="K8" s="14"/>
      <c r="L8" s="14"/>
      <c r="M8" s="14"/>
      <c r="N8" s="14"/>
      <c r="O8" s="14"/>
      <c r="P8" s="14"/>
      <c r="Q8" s="14"/>
      <c r="R8" s="14"/>
      <c r="S8" s="14"/>
      <c r="T8" s="14"/>
      <c r="U8" s="14"/>
    </row>
    <row r="9">
      <c r="A9" s="19" t="s">
        <v>29</v>
      </c>
      <c r="B9" s="37" t="s">
        <v>55</v>
      </c>
      <c r="F9" s="14"/>
      <c r="G9" s="14"/>
      <c r="H9" s="14"/>
      <c r="I9" s="14"/>
      <c r="J9" s="14"/>
      <c r="K9" s="14"/>
      <c r="L9" s="14"/>
      <c r="M9" s="14"/>
      <c r="N9" s="14"/>
      <c r="O9" s="14"/>
      <c r="P9" s="14"/>
      <c r="Q9" s="14"/>
      <c r="R9" s="14"/>
      <c r="S9" s="14"/>
      <c r="T9" s="14"/>
      <c r="U9" s="14"/>
    </row>
    <row r="10">
      <c r="A10" s="19" t="s">
        <v>72</v>
      </c>
      <c r="B10" s="37" t="s">
        <v>55</v>
      </c>
      <c r="F10" s="14"/>
      <c r="G10" s="14"/>
      <c r="H10" s="14"/>
      <c r="I10" s="14"/>
      <c r="J10" s="14"/>
      <c r="K10" s="14"/>
      <c r="L10" s="14"/>
      <c r="M10" s="14"/>
      <c r="N10" s="14"/>
      <c r="O10" s="14"/>
      <c r="P10" s="14"/>
      <c r="Q10" s="14"/>
      <c r="R10" s="14"/>
      <c r="S10" s="14"/>
      <c r="T10" s="14"/>
      <c r="U10" s="14"/>
    </row>
    <row r="11">
      <c r="A11" s="19" t="s">
        <v>80</v>
      </c>
      <c r="B11" s="37" t="s">
        <v>55</v>
      </c>
      <c r="F11" s="14"/>
      <c r="G11" s="14"/>
      <c r="H11" s="14"/>
      <c r="I11" s="14"/>
      <c r="J11" s="14"/>
      <c r="K11" s="14"/>
      <c r="L11" s="14"/>
      <c r="M11" s="14"/>
      <c r="N11" s="14"/>
      <c r="O11" s="14"/>
      <c r="P11" s="14"/>
      <c r="Q11" s="14"/>
      <c r="R11" s="14"/>
      <c r="S11" s="14"/>
      <c r="T11" s="14"/>
      <c r="U11" s="14"/>
    </row>
    <row r="12">
      <c r="A12" s="14"/>
      <c r="B12" s="14"/>
      <c r="C12" s="14"/>
      <c r="D12" s="14"/>
      <c r="E12" s="14"/>
      <c r="F12" s="14"/>
      <c r="G12" s="14"/>
      <c r="H12" s="14"/>
      <c r="I12" s="14"/>
      <c r="J12" s="14"/>
      <c r="K12" s="14"/>
      <c r="L12" s="14"/>
      <c r="M12" s="14"/>
      <c r="N12" s="14"/>
      <c r="O12" s="14"/>
      <c r="P12" s="14"/>
      <c r="Q12" s="14"/>
      <c r="R12" s="14"/>
      <c r="S12" s="14"/>
      <c r="T12" s="14"/>
      <c r="U12" s="14"/>
    </row>
    <row r="13">
      <c r="A13" s="53"/>
      <c r="B13" s="53"/>
      <c r="C13" s="53"/>
      <c r="D13" s="53"/>
      <c r="E13" s="53"/>
      <c r="F13" s="53"/>
      <c r="G13" s="53"/>
      <c r="H13" s="53"/>
      <c r="I13" s="53"/>
      <c r="J13" s="53"/>
      <c r="K13" s="53"/>
      <c r="L13" s="53"/>
      <c r="M13" s="53"/>
      <c r="N13" s="53"/>
      <c r="O13" s="53"/>
      <c r="P13" s="53"/>
      <c r="Q13" s="53"/>
      <c r="R13" s="53"/>
      <c r="S13" s="53"/>
      <c r="T13" s="53"/>
      <c r="U13" s="53"/>
    </row>
    <row r="14" ht="29.25" customHeight="1">
      <c r="A14" s="6" t="str">
        <f t="array" ref="A14:U14">'Publishers (curated)'!A1:U1</f>
        <v>Publisher</v>
      </c>
      <c r="B14" s="8" t="s">
        <v>5</v>
      </c>
      <c r="C14" s="8" t="s">
        <v>7</v>
      </c>
      <c r="D14" s="6" t="s">
        <v>8</v>
      </c>
      <c r="E14" s="8" t="s">
        <v>10</v>
      </c>
      <c r="F14" s="6" t="s">
        <v>11</v>
      </c>
      <c r="G14" s="8" t="s">
        <v>12</v>
      </c>
      <c r="H14" s="8" t="s">
        <v>14</v>
      </c>
      <c r="I14" s="10" t="s">
        <v>16</v>
      </c>
      <c r="J14" s="12" t="s">
        <v>17</v>
      </c>
      <c r="K14" s="12" t="s">
        <v>21</v>
      </c>
      <c r="L14" s="12" t="s">
        <v>22</v>
      </c>
      <c r="M14" s="12" t="s">
        <v>23</v>
      </c>
      <c r="N14" s="12" t="s">
        <v>24</v>
      </c>
      <c r="O14" s="12" t="s">
        <v>26</v>
      </c>
      <c r="P14" s="15" t="s">
        <v>27</v>
      </c>
      <c r="Q14" s="15" t="s">
        <v>28</v>
      </c>
      <c r="R14" s="15" t="s">
        <v>29</v>
      </c>
      <c r="S14" s="8" t="s">
        <v>30</v>
      </c>
      <c r="T14" s="8" t="s">
        <v>31</v>
      </c>
      <c r="U14" s="16" t="s">
        <v>32</v>
      </c>
    </row>
    <row r="15" ht="16.5" customHeight="1">
      <c r="A15" s="49" t="str">
        <f>IFERROR(__xludf.DUMMYFUNCTION("ARRAYFORMULA(LET(src,'Publishers (curated)'!A1:INDEX('Publishers (curated)'!U:U,MATCH(""PUBLISHING-AS-A-SERVICE"",'Publishers (curated)'!A:A,0)),pub,INDEX(src,,1),rowN,ROW(pub),hiRow,MATCH(""HIGH BUDGET"",pub,0),midRow,MATCH(""MID BUDGET"",pub,0),lowRow,M"&amp;"ATCH(""LOW BUDGET"",pub,0),endRow,MATCH(""PUBLISHING-AS-A-SERVICE"",pub,0),tier,IF(rowN&lt;midRow,""$$$"",IF(rowN&lt;lowRow,""$$"",""$"")),country,INDEX(src,,2),games,INDEX(src,,10),gamesNum,IF(ISNUMBER(games),games,IFERROR(VALUE(games),0)),lastRel,INDEX(src,,1"&amp;"2),lastNum,IF(ISNUMBER(lastRel),lastRel,IFERROR(DATEVALUE(LEFT(TRIM(SUBSTITUTE(lastRel,CHAR(160),"" "")),3)&amp;"" 1, ""&amp;RIGHT(TRIM(SUBSTITUTE(lastRel,CHAR(160),"" "")),4)),0)),comm,INDEX(src,,18),tagList,INDEX(src,,19),fitN,SWITCH(B6,""Primary genre (top 1)"&amp;""",1,""Main genre (top 3)"",3,""Strong (top 5)"",5,0),scope,IF(fitN=0,tagList,IFERROR(REGEXEXTRACT(tagList,""^[^,]*(?:,[^,]*){0,""&amp;(fitN-1)&amp;""}""),"""")),wantCount,IF(B4="""",0,COUNTA(SPLIT(B4,"", "",FALSE))),wanted,IF(B4="""","""",SPLIT(B4,"", "",FALSE))"&amp;",hits,IF(wantCount=0,0,BYROW(scope,LAMBDA(rowTags,SUMPRODUCT(--ISNUMBER(SEARCH("", ""&amp;wanted&amp;"","","", ""&amp;rowTags&amp;"","")))))),countries,IF(B8="""","""",SPLIT(B8,"", "",FALSE)),countryOk,IF(B8="""",1,BYROW(country,LAMBDA(c,--(SUMPRODUCT(--ISNUMBER(SEARCH("&amp;""", ""&amp;countries&amp;"","","", ""&amp;c&amp;"","")))&gt;0)))),stars,IF(LEFT(comm,1)=""★"",LEN(comm),0),minStars,SWITCH(B9,""★ or better"",1,""★★ or better"",2,""★★★ only"",3,0),months,SWITCH(B10,""Released in last 6 months"",6,""Released in last 12 months"",12,""Release"&amp;"d in last 24 months"",24,0),activeOk,IF(months=0,1,lastNum&gt;=EOMONTH(TODAY(),-months-1)+1),minGames,SWITCH(B11,""3+ games"",3,""10+ games"",10,""25+ games"",25,0),gamesOk,gamesNum&gt;=minGames,keep,(rowN&gt;hiRow)*(rowN&lt;endRow)*(rowN&lt;&gt;midRow)*(rowN&lt;&gt;lowRow)*(pub"&amp;"&lt;&gt;"""")*IF(wantCount=0,1,IF(B5=""All selected genres"",hits=wantCount,hits&gt;0))*(((B7=""Any"")+(B7="""")+(tier=B7))&gt;0)*countryOk*(stars&gt;=minStars)*activeOk*gamesOk,IFERROR(SORT(FILTER(src,keep),15,FALSE),""No matches"")))"),"Isolated Games")</f>
        <v>Isolated Games</v>
      </c>
      <c r="B15" s="40" t="str">
        <f>IFERROR(__xludf.DUMMYFUNCTION("""COMPUTED_VALUE"""),"Spain")</f>
        <v>Spain</v>
      </c>
      <c r="C15" s="52" t="str">
        <f>IFERROR(__xludf.DUMMYFUNCTION("""COMPUTED_VALUE"""),"https://www.isolatedgames.com/")</f>
        <v>https://www.isolatedgames.com/</v>
      </c>
      <c r="D15" s="40" t="str">
        <f>IFERROR(__xludf.DUMMYFUNCTION("""COMPUTED_VALUE"""),"-")</f>
        <v>-</v>
      </c>
      <c r="E15" s="40" t="str">
        <f>IFERROR(__xludf.DUMMYFUNCTION("""COMPUTED_VALUE"""),"andres.ruiz@isolatedgames.com")</f>
        <v>andres.ruiz@isolatedgames.com</v>
      </c>
      <c r="F15" s="56" t="str">
        <f>IFERROR(__xludf.DUMMYFUNCTION("""COMPUTED_VALUE"""),"Andres Ruiz")</f>
        <v>Andres Ruiz</v>
      </c>
      <c r="G15" s="59" t="str">
        <f>IFERROR(__xludf.DUMMYFUNCTION("""COMPUTED_VALUE"""),"https://store.steampowered.com/developer/isolatedgames")</f>
        <v>https://store.steampowered.com/developer/isolatedgames</v>
      </c>
      <c r="H15" s="61" t="str">
        <f>IFERROR(__xludf.DUMMYFUNCTION("""COMPUTED_VALUE"""),"https://gamalytic.com/publisher/Isolated%20Games")</f>
        <v>https://gamalytic.com/publisher/Isolated%20Games</v>
      </c>
      <c r="I15" s="62" t="str">
        <f>IFERROR(__xludf.DUMMYFUNCTION("""COMPUTED_VALUE"""),"2K")</f>
        <v>2K</v>
      </c>
      <c r="J15" s="63">
        <f>IFERROR(__xludf.DUMMYFUNCTION("""COMPUTED_VALUE"""),2.0)</f>
        <v>2</v>
      </c>
      <c r="K15" s="64" t="str">
        <f>IFERROR(__xludf.DUMMYFUNCTION("""COMPUTED_VALUE"""),"Jul 2020")</f>
        <v>Jul 2020</v>
      </c>
      <c r="L15" s="64" t="str">
        <f>IFERROR(__xludf.DUMMYFUNCTION("""COMPUTED_VALUE"""),"Apr 2026")</f>
        <v>Apr 2026</v>
      </c>
      <c r="M15" s="65">
        <f>IFERROR(__xludf.DUMMYFUNCTION("""COMPUTED_VALUE"""),1.3527595E7)</f>
        <v>13527595</v>
      </c>
      <c r="N15" s="65">
        <f>IFERROR(__xludf.DUMMYFUNCTION("""COMPUTED_VALUE"""),6763797.5)</f>
        <v>6763797.5</v>
      </c>
      <c r="O15" s="65">
        <f>IFERROR(__xludf.DUMMYFUNCTION("""COMPUTED_VALUE"""),6763797.5)</f>
        <v>6763797.5</v>
      </c>
      <c r="P15" s="66" t="str">
        <f>IFERROR(__xludf.DUMMYFUNCTION("""COMPUTED_VALUE"""),"Indie")</f>
        <v>Indie</v>
      </c>
      <c r="Q15" s="64" t="str">
        <f>IFERROR(__xludf.DUMMYFUNCTION("""COMPUTED_VALUE"""),"$")</f>
        <v>$</v>
      </c>
      <c r="R15" s="68" t="str">
        <f>IFERROR(__xludf.DUMMYFUNCTION("""COMPUTED_VALUE"""),"?")</f>
        <v>?</v>
      </c>
      <c r="S15" s="25" t="str">
        <f>IFERROR(__xludf.DUMMYFUNCTION("""COMPUTED_VALUE"""),"Life Sim, Management, Farming Sim, Crafting, Immersive Sim, Collectathon, Resource Management, Space Sim")</f>
        <v>Life Sim, Management, Farming Sim, Crafting, Immersive Sim, Collectathon, Resource Management, Space Sim</v>
      </c>
      <c r="T15" s="40" t="str">
        <f>IFERROR(__xludf.DUMMYFUNCTION("""COMPUTED_VALUE"""),"Travellers Rest, Between the Stars")</f>
        <v>Travellers Rest, Between the Stars</v>
      </c>
      <c r="U15" s="69" t="str">
        <f>IFERROR(__xludf.DUMMYFUNCTION("""COMPUTED_VALUE"""),"Besides being a publisher, we are also developers. We want to help small teams with our experience and resources")</f>
        <v>Besides being a publisher, we are also developers. We want to help small teams with our experience and resources</v>
      </c>
    </row>
    <row r="16">
      <c r="A16" s="49" t="str">
        <f>IFERROR(__xludf.DUMMYFUNCTION("""COMPUTED_VALUE"""),"BiliBili")</f>
        <v>BiliBili</v>
      </c>
      <c r="B16" s="40" t="str">
        <f>IFERROR(__xludf.DUMMYFUNCTION("""COMPUTED_VALUE"""),"China")</f>
        <v>China</v>
      </c>
      <c r="C16" s="52" t="str">
        <f>IFERROR(__xludf.DUMMYFUNCTION("""COMPUTED_VALUE"""),"https://store.steampowered.com/publisher/bilibili")</f>
        <v>https://store.steampowered.com/publisher/bilibili</v>
      </c>
      <c r="D16" s="40" t="str">
        <f>IFERROR(__xludf.DUMMYFUNCTION("""COMPUTED_VALUE"""),"-")</f>
        <v>-</v>
      </c>
      <c r="E16" s="40" t="str">
        <f>IFERROR(__xludf.DUMMYFUNCTION("""COMPUTED_VALUE"""),"chenyiliang01@bilibili.com")</f>
        <v>chenyiliang01@bilibili.com</v>
      </c>
      <c r="F16" s="56" t="str">
        <f>IFERROR(__xludf.DUMMYFUNCTION("""COMPUTED_VALUE"""),"?")</f>
        <v>?</v>
      </c>
      <c r="G16" s="59" t="str">
        <f>IFERROR(__xludf.DUMMYFUNCTION("""COMPUTED_VALUE"""),"https://store.steampowered.com/publisher/bilibili")</f>
        <v>https://store.steampowered.com/publisher/bilibili</v>
      </c>
      <c r="H16" s="61" t="str">
        <f>IFERROR(__xludf.DUMMYFUNCTION("""COMPUTED_VALUE"""),"https://gamalytic.com/publisher/bilibili")</f>
        <v>https://gamalytic.com/publisher/bilibili</v>
      </c>
      <c r="I16" s="62" t="str">
        <f>IFERROR(__xludf.DUMMYFUNCTION("""COMPUTED_VALUE"""),"142K")</f>
        <v>142K</v>
      </c>
      <c r="J16" s="63">
        <f>IFERROR(__xludf.DUMMYFUNCTION("""COMPUTED_VALUE"""),8.0)</f>
        <v>8</v>
      </c>
      <c r="K16" s="64" t="str">
        <f>IFERROR(__xludf.DUMMYFUNCTION("""COMPUTED_VALUE"""),"May 2022")</f>
        <v>May 2022</v>
      </c>
      <c r="L16" s="64" t="str">
        <f>IFERROR(__xludf.DUMMYFUNCTION("""COMPUTED_VALUE"""),"Apr 2026")</f>
        <v>Apr 2026</v>
      </c>
      <c r="M16" s="65">
        <f>IFERROR(__xludf.DUMMYFUNCTION("""COMPUTED_VALUE"""),1.35106292E8)</f>
        <v>135106292</v>
      </c>
      <c r="N16" s="65">
        <f>IFERROR(__xludf.DUMMYFUNCTION("""COMPUTED_VALUE"""),1.68882865E7)</f>
        <v>16888286.5</v>
      </c>
      <c r="O16" s="65">
        <f>IFERROR(__xludf.DUMMYFUNCTION("""COMPUTED_VALUE"""),6543390.5)</f>
        <v>6543390.5</v>
      </c>
      <c r="P16" s="66" t="str">
        <f>IFERROR(__xludf.DUMMYFUNCTION("""COMPUTED_VALUE"""),"AA")</f>
        <v>AA</v>
      </c>
      <c r="Q16" s="64" t="str">
        <f>IFERROR(__xludf.DUMMYFUNCTION("""COMPUTED_VALUE"""),"$$, $$$")</f>
        <v>$$, $$$</v>
      </c>
      <c r="R16" s="68" t="str">
        <f>IFERROR(__xludf.DUMMYFUNCTION("""COMPUTED_VALUE"""),"?")</f>
        <v>?</v>
      </c>
      <c r="S16" s="25" t="str">
        <f>IFERROR(__xludf.DUMMYFUNCTION("""COMPUTED_VALUE"""),"Survival, Open World, Looter Shooter, Action Roguelike, Roguelite, Sandbox, Martial Arts, Extraction Shooter, Roguelike, Crafting")</f>
        <v>Survival, Open World, Looter Shooter, Action Roguelike, Roguelite, Sandbox, Martial Arts, Extraction Shooter, Roguelike, Crafting</v>
      </c>
      <c r="T16" s="40" t="str">
        <f>IFERROR(__xludf.DUMMYFUNCTION("""COMPUTED_VALUE"""),"Magicraft, The Matchless Kungfu")</f>
        <v>Magicraft, The Matchless Kungfu</v>
      </c>
      <c r="U16" s="69" t="str">
        <f>IFERROR(__xludf.DUMMYFUNCTION("""COMPUTED_VALUE"""),"- ")</f>
        <v>- </v>
      </c>
    </row>
    <row r="17">
      <c r="A17" s="49" t="str">
        <f>IFERROR(__xludf.DUMMYFUNCTION("""COMPUTED_VALUE"""),"Coffee Stain")</f>
        <v>Coffee Stain</v>
      </c>
      <c r="B17" s="40" t="str">
        <f>IFERROR(__xludf.DUMMYFUNCTION("""COMPUTED_VALUE"""),"Sweden")</f>
        <v>Sweden</v>
      </c>
      <c r="C17" s="52" t="str">
        <f>IFERROR(__xludf.DUMMYFUNCTION("""COMPUTED_VALUE"""),"https://www.coffeestainpublishing.com/")</f>
        <v>https://www.coffeestainpublishing.com/</v>
      </c>
      <c r="D17" s="40" t="str">
        <f>IFERROR(__xludf.DUMMYFUNCTION("""COMPUTED_VALUE"""),"-")</f>
        <v>-</v>
      </c>
      <c r="E17" s="55" t="str">
        <f>IFERROR(__xludf.DUMMYFUNCTION("""COMPUTED_VALUE"""),"https://coffeestain.com/publishing")</f>
        <v>https://coffeestain.com/publishing</v>
      </c>
      <c r="F17" s="56" t="str">
        <f>IFERROR(__xludf.DUMMYFUNCTION("""COMPUTED_VALUE"""),"Gustav Nisser")</f>
        <v>Gustav Nisser</v>
      </c>
      <c r="G17" s="59" t="str">
        <f>IFERROR(__xludf.DUMMYFUNCTION("""COMPUTED_VALUE"""),"https://store.steampowered.com/developer/coffeestain")</f>
        <v>https://store.steampowered.com/developer/coffeestain</v>
      </c>
      <c r="H17" s="61" t="str">
        <f>IFERROR(__xludf.DUMMYFUNCTION("""COMPUTED_VALUE"""),"https://gamalytic.com/publisher/Coffee%20Stain%20Publishing")</f>
        <v>https://gamalytic.com/publisher/Coffee%20Stain%20Publishing</v>
      </c>
      <c r="I17" s="62" t="str">
        <f>IFERROR(__xludf.DUMMYFUNCTION("""COMPUTED_VALUE"""),"119K")</f>
        <v>119K</v>
      </c>
      <c r="J17" s="63" t="str">
        <f>IFERROR(__xludf.DUMMYFUNCTION("""COMPUTED_VALUE"""),"19")</f>
        <v>19</v>
      </c>
      <c r="K17" s="64" t="str">
        <f>IFERROR(__xludf.DUMMYFUNCTION("""COMPUTED_VALUE"""),"Apr 2011")</f>
        <v>Apr 2011</v>
      </c>
      <c r="L17" s="64" t="str">
        <f>IFERROR(__xludf.DUMMYFUNCTION("""COMPUTED_VALUE"""),"Sep 2026")</f>
        <v>Sep 2026</v>
      </c>
      <c r="M17" s="65">
        <f>IFERROR(__xludf.DUMMYFUNCTION("""COMPUTED_VALUE"""),6.24819942E8)</f>
        <v>624819942</v>
      </c>
      <c r="N17" s="65">
        <f>IFERROR(__xludf.DUMMYFUNCTION("""COMPUTED_VALUE"""),3.28852601052631E7)</f>
        <v>32885260.11</v>
      </c>
      <c r="O17" s="65">
        <f>IFERROR(__xludf.DUMMYFUNCTION("""COMPUTED_VALUE"""),6214371.0)</f>
        <v>6214371</v>
      </c>
      <c r="P17" s="66" t="str">
        <f>IFERROR(__xludf.DUMMYFUNCTION("""COMPUTED_VALUE"""),"AAA")</f>
        <v>AAA</v>
      </c>
      <c r="Q17" s="64" t="str">
        <f>IFERROR(__xludf.DUMMYFUNCTION("""COMPUTED_VALUE"""),"$$, $$$")</f>
        <v>$$, $$$</v>
      </c>
      <c r="R17" s="68" t="str">
        <f>IFERROR(__xludf.DUMMYFUNCTION("""COMPUTED_VALUE"""),"★★★")</f>
        <v>★★★</v>
      </c>
      <c r="S17" s="25" t="str">
        <f>IFERROR(__xludf.DUMMYFUNCTION("""COMPUTED_VALUE"""),"Co-op, Open World, Base Building, Open World Survival Craft, Crafting, FPS, Survival, Sandbox")</f>
        <v>Co-op, Open World, Base Building, Open World Survival Craft, Crafting, FPS, Survival, Sandbox</v>
      </c>
      <c r="T17" s="40" t="str">
        <f>IFERROR(__xludf.DUMMYFUNCTION("""COMPUTED_VALUE"""),"Valheim, Satisfactory, Goat Simulator, Deep Rock Galactic, Teardown")</f>
        <v>Valheim, Satisfactory, Goat Simulator, Deep Rock Galactic, Teardown</v>
      </c>
      <c r="U17" s="69" t="str">
        <f>IFERROR(__xludf.DUMMYFUNCTION("""COMPUTED_VALUE"""),"Focus on: open ended systemic games that are fun solo and great coop. Have published different styles of games as well.")</f>
        <v>Focus on: open ended systemic games that are fun solo and great coop. Have published different styles of games as well.</v>
      </c>
    </row>
    <row r="18">
      <c r="A18" s="49" t="str">
        <f>IFERROR(__xludf.DUMMYFUNCTION("""COMPUTED_VALUE"""),"TARK")</f>
        <v>TARK</v>
      </c>
      <c r="B18" s="40" t="str">
        <f>IFERROR(__xludf.DUMMYFUNCTION("""COMPUTED_VALUE"""),"Turkey")</f>
        <v>Turkey</v>
      </c>
      <c r="C18" s="52" t="str">
        <f>IFERROR(__xludf.DUMMYFUNCTION("""COMPUTED_VALUE"""),"https://tarkgames.com/")</f>
        <v>https://tarkgames.com/</v>
      </c>
      <c r="D18" s="55" t="str">
        <f>IFERROR(__xludf.DUMMYFUNCTION("""COMPUTED_VALUE"""),"https://tarkgames.com/developers")</f>
        <v>https://tarkgames.com/developers</v>
      </c>
      <c r="E18" s="40" t="str">
        <f>IFERROR(__xludf.DUMMYFUNCTION("""COMPUTED_VALUE"""),"Ibrahim Yildirim, Ilker Ergen")</f>
        <v>Ibrahim Yildirim, Ilker Ergen</v>
      </c>
      <c r="F18" s="56" t="str">
        <f>IFERROR(__xludf.DUMMYFUNCTION("""COMPUTED_VALUE"""),"Ibrahim Yildirim, Ilker Ergen")</f>
        <v>Ibrahim Yildirim, Ilker Ergen</v>
      </c>
      <c r="G18" s="59" t="str">
        <f>IFERROR(__xludf.DUMMYFUNCTION("""COMPUTED_VALUE"""),"https://store.steampowered.com/publisher/tark")</f>
        <v>https://store.steampowered.com/publisher/tark</v>
      </c>
      <c r="H18" s="61" t="str">
        <f>IFERROR(__xludf.DUMMYFUNCTION("""COMPUTED_VALUE"""),"https://gamalytic.com/publisher/TARK")</f>
        <v>https://gamalytic.com/publisher/TARK</v>
      </c>
      <c r="I18" s="62">
        <f>IFERROR(__xludf.DUMMYFUNCTION("""COMPUTED_VALUE"""),365.0)</f>
        <v>365</v>
      </c>
      <c r="J18" s="63">
        <f>IFERROR(__xludf.DUMMYFUNCTION("""COMPUTED_VALUE"""),1.0)</f>
        <v>1</v>
      </c>
      <c r="K18" s="64" t="str">
        <f>IFERROR(__xludf.DUMMYFUNCTION("""COMPUTED_VALUE"""),"Sep 2015")</f>
        <v>Sep 2015</v>
      </c>
      <c r="L18" s="64" t="str">
        <f>IFERROR(__xludf.DUMMYFUNCTION("""COMPUTED_VALUE"""),"Sep 2026")</f>
        <v>Sep 2026</v>
      </c>
      <c r="M18" s="65">
        <f>IFERROR(__xludf.DUMMYFUNCTION("""COMPUTED_VALUE"""),6166287.0)</f>
        <v>6166287</v>
      </c>
      <c r="N18" s="65">
        <f>IFERROR(__xludf.DUMMYFUNCTION("""COMPUTED_VALUE"""),6166287.0)</f>
        <v>6166287</v>
      </c>
      <c r="O18" s="65">
        <f>IFERROR(__xludf.DUMMYFUNCTION("""COMPUTED_VALUE"""),6166287.0)</f>
        <v>6166287</v>
      </c>
      <c r="P18" s="66" t="str">
        <f>IFERROR(__xludf.DUMMYFUNCTION("""COMPUTED_VALUE"""),"Indie")</f>
        <v>Indie</v>
      </c>
      <c r="Q18" s="64" t="str">
        <f>IFERROR(__xludf.DUMMYFUNCTION("""COMPUTED_VALUE"""),"$")</f>
        <v>$</v>
      </c>
      <c r="R18" s="68" t="str">
        <f>IFERROR(__xludf.DUMMYFUNCTION("""COMPUTED_VALUE"""),"★★★")</f>
        <v>★★★</v>
      </c>
      <c r="S18" s="25" t="str">
        <f>IFERROR(__xludf.DUMMYFUNCTION("""COMPUTED_VALUE"""),"Co-op, Team-Based, Puzzle, Party Game, Time Management")</f>
        <v>Co-op, Team-Based, Puzzle, Party Game, Time Management</v>
      </c>
      <c r="T18" s="40" t="str">
        <f>IFERROR(__xludf.DUMMYFUNCTION("""COMPUTED_VALUE"""),"N/A (new label)")</f>
        <v>N/A (new label)</v>
      </c>
      <c r="U18" s="69" t="str">
        <f>IFERROR(__xludf.DUMMYFUNCTION("""COMPUTED_VALUE"""),"They are a new publisher-investor hybrid already backing 10+ upcoming games. Provide early funding and hands-on go-to-market support. Focus on small teams (solo/duo/trio) working with freelancers.")</f>
        <v>They are a new publisher-investor hybrid already backing 10+ upcoming games. Provide early funding and hands-on go-to-market support. Focus on small teams (solo/duo/trio) working with freelancers.</v>
      </c>
    </row>
    <row r="19">
      <c r="A19" s="49" t="str">
        <f>IFERROR(__xludf.DUMMYFUNCTION("""COMPUTED_VALUE"""),"Hooded Horse")</f>
        <v>Hooded Horse</v>
      </c>
      <c r="B19" s="40" t="str">
        <f>IFERROR(__xludf.DUMMYFUNCTION("""COMPUTED_VALUE"""),"USA")</f>
        <v>USA</v>
      </c>
      <c r="C19" s="52" t="str">
        <f>IFERROR(__xludf.DUMMYFUNCTION("""COMPUTED_VALUE"""),"https://hoodedhorse.com/")</f>
        <v>https://hoodedhorse.com/</v>
      </c>
      <c r="D19" s="55" t="str">
        <f>IFERROR(__xludf.DUMMYFUNCTION("""COMPUTED_VALUE"""),"https://hoodedhorse.com/developers/")</f>
        <v>https://hoodedhorse.com/developers/</v>
      </c>
      <c r="E19" s="40" t="str">
        <f>IFERROR(__xludf.DUMMYFUNCTION("""COMPUTED_VALUE"""),"publishing@hoodedhorse.com")</f>
        <v>publishing@hoodedhorse.com</v>
      </c>
      <c r="F19" s="56" t="str">
        <f>IFERROR(__xludf.DUMMYFUNCTION("""COMPUTED_VALUE"""),"James Gardiner")</f>
        <v>James Gardiner</v>
      </c>
      <c r="G19" s="59" t="str">
        <f>IFERROR(__xludf.DUMMYFUNCTION("""COMPUTED_VALUE"""),"https://store.steampowered.com/publisher/HoodedHorse")</f>
        <v>https://store.steampowered.com/publisher/HoodedHorse</v>
      </c>
      <c r="H19" s="61" t="str">
        <f>IFERROR(__xludf.DUMMYFUNCTION("""COMPUTED_VALUE"""),"https://gamalytic.com/publisher/Hooded%20Horse")</f>
        <v>https://gamalytic.com/publisher/Hooded%20Horse</v>
      </c>
      <c r="I19" s="62" t="str">
        <f>IFERROR(__xludf.DUMMYFUNCTION("""COMPUTED_VALUE"""),"130K")</f>
        <v>130K</v>
      </c>
      <c r="J19" s="63">
        <f>IFERROR(__xludf.DUMMYFUNCTION("""COMPUTED_VALUE"""),30.0)</f>
        <v>30</v>
      </c>
      <c r="K19" s="64" t="str">
        <f>IFERROR(__xludf.DUMMYFUNCTION("""COMPUTED_VALUE"""),"Mar 2017")</f>
        <v>Mar 2017</v>
      </c>
      <c r="L19" s="64" t="str">
        <f>IFERROR(__xludf.DUMMYFUNCTION("""COMPUTED_VALUE"""),"Oct 2026")</f>
        <v>Oct 2026</v>
      </c>
      <c r="M19" s="65">
        <f>IFERROR(__xludf.DUMMYFUNCTION("""COMPUTED_VALUE"""),3.05981569E8)</f>
        <v>305981569</v>
      </c>
      <c r="N19" s="65">
        <f>IFERROR(__xludf.DUMMYFUNCTION("""COMPUTED_VALUE"""),1.01993856333333E7)</f>
        <v>10199385.63</v>
      </c>
      <c r="O19" s="65">
        <f>IFERROR(__xludf.DUMMYFUNCTION("""COMPUTED_VALUE"""),5401521.5)</f>
        <v>5401521.5</v>
      </c>
      <c r="P19" s="66" t="str">
        <f>IFERROR(__xludf.DUMMYFUNCTION("""COMPUTED_VALUE"""),"AA")</f>
        <v>AA</v>
      </c>
      <c r="Q19" s="64" t="str">
        <f>IFERROR(__xludf.DUMMYFUNCTION("""COMPUTED_VALUE"""),"$$, $$$")</f>
        <v>$$, $$$</v>
      </c>
      <c r="R19" s="68" t="str">
        <f>IFERROR(__xludf.DUMMYFUNCTION("""COMPUTED_VALUE"""),"★★★")</f>
        <v>★★★</v>
      </c>
      <c r="S19" s="25" t="str">
        <f>IFERROR(__xludf.DUMMYFUNCTION("""COMPUTED_VALUE"""),"Grand Strategy, City Builder, Base Building, Management, Sandbox, Turn-Based Strategy, Economy, Colony Sim, 4X, Resource Management")</f>
        <v>Grand Strategy, City Builder, Base Building, Management, Sandbox, Turn-Based Strategy, Economy, Colony Sim, 4X, Resource Management</v>
      </c>
      <c r="T19" s="40" t="str">
        <f>IFERROR(__xludf.DUMMYFUNCTION("""COMPUTED_VALUE"""),"Manor Lords, Against the Storm, Heroes of Might and Magic: Olden Era, 9 Kings, MENACE")</f>
        <v>Manor Lords, Against the Storm, Heroes of Might and Magic: Olden Era, 9 Kings, MENACE</v>
      </c>
      <c r="U19" s="69" t="str">
        <f>IFERROR(__xludf.DUMMYFUNCTION("""COMPUTED_VALUE"""),"Strictly publish strategy, simulation, and roguelike games. You can think of Hooded Horse as a Paradox alternative. They have had jawdropping success in a very short span of time. They offer financing and sometimes work with other parties to arrange fundi"&amp;"ng.")</f>
        <v>Strictly publish strategy, simulation, and roguelike games. You can think of Hooded Horse as a Paradox alternative. They have had jawdropping success in a very short span of time. They offer financing and sometimes work with other parties to arrange funding.</v>
      </c>
    </row>
    <row r="20">
      <c r="A20" s="49" t="str">
        <f>IFERROR(__xludf.DUMMYFUNCTION("""COMPUTED_VALUE"""),"RokaPlay")</f>
        <v>RokaPlay</v>
      </c>
      <c r="B20" s="40" t="str">
        <f>IFERROR(__xludf.DUMMYFUNCTION("""COMPUTED_VALUE"""),"Germany")</f>
        <v>Germany</v>
      </c>
      <c r="C20" s="52" t="str">
        <f>IFERROR(__xludf.DUMMYFUNCTION("""COMPUTED_VALUE"""),"https://www.rokaplay.com/home")</f>
        <v>https://www.rokaplay.com/home</v>
      </c>
      <c r="D20" s="40" t="str">
        <f>IFERROR(__xludf.DUMMYFUNCTION("""COMPUTED_VALUE"""),"-")</f>
        <v>-</v>
      </c>
      <c r="E20" s="55" t="str">
        <f>IFERROR(__xludf.DUMMYFUNCTION("""COMPUTED_VALUE"""),"https://form.asana.com/?hash=bf71a1c626d56f46682e1c2fd3c288becaf9bd530a6b5e697186a0f2c7175ec5&amp;id=1182547895946643")</f>
        <v>https://form.asana.com/?hash=bf71a1c626d56f46682e1c2fd3c288becaf9bd530a6b5e697186a0f2c7175ec5&amp;id=1182547895946643</v>
      </c>
      <c r="F20" s="56" t="str">
        <f>IFERROR(__xludf.DUMMYFUNCTION("""COMPUTED_VALUE"""),"?")</f>
        <v>?</v>
      </c>
      <c r="G20" s="59" t="str">
        <f>IFERROR(__xludf.DUMMYFUNCTION("""COMPUTED_VALUE"""),"https://store.steampowered.com/publisher/rokaplay")</f>
        <v>https://store.steampowered.com/publisher/rokaplay</v>
      </c>
      <c r="H20" s="61" t="str">
        <f>IFERROR(__xludf.DUMMYFUNCTION("""COMPUTED_VALUE"""),"https://gamalytic.com/publisher/rokaplay")</f>
        <v>https://gamalytic.com/publisher/rokaplay</v>
      </c>
      <c r="I20" s="62" t="str">
        <f>IFERROR(__xludf.DUMMYFUNCTION("""COMPUTED_VALUE"""),"22K")</f>
        <v>22K</v>
      </c>
      <c r="J20" s="63">
        <f>IFERROR(__xludf.DUMMYFUNCTION("""COMPUTED_VALUE"""),15.0)</f>
        <v>15</v>
      </c>
      <c r="K20" s="64" t="str">
        <f>IFERROR(__xludf.DUMMYFUNCTION("""COMPUTED_VALUE"""),"Jul 2014")</f>
        <v>Jul 2014</v>
      </c>
      <c r="L20" s="64" t="str">
        <f>IFERROR(__xludf.DUMMYFUNCTION("""COMPUTED_VALUE"""),"Aug 2026")</f>
        <v>Aug 2026</v>
      </c>
      <c r="M20" s="65">
        <f>IFERROR(__xludf.DUMMYFUNCTION("""COMPUTED_VALUE"""),6120165.0)</f>
        <v>6120165</v>
      </c>
      <c r="N20" s="65">
        <f>IFERROR(__xludf.DUMMYFUNCTION("""COMPUTED_VALUE"""),3060082.5)</f>
        <v>3060082.5</v>
      </c>
      <c r="O20" s="65">
        <f>IFERROR(__xludf.DUMMYFUNCTION("""COMPUTED_VALUE"""),3060082.5)</f>
        <v>3060082.5</v>
      </c>
      <c r="P20" s="66" t="str">
        <f>IFERROR(__xludf.DUMMYFUNCTION("""COMPUTED_VALUE"""),"Indie")</f>
        <v>Indie</v>
      </c>
      <c r="Q20" s="64" t="str">
        <f>IFERROR(__xludf.DUMMYFUNCTION("""COMPUTED_VALUE"""),"$, $$")</f>
        <v>$, $$</v>
      </c>
      <c r="R20" s="68" t="str">
        <f>IFERROR(__xludf.DUMMYFUNCTION("""COMPUTED_VALUE"""),"★")</f>
        <v>★</v>
      </c>
      <c r="S20" s="25" t="str">
        <f>IFERROR(__xludf.DUMMYFUNCTION("""COMPUTED_VALUE"""),"Crafting, Open World Survival Craft, Base Building, Co-op, Open World, Farming Sim, Sandbox, Puzzle")</f>
        <v>Crafting, Open World Survival Craft, Base Building, Co-op, Open World, Farming Sim, Sandbox, Puzzle</v>
      </c>
      <c r="T20" s="40" t="str">
        <f>IFERROR(__xludf.DUMMYFUNCTION("""COMPUTED_VALUE"""),"SolarPunk, Super Dungeon Maker")</f>
        <v>SolarPunk, Super Dungeon Maker</v>
      </c>
      <c r="U20" s="69" t="str">
        <f>IFERROR(__xludf.DUMMYFUNCTION("""COMPUTED_VALUE"""),"They are only interested in cosy, family-friendly games with that is a good fit for Switch porting")</f>
        <v>They are only interested in cosy, family-friendly games with that is a good fit for Switch porting</v>
      </c>
    </row>
    <row r="21">
      <c r="A21" s="49" t="str">
        <f>IFERROR(__xludf.DUMMYFUNCTION("""COMPUTED_VALUE"""),"Envar Publishing")</f>
        <v>Envar Publishing</v>
      </c>
      <c r="B21" s="40" t="str">
        <f>IFERROR(__xludf.DUMMYFUNCTION("""COMPUTED_VALUE"""),"Sweden")</f>
        <v>Sweden</v>
      </c>
      <c r="C21" s="52" t="str">
        <f>IFERROR(__xludf.DUMMYFUNCTION("""COMPUTED_VALUE"""),"https://www.envarstudio.com/")</f>
        <v>https://www.envarstudio.com/</v>
      </c>
      <c r="D21" s="55" t="str">
        <f>IFERROR(__xludf.DUMMYFUNCTION("""COMPUTED_VALUE"""),"https://www.envarstudio.com/publishing")</f>
        <v>https://www.envarstudio.com/publishing</v>
      </c>
      <c r="E21" s="40"/>
      <c r="F21" s="56" t="str">
        <f>IFERROR(__xludf.DUMMYFUNCTION("""COMPUTED_VALUE"""),"Liam O'Neill")</f>
        <v>Liam O'Neill</v>
      </c>
      <c r="G21" s="59" t="str">
        <f>IFERROR(__xludf.DUMMYFUNCTION("""COMPUTED_VALUE"""),"https://store.steampowered.com/search/?publisher=Envar%20Publishing")</f>
        <v>https://store.steampowered.com/search/?publisher=Envar%20Publishing</v>
      </c>
      <c r="H21" s="61" t="str">
        <f>IFERROR(__xludf.DUMMYFUNCTION("""COMPUTED_VALUE"""),"https://gamalytic.com/publisher/Envar%20Publishing")</f>
        <v>https://gamalytic.com/publisher/Envar%20Publishing</v>
      </c>
      <c r="I21" s="62" t="str">
        <f>IFERROR(__xludf.DUMMYFUNCTION("""COMPUTED_VALUE"""),"-")</f>
        <v>-</v>
      </c>
      <c r="J21" s="63">
        <f>IFERROR(__xludf.DUMMYFUNCTION("""COMPUTED_VALUE"""),1.0)</f>
        <v>1</v>
      </c>
      <c r="K21" s="64" t="str">
        <f>IFERROR(__xludf.DUMMYFUNCTION("""COMPUTED_VALUE"""),"Jun 2026")</f>
        <v>Jun 2026</v>
      </c>
      <c r="L21" s="64" t="str">
        <f>IFERROR(__xludf.DUMMYFUNCTION("""COMPUTED_VALUE"""),"Jun 2026")</f>
        <v>Jun 2026</v>
      </c>
      <c r="M21" s="65">
        <f>IFERROR(__xludf.DUMMYFUNCTION("""COMPUTED_VALUE"""),2728422.0)</f>
        <v>2728422</v>
      </c>
      <c r="N21" s="65">
        <f>IFERROR(__xludf.DUMMYFUNCTION("""COMPUTED_VALUE"""),2728422.0)</f>
        <v>2728422</v>
      </c>
      <c r="O21" s="65">
        <f>IFERROR(__xludf.DUMMYFUNCTION("""COMPUTED_VALUE"""),2728422.0)</f>
        <v>2728422</v>
      </c>
      <c r="P21" s="66" t="str">
        <f>IFERROR(__xludf.DUMMYFUNCTION("""COMPUTED_VALUE"""),"Indie")</f>
        <v>Indie</v>
      </c>
      <c r="Q21" s="64" t="str">
        <f>IFERROR(__xludf.DUMMYFUNCTION("""COMPUTED_VALUE"""),"$")</f>
        <v>$</v>
      </c>
      <c r="R21" s="68"/>
      <c r="S21" s="25" t="str">
        <f>IFERROR(__xludf.DUMMYFUNCTION("""COMPUTED_VALUE"""),"Open World Survival Craft, Survival, Crafting, Co-op, Open World, Base Building, Sandbox")</f>
        <v>Open World Survival Craft, Survival, Crafting, Co-op, Open World, Base Building, Sandbox</v>
      </c>
      <c r="T21" s="40"/>
      <c r="U21" s="69"/>
    </row>
    <row r="22">
      <c r="A22" s="49" t="str">
        <f>IFERROR(__xludf.DUMMYFUNCTION("""COMPUTED_VALUE"""),"Kepler Interactive")</f>
        <v>Kepler Interactive</v>
      </c>
      <c r="B22" s="40" t="str">
        <f>IFERROR(__xludf.DUMMYFUNCTION("""COMPUTED_VALUE"""),"UK")</f>
        <v>UK</v>
      </c>
      <c r="C22" s="52" t="str">
        <f>IFERROR(__xludf.DUMMYFUNCTION("""COMPUTED_VALUE"""),"https://kepler-interactive.com/")</f>
        <v>https://kepler-interactive.com/</v>
      </c>
      <c r="D22" s="40" t="str">
        <f>IFERROR(__xludf.DUMMYFUNCTION("""COMPUTED_VALUE"""),"-")</f>
        <v>-</v>
      </c>
      <c r="E22" s="55" t="str">
        <f>IFERROR(__xludf.DUMMYFUNCTION("""COMPUTED_VALUE"""),"https://kepler-interactive.com/form")</f>
        <v>https://kepler-interactive.com/form</v>
      </c>
      <c r="F22" s="56" t="str">
        <f>IFERROR(__xludf.DUMMYFUNCTION("""COMPUTED_VALUE"""),"?")</f>
        <v>?</v>
      </c>
      <c r="G22" s="59" t="str">
        <f>IFERROR(__xludf.DUMMYFUNCTION("""COMPUTED_VALUE"""),"https://store.steampowered.com/publisher/kepler")</f>
        <v>https://store.steampowered.com/publisher/kepler</v>
      </c>
      <c r="H22" s="61" t="str">
        <f>IFERROR(__xludf.DUMMYFUNCTION("""COMPUTED_VALUE"""),"https://gamalytic.com/publisher/Kepler%20Interactive")</f>
        <v>https://gamalytic.com/publisher/Kepler%20Interactive</v>
      </c>
      <c r="I22" s="62" t="str">
        <f>IFERROR(__xludf.DUMMYFUNCTION("""COMPUTED_VALUE"""),"43K")</f>
        <v>43K</v>
      </c>
      <c r="J22" s="63" t="str">
        <f>IFERROR(__xludf.DUMMYFUNCTION("""COMPUTED_VALUE"""),"14")</f>
        <v>14</v>
      </c>
      <c r="K22" s="64" t="str">
        <f>IFERROR(__xludf.DUMMYFUNCTION("""COMPUTED_VALUE"""),"Aug 2017")</f>
        <v>Aug 2017</v>
      </c>
      <c r="L22" s="64" t="str">
        <f>IFERROR(__xludf.DUMMYFUNCTION("""COMPUTED_VALUE"""),"Mar 2026")</f>
        <v>Mar 2026</v>
      </c>
      <c r="M22" s="65">
        <f>IFERROR(__xludf.DUMMYFUNCTION("""COMPUTED_VALUE"""),2.83815734E8)</f>
        <v>283815734</v>
      </c>
      <c r="N22" s="65">
        <f>IFERROR(__xludf.DUMMYFUNCTION("""COMPUTED_VALUE"""),2.02725524285714E7)</f>
        <v>20272552.43</v>
      </c>
      <c r="O22" s="65">
        <f>IFERROR(__xludf.DUMMYFUNCTION("""COMPUTED_VALUE"""),2442232.0)</f>
        <v>2442232</v>
      </c>
      <c r="P22" s="66" t="str">
        <f>IFERROR(__xludf.DUMMYFUNCTION("""COMPUTED_VALUE"""),"AA")</f>
        <v>AA</v>
      </c>
      <c r="Q22" s="64" t="str">
        <f>IFERROR(__xludf.DUMMYFUNCTION("""COMPUTED_VALUE"""),"$$, $$$")</f>
        <v>$$, $$$</v>
      </c>
      <c r="R22" s="68" t="str">
        <f>IFERROR(__xludf.DUMMYFUNCTION("""COMPUTED_VALUE"""),"★★★")</f>
        <v>★★★</v>
      </c>
      <c r="S22" s="25" t="str">
        <f>IFERROR(__xludf.DUMMYFUNCTION("""COMPUTED_VALUE"""),"Turn-Based Combat, JRPG, Football (Soccer), Action RPG, Martial Arts, Souls-like, Co-op, Beat 'em up, Driving, Party-Based RPG")</f>
        <v>Turn-Based Combat, JRPG, Football (Soccer), Action RPG, Martial Arts, Souls-like, Co-op, Beat 'em up, Driving, Party-Based RPG</v>
      </c>
      <c r="T22" s="40" t="str">
        <f>IFERROR(__xludf.DUMMYFUNCTION("""COMPUTED_VALUE"""),"Clair Obscur: Expedition 33, Rematch, Sifu, Scorn")</f>
        <v>Clair Obscur: Expedition 33, Rematch, Sifu, Scorn</v>
      </c>
      <c r="U22" s="69" t="str">
        <f>IFERROR(__xludf.DUMMYFUNCTION("""COMPUTED_VALUE"""),"Kowloon Night's page (a publisher formerly focused on indies) now also redirects to Kepler's. Seems to be pivoting more to AA or AAA production?")</f>
        <v>Kowloon Night's page (a publisher formerly focused on indies) now also redirects to Kepler's. Seems to be pivoting more to AA or AAA production?</v>
      </c>
    </row>
    <row r="23">
      <c r="A23" s="49" t="str">
        <f>IFERROR(__xludf.DUMMYFUNCTION("""COMPUTED_VALUE"""),"Focus Entertainment")</f>
        <v>Focus Entertainment</v>
      </c>
      <c r="B23" s="40" t="str">
        <f>IFERROR(__xludf.DUMMYFUNCTION("""COMPUTED_VALUE"""),"France")</f>
        <v>France</v>
      </c>
      <c r="C23" s="52" t="str">
        <f>IFERROR(__xludf.DUMMYFUNCTION("""COMPUTED_VALUE"""),"https://www.focus-entmt.com/en")</f>
        <v>https://www.focus-entmt.com/en</v>
      </c>
      <c r="D23" s="40" t="str">
        <f>IFERROR(__xludf.DUMMYFUNCTION("""COMPUTED_VALUE"""),"-")</f>
        <v>-</v>
      </c>
      <c r="E23" s="40" t="str">
        <f>IFERROR(__xludf.DUMMYFUNCTION("""COMPUTED_VALUE"""),"publishing@focusent.com")</f>
        <v>publishing@focusent.com</v>
      </c>
      <c r="F23" s="56" t="str">
        <f>IFERROR(__xludf.DUMMYFUNCTION("""COMPUTED_VALUE"""),"Yves Le Yaouanq, Cecile Flechon,  Frank Meijer")</f>
        <v>Yves Le Yaouanq, Cecile Flechon,  Frank Meijer</v>
      </c>
      <c r="G23" s="59" t="str">
        <f>IFERROR(__xludf.DUMMYFUNCTION("""COMPUTED_VALUE"""),"https://store.steampowered.com/developer/Focus")</f>
        <v>https://store.steampowered.com/developer/Focus</v>
      </c>
      <c r="H23" s="61" t="str">
        <f>IFERROR(__xludf.DUMMYFUNCTION("""COMPUTED_VALUE"""),"https://gamalytic.com/publisher/Focus%20Entertainment")</f>
        <v>https://gamalytic.com/publisher/Focus%20Entertainment</v>
      </c>
      <c r="I23" s="62" t="str">
        <f>IFERROR(__xludf.DUMMYFUNCTION("""COMPUTED_VALUE"""),"214K")</f>
        <v>214K</v>
      </c>
      <c r="J23" s="63" t="str">
        <f>IFERROR(__xludf.DUMMYFUNCTION("""COMPUTED_VALUE"""),"71")</f>
        <v>71</v>
      </c>
      <c r="K23" s="64" t="str">
        <f>IFERROR(__xludf.DUMMYFUNCTION("""COMPUTED_VALUE"""),"Mar 2007")</f>
        <v>Mar 2007</v>
      </c>
      <c r="L23" s="64" t="str">
        <f>IFERROR(__xludf.DUMMYFUNCTION("""COMPUTED_VALUE"""),"Sep 2026")</f>
        <v>Sep 2026</v>
      </c>
      <c r="M23" s="65">
        <f>IFERROR(__xludf.DUMMYFUNCTION("""COMPUTED_VALUE"""),6.97585952E8)</f>
        <v>697585952</v>
      </c>
      <c r="N23" s="65">
        <f>IFERROR(__xludf.DUMMYFUNCTION("""COMPUTED_VALUE"""),9825154.25352112)</f>
        <v>9825154.254</v>
      </c>
      <c r="O23" s="65">
        <f>IFERROR(__xludf.DUMMYFUNCTION("""COMPUTED_VALUE"""),2159644.0)</f>
        <v>2159644</v>
      </c>
      <c r="P23" s="66" t="str">
        <f>IFERROR(__xludf.DUMMYFUNCTION("""COMPUTED_VALUE"""),"AAA")</f>
        <v>AAA</v>
      </c>
      <c r="Q23" s="64" t="str">
        <f>IFERROR(__xludf.DUMMYFUNCTION("""COMPUTED_VALUE"""),"$$, $$$")</f>
        <v>$$, $$$</v>
      </c>
      <c r="R23" s="68" t="str">
        <f>IFERROR(__xludf.DUMMYFUNCTION("""COMPUTED_VALUE"""),"★★★")</f>
        <v>★★★</v>
      </c>
      <c r="S23" s="25" t="str">
        <f>IFERROR(__xludf.DUMMYFUNCTION("""COMPUTED_VALUE"""),"Co-op, Open World, Action-Adventure, FPS, Shooter, Horror, Driving, Automobile Sim, Life Sim")</f>
        <v>Co-op, Open World, Action-Adventure, FPS, Shooter, Horror, Driving, Automobile Sim, Life Sim</v>
      </c>
      <c r="T23" s="40" t="str">
        <f>IFERROR(__xludf.DUMMYFUNCTION("""COMPUTED_VALUE"""),"A Plague Tale, Space Marines, Boltgun, Dordogne, Chants of Sennaar")</f>
        <v>A Plague Tale, Space Marines, Boltgun, Dordogne, Chants of Sennaar</v>
      </c>
      <c r="U23" s="69" t="str">
        <f>IFERROR(__xludf.DUMMYFUNCTION("""COMPUTED_VALUE"""),"They only publish $2M+ games, very leaning towards III, AA and AAA quality games.")</f>
        <v>They only publish $2M+ games, very leaning towards III, AA and AAA quality games.</v>
      </c>
    </row>
    <row r="24">
      <c r="A24" s="49" t="str">
        <f>IFERROR(__xludf.DUMMYFUNCTION("""COMPUTED_VALUE"""),"Playstack")</f>
        <v>Playstack</v>
      </c>
      <c r="B24" s="40" t="str">
        <f>IFERROR(__xludf.DUMMYFUNCTION("""COMPUTED_VALUE"""),"UK")</f>
        <v>UK</v>
      </c>
      <c r="C24" s="52" t="str">
        <f>IFERROR(__xludf.DUMMYFUNCTION("""COMPUTED_VALUE"""),"https://playstack.com/")</f>
        <v>https://playstack.com/</v>
      </c>
      <c r="D24" s="40" t="str">
        <f>IFERROR(__xludf.DUMMYFUNCTION("""COMPUTED_VALUE"""),"-")</f>
        <v>-</v>
      </c>
      <c r="E24" s="55" t="str">
        <f>IFERROR(__xludf.DUMMYFUNCTION("""COMPUTED_VALUE"""),"https://playstack.com/#pitch")</f>
        <v>https://playstack.com/#pitch</v>
      </c>
      <c r="F24" s="56" t="str">
        <f>IFERROR(__xludf.DUMMYFUNCTION("""COMPUTED_VALUE"""),"Naman Budhwar")</f>
        <v>Naman Budhwar</v>
      </c>
      <c r="G24" s="59" t="str">
        <f>IFERROR(__xludf.DUMMYFUNCTION("""COMPUTED_VALUE"""),"https://store.steampowered.com/publisher/Playstack")</f>
        <v>https://store.steampowered.com/publisher/Playstack</v>
      </c>
      <c r="H24" s="61" t="str">
        <f>IFERROR(__xludf.DUMMYFUNCTION("""COMPUTED_VALUE"""),"https://gamalytic.com/publisher/Playstack")</f>
        <v>https://gamalytic.com/publisher/Playstack</v>
      </c>
      <c r="I24" s="62" t="str">
        <f>IFERROR(__xludf.DUMMYFUNCTION("""COMPUTED_VALUE"""),"22K")</f>
        <v>22K</v>
      </c>
      <c r="J24" s="63">
        <f>IFERROR(__xludf.DUMMYFUNCTION("""COMPUTED_VALUE"""),17.0)</f>
        <v>17</v>
      </c>
      <c r="K24" s="64" t="str">
        <f>IFERROR(__xludf.DUMMYFUNCTION("""COMPUTED_VALUE"""),"Nov 2019")</f>
        <v>Nov 2019</v>
      </c>
      <c r="L24" s="64" t="str">
        <f>IFERROR(__xludf.DUMMYFUNCTION("""COMPUTED_VALUE"""),"Oct 2026")</f>
        <v>Oct 2026</v>
      </c>
      <c r="M24" s="65">
        <f>IFERROR(__xludf.DUMMYFUNCTION("""COMPUTED_VALUE"""),1.71156347E8)</f>
        <v>171156347</v>
      </c>
      <c r="N24" s="65">
        <f>IFERROR(__xludf.DUMMYFUNCTION("""COMPUTED_VALUE"""),1.00680204117647E7)</f>
        <v>10068020.41</v>
      </c>
      <c r="O24" s="65">
        <f>IFERROR(__xludf.DUMMYFUNCTION("""COMPUTED_VALUE"""),2123509.0)</f>
        <v>2123509</v>
      </c>
      <c r="P24" s="66" t="str">
        <f>IFERROR(__xludf.DUMMYFUNCTION("""COMPUTED_VALUE"""),"AA")</f>
        <v>AA</v>
      </c>
      <c r="Q24" s="64" t="str">
        <f>IFERROR(__xludf.DUMMYFUNCTION("""COMPUTED_VALUE"""),"$$, $$$")</f>
        <v>$$, $$$</v>
      </c>
      <c r="R24" s="68" t="str">
        <f>IFERROR(__xludf.DUMMYFUNCTION("""COMPUTED_VALUE"""),"★")</f>
        <v>★</v>
      </c>
      <c r="S24" s="25" t="str">
        <f>IFERROR(__xludf.DUMMYFUNCTION("""COMPUTED_VALUE"""),"Roguelike, Roguelike Deckbuilder, Deckbuilding, Souls-like, Card Game, Survival, Co-op, Roguelite, Open World Survival Craft, Crafting")</f>
        <v>Roguelike, Roguelike Deckbuilder, Deckbuilding, Souls-like, Card Game, Survival, Co-op, Roguelite, Open World Survival Craft, Crafting</v>
      </c>
      <c r="T24" s="40" t="str">
        <f>IFERROR(__xludf.DUMMYFUNCTION("""COMPUTED_VALUE"""),"Balatro, The Case of the Golden Idol, Mortal Shell, The Entropy Center")</f>
        <v>Balatro, The Case of the Golden Idol, Mortal Shell, The Entropy Center</v>
      </c>
      <c r="U24" s="69" t="str">
        <f>IFERROR(__xludf.DUMMYFUNCTION("""COMPUTED_VALUE"""),"-")</f>
        <v>-</v>
      </c>
    </row>
    <row r="25">
      <c r="A25" s="49" t="str">
        <f>IFERROR(__xludf.DUMMYFUNCTION("""COMPUTED_VALUE"""),"Sidekick Publishing")</f>
        <v>Sidekick Publishing</v>
      </c>
      <c r="B25" s="40" t="str">
        <f>IFERROR(__xludf.DUMMYFUNCTION("""COMPUTED_VALUE"""),"Germany")</f>
        <v>Germany</v>
      </c>
      <c r="C25" s="52" t="str">
        <f>IFERROR(__xludf.DUMMYFUNCTION("""COMPUTED_VALUE"""),"https://sidekickpublishing.com/")</f>
        <v>https://sidekickpublishing.com/</v>
      </c>
      <c r="D25" s="40"/>
      <c r="E25" s="40"/>
      <c r="F25" s="56" t="str">
        <f>IFERROR(__xludf.DUMMYFUNCTION("""COMPUTED_VALUE"""),"Melvin Frank")</f>
        <v>Melvin Frank</v>
      </c>
      <c r="G25" s="59" t="str">
        <f>IFERROR(__xludf.DUMMYFUNCTION("""COMPUTED_VALUE"""),"https://store.steampowered.com/publisher/sidekick")</f>
        <v>https://store.steampowered.com/publisher/sidekick</v>
      </c>
      <c r="H25" s="61" t="str">
        <f>IFERROR(__xludf.DUMMYFUNCTION("""COMPUTED_VALUE"""),"https://gamalytic.com/publisher/Sidekick%20Publishing")</f>
        <v>https://gamalytic.com/publisher/Sidekick%20Publishing</v>
      </c>
      <c r="I25" s="62" t="str">
        <f>IFERROR(__xludf.DUMMYFUNCTION("""COMPUTED_VALUE"""),"49K")</f>
        <v>49K</v>
      </c>
      <c r="J25" s="63">
        <f>IFERROR(__xludf.DUMMYFUNCTION("""COMPUTED_VALUE"""),9.0)</f>
        <v>9</v>
      </c>
      <c r="K25" s="64" t="str">
        <f>IFERROR(__xludf.DUMMYFUNCTION("""COMPUTED_VALUE"""),"Jul 2024")</f>
        <v>Jul 2024</v>
      </c>
      <c r="L25" s="64" t="str">
        <f>IFERROR(__xludf.DUMMYFUNCTION("""COMPUTED_VALUE"""),"Sep 2026")</f>
        <v>Sep 2026</v>
      </c>
      <c r="M25" s="65">
        <f>IFERROR(__xludf.DUMMYFUNCTION("""COMPUTED_VALUE"""),2.5842772E7)</f>
        <v>25842772</v>
      </c>
      <c r="N25" s="65">
        <f>IFERROR(__xludf.DUMMYFUNCTION("""COMPUTED_VALUE"""),2871419.11111111)</f>
        <v>2871419.111</v>
      </c>
      <c r="O25" s="65">
        <f>IFERROR(__xludf.DUMMYFUNCTION("""COMPUTED_VALUE"""),1928557.0)</f>
        <v>1928557</v>
      </c>
      <c r="P25" s="66" t="str">
        <f>IFERROR(__xludf.DUMMYFUNCTION("""COMPUTED_VALUE"""),"Indie")</f>
        <v>Indie</v>
      </c>
      <c r="Q25" s="64" t="str">
        <f>IFERROR(__xludf.DUMMYFUNCTION("""COMPUTED_VALUE"""),"$, $$")</f>
        <v>$, $$</v>
      </c>
      <c r="R25" s="68" t="str">
        <f>IFERROR(__xludf.DUMMYFUNCTION("""COMPUTED_VALUE"""),"★★")</f>
        <v>★★</v>
      </c>
      <c r="S25" s="25" t="str">
        <f>IFERROR(__xludf.DUMMYFUNCTION("""COMPUTED_VALUE"""),"Roguelike, Roguelite, Deckbuilding, Auto Battler, Roguelike Deckbuilder, Card Game, Action Roguelike, Turn-Based Strategy, Turn-Based Combat")</f>
        <v>Roguelike, Roguelite, Deckbuilding, Auto Battler, Roguelike Deckbuilder, Card Game, Action Roguelike, Turn-Based Strategy, Turn-Based Combat</v>
      </c>
      <c r="T25" s="40" t="str">
        <f>IFERROR(__xludf.DUMMYFUNCTION("""COMPUTED_VALUE"""),"9 Kings, Deadly Days: Roadtrip, Dwarves: Glory, Death and Loot")</f>
        <v>9 Kings, Deadly Days: Roadtrip, Dwarves: Glory, Death and Loot</v>
      </c>
      <c r="U25" s="69" t="str">
        <f>IFERROR(__xludf.DUMMYFUNCTION("""COMPUTED_VALUE"""),"Indie Publisher with background as content creators and creative agency. primarly working with games with high streamability")</f>
        <v>Indie Publisher with background as content creators and creative agency. primarly working with games with high streamability</v>
      </c>
    </row>
    <row r="26">
      <c r="A26" s="49" t="str">
        <f>IFERROR(__xludf.DUMMYFUNCTION("""COMPUTED_VALUE"""),"11 bit studios")</f>
        <v>11 bit studios</v>
      </c>
      <c r="B26" s="40" t="str">
        <f>IFERROR(__xludf.DUMMYFUNCTION("""COMPUTED_VALUE"""),"Poland")</f>
        <v>Poland</v>
      </c>
      <c r="C26" s="52" t="str">
        <f>IFERROR(__xludf.DUMMYFUNCTION("""COMPUTED_VALUE"""),"https://11bitstudios.com")</f>
        <v>https://11bitstudios.com</v>
      </c>
      <c r="D26" s="55" t="str">
        <f>IFERROR(__xludf.DUMMYFUNCTION("""COMPUTED_VALUE"""),"https://11bitstudios.com/publishing/")</f>
        <v>https://11bitstudios.com/publishing/</v>
      </c>
      <c r="E26" s="55" t="str">
        <f>IFERROR(__xludf.DUMMYFUNCTION("""COMPUTED_VALUE"""),"https://11bitstudios.com/submit-your-game/")</f>
        <v>https://11bitstudios.com/submit-your-game/</v>
      </c>
      <c r="F26" s="56" t="str">
        <f>IFERROR(__xludf.DUMMYFUNCTION("""COMPUTED_VALUE"""),"Chris Wigley")</f>
        <v>Chris Wigley</v>
      </c>
      <c r="G26" s="59" t="str">
        <f>IFERROR(__xludf.DUMMYFUNCTION("""COMPUTED_VALUE"""),"https://store.steampowered.com/developer/11bitstudios")</f>
        <v>https://store.steampowered.com/developer/11bitstudios</v>
      </c>
      <c r="H26" s="61" t="str">
        <f>IFERROR(__xludf.DUMMYFUNCTION("""COMPUTED_VALUE"""),"https://gamalytic.com/publisher/11%20bit%20studios")</f>
        <v>https://gamalytic.com/publisher/11%20bit%20studios</v>
      </c>
      <c r="I26" s="62" t="str">
        <f>IFERROR(__xludf.DUMMYFUNCTION("""COMPUTED_VALUE"""),"1.1M")</f>
        <v>1.1M</v>
      </c>
      <c r="J26" s="63" t="str">
        <f>IFERROR(__xludf.DUMMYFUNCTION("""COMPUTED_VALUE"""),"21")</f>
        <v>21</v>
      </c>
      <c r="K26" s="64" t="str">
        <f>IFERROR(__xludf.DUMMYFUNCTION("""COMPUTED_VALUE"""),"Apr 2011")</f>
        <v>Apr 2011</v>
      </c>
      <c r="L26" s="64" t="str">
        <f>IFERROR(__xludf.DUMMYFUNCTION("""COMPUTED_VALUE"""),"Sep 2026")</f>
        <v>Sep 2026</v>
      </c>
      <c r="M26" s="65">
        <f>IFERROR(__xludf.DUMMYFUNCTION("""COMPUTED_VALUE"""),1.77143746E8)</f>
        <v>177143746</v>
      </c>
      <c r="N26" s="65">
        <f>IFERROR(__xludf.DUMMYFUNCTION("""COMPUTED_VALUE"""),8435416.47619047)</f>
        <v>8435416.476</v>
      </c>
      <c r="O26" s="65">
        <f>IFERROR(__xludf.DUMMYFUNCTION("""COMPUTED_VALUE"""),1914975.0)</f>
        <v>1914975</v>
      </c>
      <c r="P26" s="66" t="str">
        <f>IFERROR(__xludf.DUMMYFUNCTION("""COMPUTED_VALUE"""),"AA")</f>
        <v>AA</v>
      </c>
      <c r="Q26" s="64" t="str">
        <f>IFERROR(__xludf.DUMMYFUNCTION("""COMPUTED_VALUE"""),"$$, $$$")</f>
        <v>$$, $$$</v>
      </c>
      <c r="R26" s="68" t="str">
        <f>IFERROR(__xludf.DUMMYFUNCTION("""COMPUTED_VALUE"""),"★★★")</f>
        <v>★★★</v>
      </c>
      <c r="S26" s="25" t="str">
        <f>IFERROR(__xludf.DUMMYFUNCTION("""COMPUTED_VALUE"""),"Survival, Resource Management, City Builder, Base Building, Management, Roguelike, Hack and Slash, Colony Sim, Roguelite, Action Roguelike")</f>
        <v>Survival, Resource Management, City Builder, Base Building, Management, Roguelike, Hack and Slash, Colony Sim, Roguelite, Action Roguelike</v>
      </c>
      <c r="T26" s="40" t="str">
        <f>IFERROR(__xludf.DUMMYFUNCTION("""COMPUTED_VALUE"""),"Frostpunk, Children of Morta, This War of Mine, Moonlighter, Indika")</f>
        <v>Frostpunk, Children of Morta, This War of Mine, Moonlighter, Indika</v>
      </c>
      <c r="U26" s="69" t="str">
        <f>IFERROR(__xludf.DUMMYFUNCTION("""COMPUTED_VALUE"""),"They're looking for meaningful, unique titles with impactful elements – be it in mechanical or narrative layer of the game. Not genre-driven. Usually with strong narrative/lore.")</f>
        <v>They're looking for meaningful, unique titles with impactful elements – be it in mechanical or narrative layer of the game. Not genre-driven. Usually with strong narrative/lore.</v>
      </c>
    </row>
    <row r="27">
      <c r="A27" s="49" t="str">
        <f>IFERROR(__xludf.DUMMYFUNCTION("""COMPUTED_VALUE"""),"Big Cheese Studio")</f>
        <v>Big Cheese Studio</v>
      </c>
      <c r="B27" s="40" t="str">
        <f>IFERROR(__xludf.DUMMYFUNCTION("""COMPUTED_VALUE"""),"Poland")</f>
        <v>Poland</v>
      </c>
      <c r="C27" s="52" t="str">
        <f>IFERROR(__xludf.DUMMYFUNCTION("""COMPUTED_VALUE"""),"https://bigcheesestudio.com/index.php/en/home-eng/")</f>
        <v>https://bigcheesestudio.com/index.php/en/home-eng/</v>
      </c>
      <c r="D27" s="40" t="str">
        <f>IFERROR(__xludf.DUMMYFUNCTION("""COMPUTED_VALUE"""),"-")</f>
        <v>-</v>
      </c>
      <c r="E27" s="55" t="str">
        <f>IFERROR(__xludf.DUMMYFUNCTION("""COMPUTED_VALUE"""),"https://bigcheesestudio.com/index.php/en/contact/")</f>
        <v>https://bigcheesestudio.com/index.php/en/contact/</v>
      </c>
      <c r="F27" s="56" t="str">
        <f>IFERROR(__xludf.DUMMYFUNCTION("""COMPUTED_VALUE"""),"Mateusz Dudkowski")</f>
        <v>Mateusz Dudkowski</v>
      </c>
      <c r="G27" s="59" t="str">
        <f>IFERROR(__xludf.DUMMYFUNCTION("""COMPUTED_VALUE"""),"https://store.steampowered.com/developer/bigcheesestudio")</f>
        <v>https://store.steampowered.com/developer/bigcheesestudio</v>
      </c>
      <c r="H27" s="61" t="str">
        <f>IFERROR(__xludf.DUMMYFUNCTION("""COMPUTED_VALUE"""),"https://gamalytic.com/publisher/Big%20Cheese%20Studio")</f>
        <v>https://gamalytic.com/publisher/Big%20Cheese%20Studio</v>
      </c>
      <c r="I27" s="62" t="str">
        <f>IFERROR(__xludf.DUMMYFUNCTION("""COMPUTED_VALUE"""),"4K")</f>
        <v>4K</v>
      </c>
      <c r="J27" s="63">
        <f>IFERROR(__xludf.DUMMYFUNCTION("""COMPUTED_VALUE"""),4.0)</f>
        <v>4</v>
      </c>
      <c r="K27" s="64" t="str">
        <f>IFERROR(__xludf.DUMMYFUNCTION("""COMPUTED_VALUE"""),"Jun 2019")</f>
        <v>Jun 2019</v>
      </c>
      <c r="L27" s="64" t="str">
        <f>IFERROR(__xludf.DUMMYFUNCTION("""COMPUTED_VALUE"""),"Mar 2026")</f>
        <v>Mar 2026</v>
      </c>
      <c r="M27" s="65">
        <f>IFERROR(__xludf.DUMMYFUNCTION("""COMPUTED_VALUE"""),1.7801756E7)</f>
        <v>17801756</v>
      </c>
      <c r="N27" s="65">
        <f>IFERROR(__xludf.DUMMYFUNCTION("""COMPUTED_VALUE"""),4450439.0)</f>
        <v>4450439</v>
      </c>
      <c r="O27" s="65">
        <f>IFERROR(__xludf.DUMMYFUNCTION("""COMPUTED_VALUE"""),1880678.0)</f>
        <v>1880678</v>
      </c>
      <c r="P27" s="66" t="str">
        <f>IFERROR(__xludf.DUMMYFUNCTION("""COMPUTED_VALUE"""),"Indie")</f>
        <v>Indie</v>
      </c>
      <c r="Q27" s="64" t="str">
        <f>IFERROR(__xludf.DUMMYFUNCTION("""COMPUTED_VALUE"""),"$, $$")</f>
        <v>$, $$</v>
      </c>
      <c r="R27" s="68" t="str">
        <f>IFERROR(__xludf.DUMMYFUNCTION("""COMPUTED_VALUE"""),"★★★")</f>
        <v>★★★</v>
      </c>
      <c r="S27" s="25" t="str">
        <f>IFERROR(__xludf.DUMMYFUNCTION("""COMPUTED_VALUE"""),"Cooking, Sandbox, Co-op, VR, Management, Crafting")</f>
        <v>Cooking, Sandbox, Co-op, VR, Management, Crafting</v>
      </c>
      <c r="T27" s="40" t="str">
        <f>IFERROR(__xludf.DUMMYFUNCTION("""COMPUTED_VALUE"""),"Cooking Simulator")</f>
        <v>Cooking Simulator</v>
      </c>
      <c r="U27" s="69" t="str">
        <f>IFERROR(__xludf.DUMMYFUNCTION("""COMPUTED_VALUE"""),"Developers of Cooking Simulator who have now rolled into publishing")</f>
        <v>Developers of Cooking Simulator who have now rolled into publishing</v>
      </c>
    </row>
    <row r="28">
      <c r="A28" s="49" t="str">
        <f>IFERROR(__xludf.DUMMYFUNCTION("""COMPUTED_VALUE"""),"Square Enix Collective")</f>
        <v>Square Enix Collective</v>
      </c>
      <c r="B28" s="40" t="str">
        <f>IFERROR(__xludf.DUMMYFUNCTION("""COMPUTED_VALUE"""),"UK, Japan")</f>
        <v>UK, Japan</v>
      </c>
      <c r="C28" s="52" t="str">
        <f>IFERROR(__xludf.DUMMYFUNCTION("""COMPUTED_VALUE"""),"https://collective.square-enix.com/")</f>
        <v>https://collective.square-enix.com/</v>
      </c>
      <c r="D28" s="55" t="str">
        <f>IFERROR(__xludf.DUMMYFUNCTION("""COMPUTED_VALUE"""),"https://collective.square-enix.com/")</f>
        <v>https://collective.square-enix.com/</v>
      </c>
      <c r="E28" s="55" t="str">
        <f>IFERROR(__xludf.DUMMYFUNCTION("""COMPUTED_VALUE"""),"https://collective.square-enix-games.com/en_GB/contact")</f>
        <v>https://collective.square-enix-games.com/en_GB/contact</v>
      </c>
      <c r="F28" s="56" t="str">
        <f>IFERROR(__xludf.DUMMYFUNCTION("""COMPUTED_VALUE"""),"Csilla Budai")</f>
        <v>Csilla Budai</v>
      </c>
      <c r="G28" s="59" t="str">
        <f>IFERROR(__xludf.DUMMYFUNCTION("""COMPUTED_VALUE"""),"https://store.steampowered.com/developer/squareenix")</f>
        <v>https://store.steampowered.com/developer/squareenix</v>
      </c>
      <c r="H28" s="61" t="str">
        <f>IFERROR(__xludf.DUMMYFUNCTION("""COMPUTED_VALUE"""),"https://gamalytic.com/publisher/Square%20Enix")</f>
        <v>https://gamalytic.com/publisher/Square%20Enix</v>
      </c>
      <c r="I28" s="62" t="str">
        <f>IFERROR(__xludf.DUMMYFUNCTION("""COMPUTED_VALUE"""),"1.0M")</f>
        <v>1.0M</v>
      </c>
      <c r="J28" s="63" t="str">
        <f>IFERROR(__xludf.DUMMYFUNCTION("""COMPUTED_VALUE"""),"152")</f>
        <v>152</v>
      </c>
      <c r="K28" s="64" t="str">
        <f>IFERROR(__xludf.DUMMYFUNCTION("""COMPUTED_VALUE"""),"Mar 2007")</f>
        <v>Mar 2007</v>
      </c>
      <c r="L28" s="64" t="str">
        <f>IFERROR(__xludf.DUMMYFUNCTION("""COMPUTED_VALUE"""),"Sep 2026")</f>
        <v>Sep 2026</v>
      </c>
      <c r="M28" s="65">
        <f>IFERROR(__xludf.DUMMYFUNCTION("""COMPUTED_VALUE"""),1.031918797E9)</f>
        <v>1031918797</v>
      </c>
      <c r="N28" s="65">
        <f>IFERROR(__xludf.DUMMYFUNCTION("""COMPUTED_VALUE"""),6788939.45394736)</f>
        <v>6788939.454</v>
      </c>
      <c r="O28" s="65">
        <f>IFERROR(__xludf.DUMMYFUNCTION("""COMPUTED_VALUE"""),1859443.0)</f>
        <v>1859443</v>
      </c>
      <c r="P28" s="66" t="str">
        <f>IFERROR(__xludf.DUMMYFUNCTION("""COMPUTED_VALUE"""),"AA")</f>
        <v>AA</v>
      </c>
      <c r="Q28" s="64" t="str">
        <f>IFERROR(__xludf.DUMMYFUNCTION("""COMPUTED_VALUE"""),"$$, $$$")</f>
        <v>$$, $$$</v>
      </c>
      <c r="R28" s="68" t="str">
        <f>IFERROR(__xludf.DUMMYFUNCTION("""COMPUTED_VALUE"""),"★★★")</f>
        <v>★★★</v>
      </c>
      <c r="S28" s="25" t="str">
        <f>IFERROR(__xludf.DUMMYFUNCTION("""COMPUTED_VALUE"""),"JRPG, Open World, Action RPG, Party-Based RPG, Turn-Based Combat")</f>
        <v>JRPG, Open World, Action RPG, Party-Based RPG, Turn-Based Combat</v>
      </c>
      <c r="T28" s="40" t="str">
        <f>IFERROR(__xludf.DUMMYFUNCTION("""COMPUTED_VALUE"""),"PowerWash, Circuit Superstars, Little Goody Two Shoes")</f>
        <v>PowerWash, Circuit Superstars, Little Goody Two Shoes</v>
      </c>
      <c r="U28" s="69" t="str">
        <f>IFERROR(__xludf.DUMMYFUNCTION("""COMPUTED_VALUE"""),"This is the indie publishing and investment arm of SE. They publish games across all budget ranges, and are genre agnostic.")</f>
        <v>This is the indie publishing and investment arm of SE. They publish games across all budget ranges, and are genre agnostic.</v>
      </c>
    </row>
    <row r="29">
      <c r="A29" s="49" t="str">
        <f>IFERROR(__xludf.DUMMYFUNCTION("""COMPUTED_VALUE"""),"Offbrand Games")</f>
        <v>Offbrand Games</v>
      </c>
      <c r="B29" s="40" t="str">
        <f>IFERROR(__xludf.DUMMYFUNCTION("""COMPUTED_VALUE"""),"USA")</f>
        <v>USA</v>
      </c>
      <c r="C29" s="52" t="str">
        <f>IFERROR(__xludf.DUMMYFUNCTION("""COMPUTED_VALUE"""),"https://offbrand.gg/")</f>
        <v>https://offbrand.gg/</v>
      </c>
      <c r="D29" s="40" t="str">
        <f>IFERROR(__xludf.DUMMYFUNCTION("""COMPUTED_VALUE"""),"-")</f>
        <v>-</v>
      </c>
      <c r="E29" s="55" t="str">
        <f>IFERROR(__xludf.DUMMYFUNCTION("""COMPUTED_VALUE"""),"https://offbrand.gg/devs/")</f>
        <v>https://offbrand.gg/devs/</v>
      </c>
      <c r="F29" s="56" t="str">
        <f>IFERROR(__xludf.DUMMYFUNCTION("""COMPUTED_VALUE"""),"David Gorman, Bryan Herren")</f>
        <v>David Gorman, Bryan Herren</v>
      </c>
      <c r="G29" s="59" t="str">
        <f>IFERROR(__xludf.DUMMYFUNCTION("""COMPUTED_VALUE"""),"https://store.steampowered.com/publisher/offbrandgames")</f>
        <v>https://store.steampowered.com/publisher/offbrandgames</v>
      </c>
      <c r="H29" s="61" t="str">
        <f>IFERROR(__xludf.DUMMYFUNCTION("""COMPUTED_VALUE"""),"https://gamalytic.com/publisher/offbrand%20games")</f>
        <v>https://gamalytic.com/publisher/offbrand%20games</v>
      </c>
      <c r="I29" s="62" t="str">
        <f>IFERROR(__xludf.DUMMYFUNCTION("""COMPUTED_VALUE"""),"13K")</f>
        <v>13K</v>
      </c>
      <c r="J29" s="63">
        <f>IFERROR(__xludf.DUMMYFUNCTION("""COMPUTED_VALUE"""),4.0)</f>
        <v>4</v>
      </c>
      <c r="K29" s="64" t="str">
        <f>IFERROR(__xludf.DUMMYFUNCTION("""COMPUTED_VALUE"""),"Oct 2024")</f>
        <v>Oct 2024</v>
      </c>
      <c r="L29" s="64" t="str">
        <f>IFERROR(__xludf.DUMMYFUNCTION("""COMPUTED_VALUE"""),"Aug 2026")</f>
        <v>Aug 2026</v>
      </c>
      <c r="M29" s="65">
        <f>IFERROR(__xludf.DUMMYFUNCTION("""COMPUTED_VALUE"""),9309438.0)</f>
        <v>9309438</v>
      </c>
      <c r="N29" s="65">
        <f>IFERROR(__xludf.DUMMYFUNCTION("""COMPUTED_VALUE"""),2327359.5)</f>
        <v>2327359.5</v>
      </c>
      <c r="O29" s="65">
        <f>IFERROR(__xludf.DUMMYFUNCTION("""COMPUTED_VALUE"""),1628584.5)</f>
        <v>1628584.5</v>
      </c>
      <c r="P29" s="66" t="str">
        <f>IFERROR(__xludf.DUMMYFUNCTION("""COMPUTED_VALUE"""),"Indie")</f>
        <v>Indie</v>
      </c>
      <c r="Q29" s="64" t="str">
        <f>IFERROR(__xludf.DUMMYFUNCTION("""COMPUTED_VALUE"""),"$, $$")</f>
        <v>$, $$</v>
      </c>
      <c r="R29" s="68" t="str">
        <f>IFERROR(__xludf.DUMMYFUNCTION("""COMPUTED_VALUE"""),"?")</f>
        <v>?</v>
      </c>
      <c r="S29" s="25" t="str">
        <f>IFERROR(__xludf.DUMMYFUNCTION("""COMPUTED_VALUE"""),"Fighting, Roguelike, Creature Collector, Co-op, Party-Based RPG, JRPG, 2.5D, Dungeon Crawler, PvP")</f>
        <v>Fighting, Roguelike, Creature Collector, Co-op, Party-Based RPG, JRPG, 2.5D, Dungeon Crawler, PvP</v>
      </c>
      <c r="T29" s="40" t="str">
        <f>IFERROR(__xludf.DUMMYFUNCTION("""COMPUTED_VALUE"""),"Rivals of Aether II, Aethermancer")</f>
        <v>Rivals of Aether II, Aethermancer</v>
      </c>
      <c r="U29" s="69" t="str">
        <f>IFERROR(__xludf.DUMMYFUNCTION("""COMPUTED_VALUE"""),"Indie publisher founded by Ludwig Ahgren")</f>
        <v>Indie publisher founded by Ludwig Ahgren</v>
      </c>
    </row>
    <row r="30">
      <c r="A30" s="49" t="str">
        <f>IFERROR(__xludf.DUMMYFUNCTION("""COMPUTED_VALUE"""),"Behaviour Interactive")</f>
        <v>Behaviour Interactive</v>
      </c>
      <c r="B30" s="40" t="str">
        <f>IFERROR(__xludf.DUMMYFUNCTION("""COMPUTED_VALUE"""),"Canada")</f>
        <v>Canada</v>
      </c>
      <c r="C30" s="52" t="str">
        <f>IFERROR(__xludf.DUMMYFUNCTION("""COMPUTED_VALUE"""),"https://www.bhvr.com/")</f>
        <v>https://www.bhvr.com/</v>
      </c>
      <c r="D30" s="40" t="str">
        <f>IFERROR(__xludf.DUMMYFUNCTION("""COMPUTED_VALUE"""),"-")</f>
        <v>-</v>
      </c>
      <c r="E30" s="40" t="str">
        <f>IFERROR(__xludf.DUMMYFUNCTION("""COMPUTED_VALUE"""),"BizDev@bhvr.com")</f>
        <v>BizDev@bhvr.com</v>
      </c>
      <c r="F30" s="56" t="str">
        <f>IFERROR(__xludf.DUMMYFUNCTION("""COMPUTED_VALUE"""),"Orange Qi")</f>
        <v>Orange Qi</v>
      </c>
      <c r="G30" s="59" t="str">
        <f>IFERROR(__xludf.DUMMYFUNCTION("""COMPUTED_VALUE"""),"https://store.steampowered.com/curator/33367148")</f>
        <v>https://store.steampowered.com/curator/33367148</v>
      </c>
      <c r="H30" s="61" t="str">
        <f>IFERROR(__xludf.DUMMYFUNCTION("""COMPUTED_VALUE"""),"https://gamalytic.com/publisher/Behaviour%20Interactive%20Inc.")</f>
        <v>https://gamalytic.com/publisher/Behaviour%20Interactive%20Inc.</v>
      </c>
      <c r="I30" s="62" t="str">
        <f>IFERROR(__xludf.DUMMYFUNCTION("""COMPUTED_VALUE"""),"56K")</f>
        <v>56K</v>
      </c>
      <c r="J30" s="63" t="str">
        <f>IFERROR(__xludf.DUMMYFUNCTION("""COMPUTED_VALUE"""),"8")</f>
        <v>8</v>
      </c>
      <c r="K30" s="64" t="str">
        <f>IFERROR(__xludf.DUMMYFUNCTION("""COMPUTED_VALUE"""),"Jun 2016")</f>
        <v>Jun 2016</v>
      </c>
      <c r="L30" s="64" t="str">
        <f>IFERROR(__xludf.DUMMYFUNCTION("""COMPUTED_VALUE"""),"Apr 2026")</f>
        <v>Apr 2026</v>
      </c>
      <c r="M30" s="65">
        <f>IFERROR(__xludf.DUMMYFUNCTION("""COMPUTED_VALUE"""),1.90625289E8)</f>
        <v>190625289</v>
      </c>
      <c r="N30" s="65">
        <f>IFERROR(__xludf.DUMMYFUNCTION("""COMPUTED_VALUE"""),2.3828161125E7)</f>
        <v>23828161.13</v>
      </c>
      <c r="O30" s="65">
        <f>IFERROR(__xludf.DUMMYFUNCTION("""COMPUTED_VALUE"""),1606915.5)</f>
        <v>1606915.5</v>
      </c>
      <c r="P30" s="66" t="str">
        <f>IFERROR(__xludf.DUMMYFUNCTION("""COMPUTED_VALUE"""),"AA")</f>
        <v>AA</v>
      </c>
      <c r="Q30" s="64" t="str">
        <f>IFERROR(__xludf.DUMMYFUNCTION("""COMPUTED_VALUE"""),"$$, $$$")</f>
        <v>$$, $$$</v>
      </c>
      <c r="R30" s="68" t="str">
        <f>IFERROR(__xludf.DUMMYFUNCTION("""COMPUTED_VALUE"""),"★★★")</f>
        <v>★★★</v>
      </c>
      <c r="S30" s="25" t="str">
        <f>IFERROR(__xludf.DUMMYFUNCTION("""COMPUTED_VALUE"""),"Horror, Survival Horror, Co-op, Survival, Team-Based, Psychological Horror, Stealth")</f>
        <v>Horror, Survival Horror, Co-op, Survival, Team-Based, Psychological Horror, Stealth</v>
      </c>
      <c r="T30" s="40" t="str">
        <f>IFERROR(__xludf.DUMMYFUNCTION("""COMPUTED_VALUE"""),"Dead by Daylight, Meet Your Maker, Hooked on You")</f>
        <v>Dead by Daylight, Meet Your Maker, Hooked on You</v>
      </c>
      <c r="U30" s="69" t="str">
        <f>IFERROR(__xludf.DUMMYFUNCTION("""COMPUTED_VALUE"""),"They are especially interested in horror games.")</f>
        <v>They are especially interested in horror games.</v>
      </c>
    </row>
    <row r="31">
      <c r="A31" s="49" t="str">
        <f>IFERROR(__xludf.DUMMYFUNCTION("""COMPUTED_VALUE"""),"HypeTrain Digital")</f>
        <v>HypeTrain Digital</v>
      </c>
      <c r="B31" s="40" t="str">
        <f>IFERROR(__xludf.DUMMYFUNCTION("""COMPUTED_VALUE"""),"Cyprus")</f>
        <v>Cyprus</v>
      </c>
      <c r="C31" s="52" t="str">
        <f>IFERROR(__xludf.DUMMYFUNCTION("""COMPUTED_VALUE"""),"https://hypetraindigital.com/")</f>
        <v>https://hypetraindigital.com/</v>
      </c>
      <c r="D31" s="40" t="str">
        <f>IFERROR(__xludf.DUMMYFUNCTION("""COMPUTED_VALUE"""),"-")</f>
        <v>-</v>
      </c>
      <c r="E31" s="40" t="str">
        <f>IFERROR(__xludf.DUMMYFUNCTION("""COMPUTED_VALUE"""),"ib@hypetraindigital.com")</f>
        <v>ib@hypetraindigital.com</v>
      </c>
      <c r="F31" s="56" t="str">
        <f>IFERROR(__xludf.DUMMYFUNCTION("""COMPUTED_VALUE"""),"Ivan Bell")</f>
        <v>Ivan Bell</v>
      </c>
      <c r="G31" s="59" t="str">
        <f>IFERROR(__xludf.DUMMYFUNCTION("""COMPUTED_VALUE"""),"https://store.steampowered.com/publisher/HypeTrainDigital")</f>
        <v>https://store.steampowered.com/publisher/HypeTrainDigital</v>
      </c>
      <c r="H31" s="61" t="str">
        <f>IFERROR(__xludf.DUMMYFUNCTION("""COMPUTED_VALUE"""),"https://gamalytic.com/publisher/HypeTrain%20Digital")</f>
        <v>https://gamalytic.com/publisher/HypeTrain%20Digital</v>
      </c>
      <c r="I31" s="62" t="str">
        <f>IFERROR(__xludf.DUMMYFUNCTION("""COMPUTED_VALUE"""),"78K")</f>
        <v>78K</v>
      </c>
      <c r="J31" s="63">
        <f>IFERROR(__xludf.DUMMYFUNCTION("""COMPUTED_VALUE"""),32.0)</f>
        <v>32</v>
      </c>
      <c r="K31" s="64" t="str">
        <f>IFERROR(__xludf.DUMMYFUNCTION("""COMPUTED_VALUE"""),"Nov 2015")</f>
        <v>Nov 2015</v>
      </c>
      <c r="L31" s="64" t="str">
        <f>IFERROR(__xludf.DUMMYFUNCTION("""COMPUTED_VALUE"""),"Oct 2026")</f>
        <v>Oct 2026</v>
      </c>
      <c r="M31" s="65">
        <f>IFERROR(__xludf.DUMMYFUNCTION("""COMPUTED_VALUE"""),8.5214306E7)</f>
        <v>85214306</v>
      </c>
      <c r="N31" s="65">
        <f>IFERROR(__xludf.DUMMYFUNCTION("""COMPUTED_VALUE"""),2662947.0625)</f>
        <v>2662947.063</v>
      </c>
      <c r="O31" s="65">
        <f>IFERROR(__xludf.DUMMYFUNCTION("""COMPUTED_VALUE"""),1574380.0)</f>
        <v>1574380</v>
      </c>
      <c r="P31" s="66" t="str">
        <f>IFERROR(__xludf.DUMMYFUNCTION("""COMPUTED_VALUE"""),"AA")</f>
        <v>AA</v>
      </c>
      <c r="Q31" s="64" t="str">
        <f>IFERROR(__xludf.DUMMYFUNCTION("""COMPUTED_VALUE"""),"$$, $$$")</f>
        <v>$$, $$$</v>
      </c>
      <c r="R31" s="68" t="str">
        <f>IFERROR(__xludf.DUMMYFUNCTION("""COMPUTED_VALUE"""),"★★★")</f>
        <v>★★★</v>
      </c>
      <c r="S31" s="25" t="str">
        <f>IFERROR(__xludf.DUMMYFUNCTION("""COMPUTED_VALUE"""),"Survival, Open World Survival Craft, Roguelike, Co-op, Open World, Sandbox, Base Building, Crafting, Top-Down Shooter")</f>
        <v>Survival, Open World Survival Craft, Roguelike, Co-op, Open World, Sandbox, Base Building, Crafting, Top-Down Shooter</v>
      </c>
      <c r="T31" s="40" t="str">
        <f>IFERROR(__xludf.DUMMYFUNCTION("""COMPUTED_VALUE"""),"Stoneshard, Voidtrain, Breathedge")</f>
        <v>Stoneshard, Voidtrain, Breathedge</v>
      </c>
      <c r="U31" s="69" t="str">
        <f>IFERROR(__xludf.DUMMYFUNCTION("""COMPUTED_VALUE"""),"Mostly interested in games with high replay value. HypeTrain provides detailed feedback on gameplay. Generally works in the $100-500k budget range.")</f>
        <v>Mostly interested in games with high replay value. HypeTrain provides detailed feedback on gameplay. Generally works in the $100-500k budget range.</v>
      </c>
    </row>
    <row r="32">
      <c r="A32" s="49" t="str">
        <f>IFERROR(__xludf.DUMMYFUNCTION("""COMPUTED_VALUE"""),"Digital Bandidos")</f>
        <v>Digital Bandidos</v>
      </c>
      <c r="B32" s="40" t="str">
        <f>IFERROR(__xludf.DUMMYFUNCTION("""COMPUTED_VALUE"""),"USA, UK")</f>
        <v>USA, UK</v>
      </c>
      <c r="C32" s="52" t="str">
        <f>IFERROR(__xludf.DUMMYFUNCTION("""COMPUTED_VALUE"""),"https://digitalbandidos.com/")</f>
        <v>https://digitalbandidos.com/</v>
      </c>
      <c r="D32" s="40" t="str">
        <f>IFERROR(__xludf.DUMMYFUNCTION("""COMPUTED_VALUE"""),"-")</f>
        <v>-</v>
      </c>
      <c r="E32" s="55" t="str">
        <f>IFERROR(__xludf.DUMMYFUNCTION("""COMPUTED_VALUE"""),"https://digitalbandidos.com/submit-a-game/")</f>
        <v>https://digitalbandidos.com/submit-a-game/</v>
      </c>
      <c r="F32" s="56" t="str">
        <f>IFERROR(__xludf.DUMMYFUNCTION("""COMPUTED_VALUE"""),"Lance James")</f>
        <v>Lance James</v>
      </c>
      <c r="G32" s="59" t="str">
        <f>IFERROR(__xludf.DUMMYFUNCTION("""COMPUTED_VALUE"""),"https://store.steampowered.com/curator/45135283")</f>
        <v>https://store.steampowered.com/curator/45135283</v>
      </c>
      <c r="H32" s="61" t="str">
        <f>IFERROR(__xludf.DUMMYFUNCTION("""COMPUTED_VALUE"""),"https://gamalytic.com/publisher/Digital%20Bandidos")</f>
        <v>https://gamalytic.com/publisher/Digital%20Bandidos</v>
      </c>
      <c r="I32" s="62">
        <f>IFERROR(__xludf.DUMMYFUNCTION("""COMPUTED_VALUE"""),136.0)</f>
        <v>136</v>
      </c>
      <c r="J32" s="63">
        <f>IFERROR(__xludf.DUMMYFUNCTION("""COMPUTED_VALUE"""),4.0)</f>
        <v>4</v>
      </c>
      <c r="K32" s="64" t="str">
        <f>IFERROR(__xludf.DUMMYFUNCTION("""COMPUTED_VALUE"""),"Dec 2014")</f>
        <v>Dec 2014</v>
      </c>
      <c r="L32" s="64" t="str">
        <f>IFERROR(__xludf.DUMMYFUNCTION("""COMPUTED_VALUE"""),"May 2026")</f>
        <v>May 2026</v>
      </c>
      <c r="M32" s="65">
        <f>IFERROR(__xludf.DUMMYFUNCTION("""COMPUTED_VALUE"""),8293217.0)</f>
        <v>8293217</v>
      </c>
      <c r="N32" s="65">
        <f>IFERROR(__xludf.DUMMYFUNCTION("""COMPUTED_VALUE"""),2073304.25)</f>
        <v>2073304.25</v>
      </c>
      <c r="O32" s="65">
        <f>IFERROR(__xludf.DUMMYFUNCTION("""COMPUTED_VALUE"""),1547057.5)</f>
        <v>1547057.5</v>
      </c>
      <c r="P32" s="66" t="str">
        <f>IFERROR(__xludf.DUMMYFUNCTION("""COMPUTED_VALUE"""),"Indie")</f>
        <v>Indie</v>
      </c>
      <c r="Q32" s="64" t="str">
        <f>IFERROR(__xludf.DUMMYFUNCTION("""COMPUTED_VALUE"""),"$, $$")</f>
        <v>$, $$</v>
      </c>
      <c r="R32" s="68" t="str">
        <f>IFERROR(__xludf.DUMMYFUNCTION("""COMPUTED_VALUE"""),"?")</f>
        <v>?</v>
      </c>
      <c r="S32" s="25" t="str">
        <f>IFERROR(__xludf.DUMMYFUNCTION("""COMPUTED_VALUE"""),"Survival, Roguelite, Action Roguelike")</f>
        <v>Survival, Roguelite, Action Roguelike</v>
      </c>
      <c r="T32" s="40" t="str">
        <f>IFERROR(__xludf.DUMMYFUNCTION("""COMPUTED_VALUE"""),"Town of Salem, Traitors of Salem, Froggy Hates Snow")</f>
        <v>Town of Salem, Traitors of Salem, Froggy Hates Snow</v>
      </c>
      <c r="U32" s="69" t="str">
        <f>IFERROR(__xludf.DUMMYFUNCTION("""COMPUTED_VALUE"""),"New publisher founded by Versus Evil veterans")</f>
        <v>New publisher founded by Versus Evil veterans</v>
      </c>
    </row>
    <row r="33">
      <c r="A33" s="49" t="str">
        <f>IFERROR(__xludf.DUMMYFUNCTION("""COMPUTED_VALUE"""),"Mythwright")</f>
        <v>Mythwright</v>
      </c>
      <c r="B33" s="40" t="str">
        <f>IFERROR(__xludf.DUMMYFUNCTION("""COMPUTED_VALUE"""),"UK")</f>
        <v>UK</v>
      </c>
      <c r="C33" s="52" t="str">
        <f>IFERROR(__xludf.DUMMYFUNCTION("""COMPUTED_VALUE"""),"https://mythwright.com/")</f>
        <v>https://mythwright.com/</v>
      </c>
      <c r="D33" s="40" t="str">
        <f>IFERROR(__xludf.DUMMYFUNCTION("""COMPUTED_VALUE"""),"-")</f>
        <v>-</v>
      </c>
      <c r="E33" s="40" t="str">
        <f>IFERROR(__xludf.DUMMYFUNCTION("""COMPUTED_VALUE"""),"publishing@mythwright.com")</f>
        <v>publishing@mythwright.com</v>
      </c>
      <c r="F33" s="56"/>
      <c r="G33" s="59" t="str">
        <f>IFERROR(__xludf.DUMMYFUNCTION("""COMPUTED_VALUE"""),"https://store.steampowered.com/publisher/mythwright")</f>
        <v>https://store.steampowered.com/publisher/mythwright</v>
      </c>
      <c r="H33" s="61" t="str">
        <f>IFERROR(__xludf.DUMMYFUNCTION("""COMPUTED_VALUE"""),"https://gamalytic.com/publisher/Mythwright")</f>
        <v>https://gamalytic.com/publisher/Mythwright</v>
      </c>
      <c r="I33" s="62" t="str">
        <f>IFERROR(__xludf.DUMMYFUNCTION("""COMPUTED_VALUE"""),"5K")</f>
        <v>5K</v>
      </c>
      <c r="J33" s="63">
        <f>IFERROR(__xludf.DUMMYFUNCTION("""COMPUTED_VALUE"""),11.0)</f>
        <v>11</v>
      </c>
      <c r="K33" s="64" t="str">
        <f>IFERROR(__xludf.DUMMYFUNCTION("""COMPUTED_VALUE"""),"Apr 2015")</f>
        <v>Apr 2015</v>
      </c>
      <c r="L33" s="64" t="str">
        <f>IFERROR(__xludf.DUMMYFUNCTION("""COMPUTED_VALUE"""),"Aug 2026")</f>
        <v>Aug 2026</v>
      </c>
      <c r="M33" s="65">
        <f>IFERROR(__xludf.DUMMYFUNCTION("""COMPUTED_VALUE"""),5.4522884E7)</f>
        <v>54522884</v>
      </c>
      <c r="N33" s="65">
        <f>IFERROR(__xludf.DUMMYFUNCTION("""COMPUTED_VALUE"""),4956625.81818181)</f>
        <v>4956625.818</v>
      </c>
      <c r="O33" s="65">
        <f>IFERROR(__xludf.DUMMYFUNCTION("""COMPUTED_VALUE"""),1452892.0)</f>
        <v>1452892</v>
      </c>
      <c r="P33" s="66" t="str">
        <f>IFERROR(__xludf.DUMMYFUNCTION("""COMPUTED_VALUE"""),"AA")</f>
        <v>AA</v>
      </c>
      <c r="Q33" s="64" t="str">
        <f>IFERROR(__xludf.DUMMYFUNCTION("""COMPUTED_VALUE"""),"$$, $$$")</f>
        <v>$$, $$$</v>
      </c>
      <c r="R33" s="68" t="str">
        <f>IFERROR(__xludf.DUMMYFUNCTION("""COMPUTED_VALUE"""),"?")</f>
        <v>?</v>
      </c>
      <c r="S33" s="25" t="str">
        <f>IFERROR(__xludf.DUMMYFUNCTION("""COMPUTED_VALUE"""),"Base Building, Sandbox, City Builder, Survival, Management, Crafting, Open World Survival Craft, Open World, Colony Sim, Tower Defense")</f>
        <v>Base Building, Sandbox, City Builder, Survival, Management, Crafting, Open World Survival Craft, Open World, Colony Sim, Tower Defense</v>
      </c>
      <c r="T33" s="40" t="str">
        <f>IFERROR(__xludf.DUMMYFUNCTION("""COMPUTED_VALUE"""),"Going Medieval, War for the Overworld")</f>
        <v>Going Medieval, War for the Overworld</v>
      </c>
      <c r="U33" s="69"/>
    </row>
    <row r="34">
      <c r="A34" s="49" t="str">
        <f>IFERROR(__xludf.DUMMYFUNCTION("""COMPUTED_VALUE"""),"Paradox")</f>
        <v>Paradox</v>
      </c>
      <c r="B34" s="40" t="str">
        <f>IFERROR(__xludf.DUMMYFUNCTION("""COMPUTED_VALUE"""),"Sweden")</f>
        <v>Sweden</v>
      </c>
      <c r="C34" s="52" t="str">
        <f>IFERROR(__xludf.DUMMYFUNCTION("""COMPUTED_VALUE"""),"https://www.paradoxinteractive.com/our-games/discover")</f>
        <v>https://www.paradoxinteractive.com/our-games/discover</v>
      </c>
      <c r="D34" s="55" t="str">
        <f>IFERROR(__xludf.DUMMYFUNCTION("""COMPUTED_VALUE"""),"https://www.paradoxinteractive.com/contact/pitch-your-game-to-paradox")</f>
        <v>https://www.paradoxinteractive.com/contact/pitch-your-game-to-paradox</v>
      </c>
      <c r="E34" s="55" t="str">
        <f>IFERROR(__xludf.DUMMYFUNCTION("""COMPUTED_VALUE"""),"https://www.paradoxinteractive.com/contact/pitch-your-game-to-paradox")</f>
        <v>https://www.paradoxinteractive.com/contact/pitch-your-game-to-paradox</v>
      </c>
      <c r="F34" s="56" t="str">
        <f>IFERROR(__xludf.DUMMYFUNCTION("""COMPUTED_VALUE"""),"Denis Komatina")</f>
        <v>Denis Komatina</v>
      </c>
      <c r="G34" s="59" t="str">
        <f>IFERROR(__xludf.DUMMYFUNCTION("""COMPUTED_VALUE"""),"https://store.steampowered.com/developer/paradoxinteractive")</f>
        <v>https://store.steampowered.com/developer/paradoxinteractive</v>
      </c>
      <c r="H34" s="61" t="str">
        <f>IFERROR(__xludf.DUMMYFUNCTION("""COMPUTED_VALUE"""),"https://gamalytic.com/publisher/Paradox%20Interactive")</f>
        <v>https://gamalytic.com/publisher/Paradox%20Interactive</v>
      </c>
      <c r="I34" s="62" t="str">
        <f>IFERROR(__xludf.DUMMYFUNCTION("""COMPUTED_VALUE"""),"664K")</f>
        <v>664K</v>
      </c>
      <c r="J34" s="63" t="str">
        <f>IFERROR(__xludf.DUMMYFUNCTION("""COMPUTED_VALUE"""),"77")</f>
        <v>77</v>
      </c>
      <c r="K34" s="64" t="str">
        <f>IFERROR(__xludf.DUMMYFUNCTION("""COMPUTED_VALUE"""),"Dec 2008")</f>
        <v>Dec 2008</v>
      </c>
      <c r="L34" s="64" t="str">
        <f>IFERROR(__xludf.DUMMYFUNCTION("""COMPUTED_VALUE"""),"Sep 2026")</f>
        <v>Sep 2026</v>
      </c>
      <c r="M34" s="65">
        <f>IFERROR(__xludf.DUMMYFUNCTION("""COMPUTED_VALUE"""),1.076734202E9)</f>
        <v>1076734202</v>
      </c>
      <c r="N34" s="65">
        <f>IFERROR(__xludf.DUMMYFUNCTION("""COMPUTED_VALUE"""),1.3983561064935E7)</f>
        <v>13983561.06</v>
      </c>
      <c r="O34" s="65">
        <f>IFERROR(__xludf.DUMMYFUNCTION("""COMPUTED_VALUE"""),1324446.0)</f>
        <v>1324446</v>
      </c>
      <c r="P34" s="66" t="str">
        <f>IFERROR(__xludf.DUMMYFUNCTION("""COMPUTED_VALUE"""),"AAA")</f>
        <v>AAA</v>
      </c>
      <c r="Q34" s="64" t="str">
        <f>IFERROR(__xludf.DUMMYFUNCTION("""COMPUTED_VALUE"""),"$$, $$$")</f>
        <v>$$, $$$</v>
      </c>
      <c r="R34" s="68" t="str">
        <f>IFERROR(__xludf.DUMMYFUNCTION("""COMPUTED_VALUE"""),"★★★")</f>
        <v>★★★</v>
      </c>
      <c r="S34" s="25" t="str">
        <f>IFERROR(__xludf.DUMMYFUNCTION("""COMPUTED_VALUE"""),"Grand Strategy, Management, Sandbox, Economy, City Builder, 4X, Turn-Based Strategy, Real-Time with Pause, Resource Management")</f>
        <v>Grand Strategy, Management, Sandbox, Economy, City Builder, 4X, Turn-Based Strategy, Real-Time with Pause, Resource Management</v>
      </c>
      <c r="T34" s="40" t="str">
        <f>IFERROR(__xludf.DUMMYFUNCTION("""COMPUTED_VALUE"""),"Cities Skylines,Crusader King, Stellaris, Heart of Iron, Victoria")</f>
        <v>Cities Skylines,Crusader King, Stellaris, Heart of Iron, Victoria</v>
      </c>
      <c r="U34" s="69" t="str">
        <f>IFERROR(__xludf.DUMMYFUNCTION("""COMPUTED_VALUE"""),"Highly focused on strategy, grand strategy and 4X games. They have also published building/simulation games. They have an indie label called Paradox Arc.")</f>
        <v>Highly focused on strategy, grand strategy and 4X games. They have also published building/simulation games. They have an indie label called Paradox Arc.</v>
      </c>
    </row>
    <row r="35">
      <c r="A35" s="49" t="str">
        <f>IFERROR(__xludf.DUMMYFUNCTION("""COMPUTED_VALUE"""),"Marvelous Europe")</f>
        <v>Marvelous Europe</v>
      </c>
      <c r="B35" s="40" t="str">
        <f>IFERROR(__xludf.DUMMYFUNCTION("""COMPUTED_VALUE"""),"UK")</f>
        <v>UK</v>
      </c>
      <c r="C35" s="52" t="str">
        <f>IFERROR(__xludf.DUMMYFUNCTION("""COMPUTED_VALUE"""),"www.marvelousgames.com")</f>
        <v>www.marvelousgames.com</v>
      </c>
      <c r="D35" s="40" t="str">
        <f>IFERROR(__xludf.DUMMYFUNCTION("""COMPUTED_VALUE"""),"-")</f>
        <v>-</v>
      </c>
      <c r="E35" s="55" t="str">
        <f>IFERROR(__xludf.DUMMYFUNCTION("""COMPUTED_VALUE"""),"https://marvelousgames.com/submit-game")</f>
        <v>https://marvelousgames.com/submit-game</v>
      </c>
      <c r="F35" s="56" t="str">
        <f>IFERROR(__xludf.DUMMYFUNCTION("""COMPUTED_VALUE"""),"Sarah Burns")</f>
        <v>Sarah Burns</v>
      </c>
      <c r="G35" s="59" t="str">
        <f>IFERROR(__xludf.DUMMYFUNCTION("""COMPUTED_VALUE"""),"https://store.steampowered.com/developer/MarvelousEurope")</f>
        <v>https://store.steampowered.com/developer/MarvelousEurope</v>
      </c>
      <c r="H35" s="61" t="str">
        <f>IFERROR(__xludf.DUMMYFUNCTION("""COMPUTED_VALUE"""),"https://gamalytic.com/publisher/Marvelous%20Europe")</f>
        <v>https://gamalytic.com/publisher/Marvelous%20Europe</v>
      </c>
      <c r="I35" s="62" t="str">
        <f>IFERROR(__xludf.DUMMYFUNCTION("""COMPUTED_VALUE"""),"28K")</f>
        <v>28K</v>
      </c>
      <c r="J35" s="63" t="str">
        <f>IFERROR(__xludf.DUMMYFUNCTION("""COMPUTED_VALUE"""),"26")</f>
        <v>26</v>
      </c>
      <c r="K35" s="64" t="str">
        <f>IFERROR(__xludf.DUMMYFUNCTION("""COMPUTED_VALUE"""),"Aug 2016")</f>
        <v>Aug 2016</v>
      </c>
      <c r="L35" s="64" t="str">
        <f>IFERROR(__xludf.DUMMYFUNCTION("""COMPUTED_VALUE"""),"Jul 2026")</f>
        <v>Jul 2026</v>
      </c>
      <c r="M35" s="65">
        <f>IFERROR(__xludf.DUMMYFUNCTION("""COMPUTED_VALUE"""),5.9277141E7)</f>
        <v>59277141</v>
      </c>
      <c r="N35" s="65">
        <f>IFERROR(__xludf.DUMMYFUNCTION("""COMPUTED_VALUE"""),2279890.03846153)</f>
        <v>2279890.038</v>
      </c>
      <c r="O35" s="65">
        <f>IFERROR(__xludf.DUMMYFUNCTION("""COMPUTED_VALUE"""),1319567.0)</f>
        <v>1319567</v>
      </c>
      <c r="P35" s="66" t="str">
        <f>IFERROR(__xludf.DUMMYFUNCTION("""COMPUTED_VALUE"""),"AA")</f>
        <v>AA</v>
      </c>
      <c r="Q35" s="64" t="str">
        <f>IFERROR(__xludf.DUMMYFUNCTION("""COMPUTED_VALUE"""),"$$, $$$")</f>
        <v>$$, $$$</v>
      </c>
      <c r="R35" s="68" t="str">
        <f>IFERROR(__xludf.DUMMYFUNCTION("""COMPUTED_VALUE"""),"?")</f>
        <v>?</v>
      </c>
      <c r="S35" s="25" t="str">
        <f>IFERROR(__xludf.DUMMYFUNCTION("""COMPUTED_VALUE"""),"Farming Sim, Hack and Slash, Life Sim, JRPG, Dating Sim, Crafting, Beat 'em up, Creature Collector")</f>
        <v>Farming Sim, Hack and Slash, Life Sim, JRPG, Dating Sim, Crafting, Beat 'em up, Creature Collector</v>
      </c>
      <c r="T35" s="40" t="str">
        <f>IFERROR(__xludf.DUMMYFUNCTION("""COMPUTED_VALUE"""),"Story of Seasons, Rune Factory, Sakuna of Rice and Ruin, Potionomics, Cuisineer")</f>
        <v>Story of Seasons, Rune Factory, Sakuna of Rice and Ruin, Potionomics, Cuisineer</v>
      </c>
      <c r="U35" s="69" t="str">
        <f>IFERROR(__xludf.DUMMYFUNCTION("""COMPUTED_VALUE"""),"Subsidiary of Marvelous Inc in Japan. Publisher and developer for Story of Seasons, Rune Factory, Daemon X Machina series. Also publishes third party titles.")</f>
        <v>Subsidiary of Marvelous Inc in Japan. Publisher and developer for Story of Seasons, Rune Factory, Daemon X Machina series. Also publishes third party titles.</v>
      </c>
    </row>
    <row r="36">
      <c r="A36" s="49" t="str">
        <f>IFERROR(__xludf.DUMMYFUNCTION("""COMPUTED_VALUE"""),"My.Games")</f>
        <v>My.Games</v>
      </c>
      <c r="B36" s="40" t="str">
        <f>IFERROR(__xludf.DUMMYFUNCTION("""COMPUTED_VALUE"""),"Netherlands")</f>
        <v>Netherlands</v>
      </c>
      <c r="C36" s="52" t="str">
        <f>IFERROR(__xludf.DUMMYFUNCTION("""COMPUTED_VALUE"""),"https://my.games")</f>
        <v>https://my.games</v>
      </c>
      <c r="D36" s="40" t="str">
        <f>IFERROR(__xludf.DUMMYFUNCTION("""COMPUTED_VALUE"""),"-")</f>
        <v>-</v>
      </c>
      <c r="E36" s="55" t="str">
        <f>IFERROR(__xludf.DUMMYFUNCTION("""COMPUTED_VALUE"""),"https://about.my.games/publishing")</f>
        <v>https://about.my.games/publishing</v>
      </c>
      <c r="F36" s="56" t="str">
        <f>IFERROR(__xludf.DUMMYFUNCTION("""COMPUTED_VALUE"""),"?")</f>
        <v>?</v>
      </c>
      <c r="G36" s="59" t="str">
        <f>IFERROR(__xludf.DUMMYFUNCTION("""COMPUTED_VALUE"""),"https://store.steampowered.com/publisher/mygames")</f>
        <v>https://store.steampowered.com/publisher/mygames</v>
      </c>
      <c r="H36" s="61" t="str">
        <f>IFERROR(__xludf.DUMMYFUNCTION("""COMPUTED_VALUE"""),"https://gamalytic.com/publisher/MY.GAMES")</f>
        <v>https://gamalytic.com/publisher/MY.GAMES</v>
      </c>
      <c r="I36" s="62" t="str">
        <f>IFERROR(__xludf.DUMMYFUNCTION("""COMPUTED_VALUE"""),"13K")</f>
        <v>13K</v>
      </c>
      <c r="J36" s="63">
        <f>IFERROR(__xludf.DUMMYFUNCTION("""COMPUTED_VALUE"""),7.0)</f>
        <v>7</v>
      </c>
      <c r="K36" s="64" t="str">
        <f>IFERROR(__xludf.DUMMYFUNCTION("""COMPUTED_VALUE"""),"Jun 2016")</f>
        <v>Jun 2016</v>
      </c>
      <c r="L36" s="64" t="str">
        <f>IFERROR(__xludf.DUMMYFUNCTION("""COMPUTED_VALUE"""),"Mar 2025")</f>
        <v>Mar 2025</v>
      </c>
      <c r="M36" s="65">
        <f>IFERROR(__xludf.DUMMYFUNCTION("""COMPUTED_VALUE"""),8.1300774E7)</f>
        <v>81300774</v>
      </c>
      <c r="N36" s="65">
        <f>IFERROR(__xludf.DUMMYFUNCTION("""COMPUTED_VALUE"""),1.16143962857142E7)</f>
        <v>11614396.29</v>
      </c>
      <c r="O36" s="65">
        <f>IFERROR(__xludf.DUMMYFUNCTION("""COMPUTED_VALUE"""),1310182.0)</f>
        <v>1310182</v>
      </c>
      <c r="P36" s="66" t="str">
        <f>IFERROR(__xludf.DUMMYFUNCTION("""COMPUTED_VALUE"""),"AA")</f>
        <v>AA</v>
      </c>
      <c r="Q36" s="64" t="str">
        <f>IFERROR(__xludf.DUMMYFUNCTION("""COMPUTED_VALUE"""),"$$, $$$")</f>
        <v>$$, $$$</v>
      </c>
      <c r="R36" s="68" t="str">
        <f>IFERROR(__xludf.DUMMYFUNCTION("""COMPUTED_VALUE"""),"★★")</f>
        <v>★★</v>
      </c>
      <c r="S36" s="25" t="str">
        <f>IFERROR(__xludf.DUMMYFUNCTION("""COMPUTED_VALUE"""),"Shooter, FPS, VR, Hacking, On-Rails Shooter")</f>
        <v>Shooter, FPS, VR, Hacking, On-Rails Shooter</v>
      </c>
      <c r="T36" s="40" t="str">
        <f>IFERROR(__xludf.DUMMYFUNCTION("""COMPUTED_VALUE"""),"Conqueror's Blade, Warface")</f>
        <v>Conqueror's Blade, Warface</v>
      </c>
      <c r="U36" s="69" t="str">
        <f>IFERROR(__xludf.DUMMYFUNCTION("""COMPUTED_VALUE"""),"-")</f>
        <v>-</v>
      </c>
    </row>
    <row r="37">
      <c r="A37" s="49" t="str">
        <f>IFERROR(__xludf.DUMMYFUNCTION("""COMPUTED_VALUE"""),"Spiral Up Games")</f>
        <v>Spiral Up Games</v>
      </c>
      <c r="B37" s="40" t="str">
        <f>IFERROR(__xludf.DUMMYFUNCTION("""COMPUTED_VALUE"""),"Singapore")</f>
        <v>Singapore</v>
      </c>
      <c r="C37" s="52" t="str">
        <f>IFERROR(__xludf.DUMMYFUNCTION("""COMPUTED_VALUE"""),"https://www.spiralupgames.com/")</f>
        <v>https://www.spiralupgames.com/</v>
      </c>
      <c r="D37" s="40"/>
      <c r="E37" s="55" t="str">
        <f>IFERROR(__xludf.DUMMYFUNCTION("""COMPUTED_VALUE"""),"https://docs.google.com/forms/d/e/1FAIpQLSdXiem_6fw-1FZIDa_xEPKlJ0o_LRPxzdYiXuExx7Aw2obXBA/viewform")</f>
        <v>https://docs.google.com/forms/d/e/1FAIpQLSdXiem_6fw-1FZIDa_xEPKlJ0o_LRPxzdYiXuExx7Aw2obXBA/viewform</v>
      </c>
      <c r="F37" s="56" t="str">
        <f>IFERROR(__xludf.DUMMYFUNCTION("""COMPUTED_VALUE"""),"?")</f>
        <v>?</v>
      </c>
      <c r="G37" s="59" t="str">
        <f>IFERROR(__xludf.DUMMYFUNCTION("""COMPUTED_VALUE"""),"https://store.steampowered.com/publisher/spiralupgames")</f>
        <v>https://store.steampowered.com/publisher/spiralupgames</v>
      </c>
      <c r="H37" s="61" t="str">
        <f>IFERROR(__xludf.DUMMYFUNCTION("""COMPUTED_VALUE"""),"https://gamalytic.com/publisher/Spiral%20Up%20Games")</f>
        <v>https://gamalytic.com/publisher/Spiral%20Up%20Games</v>
      </c>
      <c r="I37" s="62" t="str">
        <f>IFERROR(__xludf.DUMMYFUNCTION("""COMPUTED_VALUE"""),"6K")</f>
        <v>6K</v>
      </c>
      <c r="J37" s="63">
        <f>IFERROR(__xludf.DUMMYFUNCTION("""COMPUTED_VALUE"""),11.0)</f>
        <v>11</v>
      </c>
      <c r="K37" s="64" t="str">
        <f>IFERROR(__xludf.DUMMYFUNCTION("""COMPUTED_VALUE"""),"Oct 2021")</f>
        <v>Oct 2021</v>
      </c>
      <c r="L37" s="64" t="str">
        <f>IFERROR(__xludf.DUMMYFUNCTION("""COMPUTED_VALUE"""),"Aug 2026")</f>
        <v>Aug 2026</v>
      </c>
      <c r="M37" s="65">
        <f>IFERROR(__xludf.DUMMYFUNCTION("""COMPUTED_VALUE"""),3.7614224E7)</f>
        <v>37614224</v>
      </c>
      <c r="N37" s="65">
        <f>IFERROR(__xludf.DUMMYFUNCTION("""COMPUTED_VALUE"""),3419474.9090909)</f>
        <v>3419474.909</v>
      </c>
      <c r="O37" s="65">
        <f>IFERROR(__xludf.DUMMYFUNCTION("""COMPUTED_VALUE"""),1285393.0)</f>
        <v>1285393</v>
      </c>
      <c r="P37" s="66" t="str">
        <f>IFERROR(__xludf.DUMMYFUNCTION("""COMPUTED_VALUE"""),"Indie")</f>
        <v>Indie</v>
      </c>
      <c r="Q37" s="64" t="str">
        <f>IFERROR(__xludf.DUMMYFUNCTION("""COMPUTED_VALUE"""),"$, $$")</f>
        <v>$, $$</v>
      </c>
      <c r="R37" s="68" t="str">
        <f>IFERROR(__xludf.DUMMYFUNCTION("""COMPUTED_VALUE"""),"?")</f>
        <v>?</v>
      </c>
      <c r="S37" s="25" t="str">
        <f>IFERROR(__xludf.DUMMYFUNCTION("""COMPUTED_VALUE"""),"Martial Arts, Open World, 2.5D, Turn-Based Combat, Roguelike, Strategy RPG, Card Game, Investigation, Roguelite")</f>
        <v>Martial Arts, Open World, 2.5D, Turn-Based Combat, Roguelike, Strategy RPG, Card Game, Investigation, Roguelite</v>
      </c>
      <c r="T37" s="40"/>
      <c r="U37" s="69" t="str">
        <f>IFERROR(__xludf.DUMMYFUNCTION("""COMPUTED_VALUE"""),"Their main company is based in China.")</f>
        <v>Their main company is based in China.</v>
      </c>
    </row>
    <row r="38">
      <c r="A38" s="49" t="str">
        <f>IFERROR(__xludf.DUMMYFUNCTION("""COMPUTED_VALUE"""),"Chucklefish")</f>
        <v>Chucklefish</v>
      </c>
      <c r="B38" s="40" t="str">
        <f>IFERROR(__xludf.DUMMYFUNCTION("""COMPUTED_VALUE"""),"UK")</f>
        <v>UK</v>
      </c>
      <c r="C38" s="52" t="str">
        <f>IFERROR(__xludf.DUMMYFUNCTION("""COMPUTED_VALUE"""),"https://chucklefish.org/")</f>
        <v>https://chucklefish.org/</v>
      </c>
      <c r="D38" s="55" t="str">
        <f>IFERROR(__xludf.DUMMYFUNCTION("""COMPUTED_VALUE"""),"https://chucklefish.org/publishing-with-chucklefish/")</f>
        <v>https://chucklefish.org/publishing-with-chucklefish/</v>
      </c>
      <c r="E38" s="55" t="str">
        <f>IFERROR(__xludf.DUMMYFUNCTION("""COMPUTED_VALUE"""),"https://chucklefish.org/submit/")</f>
        <v>https://chucklefish.org/submit/</v>
      </c>
      <c r="F38" s="56" t="str">
        <f>IFERROR(__xludf.DUMMYFUNCTION("""COMPUTED_VALUE"""),"Katy Ellis")</f>
        <v>Katy Ellis</v>
      </c>
      <c r="G38" s="59" t="str">
        <f>IFERROR(__xludf.DUMMYFUNCTION("""COMPUTED_VALUE"""),"https://store.steampowered.com/developer/chucklefish")</f>
        <v>https://store.steampowered.com/developer/chucklefish</v>
      </c>
      <c r="H38" s="61" t="str">
        <f>IFERROR(__xludf.DUMMYFUNCTION("""COMPUTED_VALUE"""),"https://gamalytic.com/publisher/Chucklefish")</f>
        <v>https://gamalytic.com/publisher/Chucklefish</v>
      </c>
      <c r="I38" s="62" t="str">
        <f>IFERROR(__xludf.DUMMYFUNCTION("""COMPUTED_VALUE"""),"146K")</f>
        <v>146K</v>
      </c>
      <c r="J38" s="63">
        <f>IFERROR(__xludf.DUMMYFUNCTION("""COMPUTED_VALUE"""),13.0)</f>
        <v>13</v>
      </c>
      <c r="K38" s="64" t="str">
        <f>IFERROR(__xludf.DUMMYFUNCTION("""COMPUTED_VALUE"""),"Jul 2012")</f>
        <v>Jul 2012</v>
      </c>
      <c r="L38" s="64" t="str">
        <f>IFERROR(__xludf.DUMMYFUNCTION("""COMPUTED_VALUE"""),"Nov 2024")</f>
        <v>Nov 2024</v>
      </c>
      <c r="M38" s="65">
        <f>IFERROR(__xludf.DUMMYFUNCTION("""COMPUTED_VALUE"""),7.2732102E7)</f>
        <v>72732102</v>
      </c>
      <c r="N38" s="65">
        <f>IFERROR(__xludf.DUMMYFUNCTION("""COMPUTED_VALUE"""),5594777.07692307)</f>
        <v>5594777.077</v>
      </c>
      <c r="O38" s="65">
        <f>IFERROR(__xludf.DUMMYFUNCTION("""COMPUTED_VALUE"""),1159863.0)</f>
        <v>1159863</v>
      </c>
      <c r="P38" s="66" t="str">
        <f>IFERROR(__xludf.DUMMYFUNCTION("""COMPUTED_VALUE"""),"AA")</f>
        <v>AA</v>
      </c>
      <c r="Q38" s="64" t="str">
        <f>IFERROR(__xludf.DUMMYFUNCTION("""COMPUTED_VALUE"""),"$$, $$$")</f>
        <v>$$, $$$</v>
      </c>
      <c r="R38" s="68" t="str">
        <f>IFERROR(__xludf.DUMMYFUNCTION("""COMPUTED_VALUE"""),"★★★")</f>
        <v>★★★</v>
      </c>
      <c r="S38" s="25" t="str">
        <f>IFERROR(__xludf.DUMMYFUNCTION("""COMPUTED_VALUE"""),"Sandbox, Open World Survival Craft, Survival, Turn-Based Tactics, Crafting, Co-op, Turn-Based Strategy, Open World, Strategy RPG, Tactical RPG")</f>
        <v>Sandbox, Open World Survival Craft, Survival, Turn-Based Tactics, Crafting, Co-op, Turn-Based Strategy, Open World, Strategy RPG, Tactical RPG</v>
      </c>
      <c r="T38" s="40" t="str">
        <f>IFERROR(__xludf.DUMMYFUNCTION("""COMPUTED_VALUE"""),"Starbound, Eastward, Wildfrost")</f>
        <v>Starbound, Eastward, Wildfrost</v>
      </c>
      <c r="U38" s="69" t="str">
        <f>IFERROR(__xludf.DUMMYFUNCTION("""COMPUTED_VALUE"""),"-")</f>
        <v>-</v>
      </c>
    </row>
    <row r="39">
      <c r="A39" s="49" t="str">
        <f>IFERROR(__xludf.DUMMYFUNCTION("""COMPUTED_VALUE"""),"Team17")</f>
        <v>Team17</v>
      </c>
      <c r="B39" s="40" t="str">
        <f>IFERROR(__xludf.DUMMYFUNCTION("""COMPUTED_VALUE"""),"UK")</f>
        <v>UK</v>
      </c>
      <c r="C39" s="52" t="str">
        <f>IFERROR(__xludf.DUMMYFUNCTION("""COMPUTED_VALUE"""),"https://www.team17.com/")</f>
        <v>https://www.team17.com/</v>
      </c>
      <c r="D39" s="55" t="str">
        <f>IFERROR(__xludf.DUMMYFUNCTION("""COMPUTED_VALUE"""),"https://www.team17.com/submit-game/")</f>
        <v>https://www.team17.com/submit-game/</v>
      </c>
      <c r="E39" s="55" t="str">
        <f>IFERROR(__xludf.DUMMYFUNCTION("""COMPUTED_VALUE"""),"https://www.team17.com/submit-game/submit/")</f>
        <v>https://www.team17.com/submit-game/submit/</v>
      </c>
      <c r="F39" s="56" t="str">
        <f>IFERROR(__xludf.DUMMYFUNCTION("""COMPUTED_VALUE"""),"Benjamin Ellis")</f>
        <v>Benjamin Ellis</v>
      </c>
      <c r="G39" s="59" t="str">
        <f>IFERROR(__xludf.DUMMYFUNCTION("""COMPUTED_VALUE"""),"https://store.steampowered.com/developer/Team17")</f>
        <v>https://store.steampowered.com/developer/Team17</v>
      </c>
      <c r="H39" s="61" t="str">
        <f>IFERROR(__xludf.DUMMYFUNCTION("""COMPUTED_VALUE"""),"https://gamalytic.com/publisher/Team17")</f>
        <v>https://gamalytic.com/publisher/Team17</v>
      </c>
      <c r="I39" s="62" t="str">
        <f>IFERROR(__xludf.DUMMYFUNCTION("""COMPUTED_VALUE"""),"253K")</f>
        <v>253K</v>
      </c>
      <c r="J39" s="63" t="str">
        <f>IFERROR(__xludf.DUMMYFUNCTION("""COMPUTED_VALUE"""),"107")</f>
        <v>107</v>
      </c>
      <c r="K39" s="64" t="str">
        <f>IFERROR(__xludf.DUMMYFUNCTION("""COMPUTED_VALUE"""),"Jun 2010")</f>
        <v>Jun 2010</v>
      </c>
      <c r="L39" s="64" t="str">
        <f>IFERROR(__xludf.DUMMYFUNCTION("""COMPUTED_VALUE"""),"Oct 2026")</f>
        <v>Oct 2026</v>
      </c>
      <c r="M39" s="65">
        <f>IFERROR(__xludf.DUMMYFUNCTION("""COMPUTED_VALUE"""),6.02863259E8)</f>
        <v>602863259</v>
      </c>
      <c r="N39" s="65">
        <f>IFERROR(__xludf.DUMMYFUNCTION("""COMPUTED_VALUE"""),5634236.06542056)</f>
        <v>5634236.065</v>
      </c>
      <c r="O39" s="65">
        <f>IFERROR(__xludf.DUMMYFUNCTION("""COMPUTED_VALUE"""),1048178.0)</f>
        <v>1048178</v>
      </c>
      <c r="P39" s="66" t="str">
        <f>IFERROR(__xludf.DUMMYFUNCTION("""COMPUTED_VALUE"""),"AA")</f>
        <v>AA</v>
      </c>
      <c r="Q39" s="64" t="str">
        <f>IFERROR(__xludf.DUMMYFUNCTION("""COMPUTED_VALUE"""),"$$, $$$")</f>
        <v>$$, $$$</v>
      </c>
      <c r="R39" s="68" t="str">
        <f>IFERROR(__xludf.DUMMYFUNCTION("""COMPUTED_VALUE"""),"★★★")</f>
        <v>★★★</v>
      </c>
      <c r="S39" s="25" t="str">
        <f>IFERROR(__xludf.DUMMYFUNCTION("""COMPUTED_VALUE"""),"Co-op, Shooter, FPS, Roguelite, Metroidvania, Action Roguelike, Roguelike, Survival, Crafting")</f>
        <v>Co-op, Shooter, FPS, Roguelite, Metroidvania, Action Roguelike, Roguelike, Survival, Crafting</v>
      </c>
      <c r="T39" s="40" t="str">
        <f>IFERROR(__xludf.DUMMYFUNCTION("""COMPUTED_VALUE"""),"Overcooked, Hell Let Loose, Golf with your friends, Blasphomous, Dredge")</f>
        <v>Overcooked, Hell Let Loose, Golf with your friends, Blasphomous, Dredge</v>
      </c>
      <c r="U39" s="69" t="str">
        <f>IFERROR(__xludf.DUMMYFUNCTION("""COMPUTED_VALUE"""),"They have very high standards for games they publish. They strictly don't publish sandbox games")</f>
        <v>They have very high standards for games they publish. They strictly don't publish sandbox games</v>
      </c>
    </row>
    <row r="40">
      <c r="A40" s="49" t="str">
        <f>IFERROR(__xludf.DUMMYFUNCTION("""COMPUTED_VALUE"""),"Dotemu")</f>
        <v>Dotemu</v>
      </c>
      <c r="B40" s="40" t="str">
        <f>IFERROR(__xludf.DUMMYFUNCTION("""COMPUTED_VALUE"""),"France")</f>
        <v>France</v>
      </c>
      <c r="C40" s="52" t="str">
        <f>IFERROR(__xludf.DUMMYFUNCTION("""COMPUTED_VALUE"""),"https://www.dotemu.com/")</f>
        <v>https://www.dotemu.com/</v>
      </c>
      <c r="D40" s="40" t="str">
        <f>IFERROR(__xludf.DUMMYFUNCTION("""COMPUTED_VALUE"""),"-")</f>
        <v>-</v>
      </c>
      <c r="E40" s="55" t="str">
        <f>IFERROR(__xludf.DUMMYFUNCTION("""COMPUTED_VALUE"""),"https://www.dotemu.com/contact/")</f>
        <v>https://www.dotemu.com/contact/</v>
      </c>
      <c r="F40" s="56" t="str">
        <f>IFERROR(__xludf.DUMMYFUNCTION("""COMPUTED_VALUE"""),"Julien Chouvet Cyrille Imbert")</f>
        <v>Julien Chouvet Cyrille Imbert</v>
      </c>
      <c r="G40" s="59" t="str">
        <f>IFERROR(__xludf.DUMMYFUNCTION("""COMPUTED_VALUE"""),"https://store.steampowered.com/publisher/Dotemu")</f>
        <v>https://store.steampowered.com/publisher/Dotemu</v>
      </c>
      <c r="H40" s="61" t="str">
        <f>IFERROR(__xludf.DUMMYFUNCTION("""COMPUTED_VALUE"""),"https://gamalytic.com/publisher/Dotemu")</f>
        <v>https://gamalytic.com/publisher/Dotemu</v>
      </c>
      <c r="I40" s="62" t="str">
        <f>IFERROR(__xludf.DUMMYFUNCTION("""COMPUTED_VALUE"""),"35K")</f>
        <v>35K</v>
      </c>
      <c r="J40" s="63" t="str">
        <f>IFERROR(__xludf.DUMMYFUNCTION("""COMPUTED_VALUE"""),"21")</f>
        <v>21</v>
      </c>
      <c r="K40" s="64" t="str">
        <f>IFERROR(__xludf.DUMMYFUNCTION("""COMPUTED_VALUE"""),"Dec 2012")</f>
        <v>Dec 2012</v>
      </c>
      <c r="L40" s="64" t="str">
        <f>IFERROR(__xludf.DUMMYFUNCTION("""COMPUTED_VALUE"""),"Aug 2026")</f>
        <v>Aug 2026</v>
      </c>
      <c r="M40" s="65">
        <f>IFERROR(__xludf.DUMMYFUNCTION("""COMPUTED_VALUE"""),5.2901205E7)</f>
        <v>52901205</v>
      </c>
      <c r="N40" s="65">
        <f>IFERROR(__xludf.DUMMYFUNCTION("""COMPUTED_VALUE"""),2519105.0)</f>
        <v>2519105</v>
      </c>
      <c r="O40" s="65">
        <f>IFERROR(__xludf.DUMMYFUNCTION("""COMPUTED_VALUE"""),992352.0)</f>
        <v>992352</v>
      </c>
      <c r="P40" s="66" t="str">
        <f>IFERROR(__xludf.DUMMYFUNCTION("""COMPUTED_VALUE"""),"AA")</f>
        <v>AA</v>
      </c>
      <c r="Q40" s="64" t="str">
        <f>IFERROR(__xludf.DUMMYFUNCTION("""COMPUTED_VALUE"""),"$$, $$$")</f>
        <v>$$, $$$</v>
      </c>
      <c r="R40" s="68" t="str">
        <f>IFERROR(__xludf.DUMMYFUNCTION("""COMPUTED_VALUE"""),"★★★")</f>
        <v>★★★</v>
      </c>
      <c r="S40" s="25" t="str">
        <f>IFERROR(__xludf.DUMMYFUNCTION("""COMPUTED_VALUE"""),"Beat 'em up, Arcade, Roguelite, Co-op, Fighting, Action-Adventure, Roguelike, FPS")</f>
        <v>Beat 'em up, Arcade, Roguelite, Co-op, Fighting, Action-Adventure, Roguelike, FPS</v>
      </c>
      <c r="T40" s="40" t="str">
        <f>IFERROR(__xludf.DUMMYFUNCTION("""COMPUTED_VALUE"""),"TMNT Shredder's Revenge, Streets of Rage 4, Pharaoh: A New Era, Wonder Boy: The Dragon's Trap")</f>
        <v>TMNT Shredder's Revenge, Streets of Rage 4, Pharaoh: A New Era, Wonder Boy: The Dragon's Trap</v>
      </c>
      <c r="U40" s="69" t="str">
        <f>IFERROR(__xludf.DUMMYFUNCTION("""COMPUTED_VALUE"""),"Publisher specializing in modern releases of retro games and licences, they have an indie label (The Arcade Crew). For high budget they lean more towards highly replayable games, or game as a service")</f>
        <v>Publisher specializing in modern releases of retro games and licences, they have an indie label (The Arcade Crew). For high budget they lean more towards highly replayable games, or game as a service</v>
      </c>
    </row>
    <row r="41">
      <c r="A41" s="49" t="str">
        <f>IFERROR(__xludf.DUMMYFUNCTION("""COMPUTED_VALUE"""),"Elda Entertainment")</f>
        <v>Elda Entertainment</v>
      </c>
      <c r="B41" s="40" t="str">
        <f>IFERROR(__xludf.DUMMYFUNCTION("""COMPUTED_VALUE"""),"Sweden")</f>
        <v>Sweden</v>
      </c>
      <c r="C41" s="52" t="str">
        <f>IFERROR(__xludf.DUMMYFUNCTION("""COMPUTED_VALUE"""),"https://www.elda-entertainment.com/")</f>
        <v>https://www.elda-entertainment.com/</v>
      </c>
      <c r="D41" s="40"/>
      <c r="E41" s="40" t="str">
        <f>IFERROR(__xludf.DUMMYFUNCTION("""COMPUTED_VALUE"""),"contact@elda-entertainment.com")</f>
        <v>contact@elda-entertainment.com</v>
      </c>
      <c r="F41" s="56" t="str">
        <f>IFERROR(__xludf.DUMMYFUNCTION("""COMPUTED_VALUE"""),"Robin Cederholm, Sandra Neudinger")</f>
        <v>Robin Cederholm, Sandra Neudinger</v>
      </c>
      <c r="G41" s="59" t="str">
        <f>IFERROR(__xludf.DUMMYFUNCTION("""COMPUTED_VALUE"""),"https://store.steampowered.com/search/?publisher=Elda%20Entertainment")</f>
        <v>https://store.steampowered.com/search/?publisher=Elda%20Entertainment</v>
      </c>
      <c r="H41" s="61" t="str">
        <f>IFERROR(__xludf.DUMMYFUNCTION("""COMPUTED_VALUE"""),"https://gamalytic.com/publisher/Elda%20Entertainment")</f>
        <v>https://gamalytic.com/publisher/Elda%20Entertainment</v>
      </c>
      <c r="I41" s="62" t="str">
        <f>IFERROR(__xludf.DUMMYFUNCTION("""COMPUTED_VALUE"""),"-")</f>
        <v>-</v>
      </c>
      <c r="J41" s="63">
        <f>IFERROR(__xludf.DUMMYFUNCTION("""COMPUTED_VALUE"""),1.0)</f>
        <v>1</v>
      </c>
      <c r="K41" s="64" t="str">
        <f>IFERROR(__xludf.DUMMYFUNCTION("""COMPUTED_VALUE"""),"Mar 2025")</f>
        <v>Mar 2025</v>
      </c>
      <c r="L41" s="64" t="str">
        <f>IFERROR(__xludf.DUMMYFUNCTION("""COMPUTED_VALUE"""),"Mar 2025")</f>
        <v>Mar 2025</v>
      </c>
      <c r="M41" s="65">
        <f>IFERROR(__xludf.DUMMYFUNCTION("""COMPUTED_VALUE"""),907345.0)</f>
        <v>907345</v>
      </c>
      <c r="N41" s="65">
        <f>IFERROR(__xludf.DUMMYFUNCTION("""COMPUTED_VALUE"""),907345.0)</f>
        <v>907345</v>
      </c>
      <c r="O41" s="65">
        <f>IFERROR(__xludf.DUMMYFUNCTION("""COMPUTED_VALUE"""),907345.0)</f>
        <v>907345</v>
      </c>
      <c r="P41" s="66" t="str">
        <f>IFERROR(__xludf.DUMMYFUNCTION("""COMPUTED_VALUE"""),"Indie")</f>
        <v>Indie</v>
      </c>
      <c r="Q41" s="64" t="str">
        <f>IFERROR(__xludf.DUMMYFUNCTION("""COMPUTED_VALUE"""),"$")</f>
        <v>$</v>
      </c>
      <c r="R41" s="68" t="str">
        <f>IFERROR(__xludf.DUMMYFUNCTION("""COMPUTED_VALUE"""),"?")</f>
        <v>?</v>
      </c>
      <c r="S41" s="25" t="str">
        <f>IFERROR(__xludf.DUMMYFUNCTION("""COMPUTED_VALUE"""),"City Builder, Management, Economy, Resource Management, Grand Strategy, Political Sim")</f>
        <v>City Builder, Management, Economy, Resource Management, Grand Strategy, Political Sim</v>
      </c>
      <c r="T41" s="40" t="str">
        <f>IFERROR(__xludf.DUMMYFUNCTION("""COMPUTED_VALUE"""),"Kaiserpunk")</f>
        <v>Kaiserpunk</v>
      </c>
      <c r="U41" s="69" t="str">
        <f>IFERROR(__xludf.DUMMYFUNCTION("""COMPUTED_VALUE"""),"Dedicated publishing for the management game audience. Co-pub, publishing as a service and publishing consulting. Focused on mangement games. Cities: Skylines and Paradox veterans. ")</f>
        <v>Dedicated publishing for the management game audience. Co-pub, publishing as a service and publishing consulting. Focused on mangement games. Cities: Skylines and Paradox veterans. </v>
      </c>
    </row>
    <row r="42">
      <c r="A42" s="49" t="str">
        <f>IFERROR(__xludf.DUMMYFUNCTION("""COMPUTED_VALUE"""),"Excalibur Games")</f>
        <v>Excalibur Games</v>
      </c>
      <c r="B42" s="40" t="str">
        <f>IFERROR(__xludf.DUMMYFUNCTION("""COMPUTED_VALUE"""),"UK")</f>
        <v>UK</v>
      </c>
      <c r="C42" s="52" t="str">
        <f>IFERROR(__xludf.DUMMYFUNCTION("""COMPUTED_VALUE"""),"https://excalibur-games.com/")</f>
        <v>https://excalibur-games.com/</v>
      </c>
      <c r="D42" s="40" t="str">
        <f>IFERROR(__xludf.DUMMYFUNCTION("""COMPUTED_VALUE"""),"-")</f>
        <v>-</v>
      </c>
      <c r="E42" s="40" t="str">
        <f>IFERROR(__xludf.DUMMYFUNCTION("""COMPUTED_VALUE"""),"development@excalibur-publishing.com")</f>
        <v>development@excalibur-publishing.com</v>
      </c>
      <c r="F42" s="56" t="str">
        <f>IFERROR(__xludf.DUMMYFUNCTION("""COMPUTED_VALUE"""),"Steve Stopps")</f>
        <v>Steve Stopps</v>
      </c>
      <c r="G42" s="59" t="str">
        <f>IFERROR(__xludf.DUMMYFUNCTION("""COMPUTED_VALUE"""),"https://store.steampowered.com/publisher/excalibur-games")</f>
        <v>https://store.steampowered.com/publisher/excalibur-games</v>
      </c>
      <c r="H42" s="61" t="str">
        <f>IFERROR(__xludf.DUMMYFUNCTION("""COMPUTED_VALUE"""),"https://gamalytic.com/publisher/Excalibur%20Games")</f>
        <v>https://gamalytic.com/publisher/Excalibur%20Games</v>
      </c>
      <c r="I42" s="62" t="str">
        <f>IFERROR(__xludf.DUMMYFUNCTION("""COMPUTED_VALUE"""),"14K")</f>
        <v>14K</v>
      </c>
      <c r="J42" s="63">
        <f>IFERROR(__xludf.DUMMYFUNCTION("""COMPUTED_VALUE"""),7.0)</f>
        <v>7</v>
      </c>
      <c r="K42" s="64" t="str">
        <f>IFERROR(__xludf.DUMMYFUNCTION("""COMPUTED_VALUE"""),"Nov 2016")</f>
        <v>Nov 2016</v>
      </c>
      <c r="L42" s="64" t="str">
        <f>IFERROR(__xludf.DUMMYFUNCTION("""COMPUTED_VALUE"""),"Nov 2023")</f>
        <v>Nov 2023</v>
      </c>
      <c r="M42" s="65">
        <f>IFERROR(__xludf.DUMMYFUNCTION("""COMPUTED_VALUE"""),3.18374E7)</f>
        <v>31837400</v>
      </c>
      <c r="N42" s="65">
        <f>IFERROR(__xludf.DUMMYFUNCTION("""COMPUTED_VALUE"""),4548200.0)</f>
        <v>4548200</v>
      </c>
      <c r="O42" s="65">
        <f>IFERROR(__xludf.DUMMYFUNCTION("""COMPUTED_VALUE"""),877741.0)</f>
        <v>877741</v>
      </c>
      <c r="P42" s="66" t="str">
        <f>IFERROR(__xludf.DUMMYFUNCTION("""COMPUTED_VALUE"""),"Indie")</f>
        <v>Indie</v>
      </c>
      <c r="Q42" s="64" t="str">
        <f>IFERROR(__xludf.DUMMYFUNCTION("""COMPUTED_VALUE"""),"$, $$")</f>
        <v>$, $$</v>
      </c>
      <c r="R42" s="68" t="str">
        <f>IFERROR(__xludf.DUMMYFUNCTION("""COMPUTED_VALUE"""),"★★★")</f>
        <v>★★★</v>
      </c>
      <c r="S42" s="25" t="str">
        <f>IFERROR(__xludf.DUMMYFUNCTION("""COMPUTED_VALUE"""),"Open World, Co-op, Driving, Farming Sim, Sandbox, Job Simulator, Automobile Sim")</f>
        <v>Open World, Co-op, Driving, Farming Sim, Sandbox, Job Simulator, Automobile Sim</v>
      </c>
      <c r="T42" s="40" t="str">
        <f>IFERROR(__xludf.DUMMYFUNCTION("""COMPUTED_VALUE"""),"Ranch Sim, Flashing Lights, Jalopy")</f>
        <v>Ranch Sim, Flashing Lights, Jalopy</v>
      </c>
      <c r="U42" s="69" t="str">
        <f>IFERROR(__xludf.DUMMYFUNCTION("""COMPUTED_VALUE"""),"They mostly do simulation games")</f>
        <v>They mostly do simulation games</v>
      </c>
    </row>
    <row r="43">
      <c r="A43" s="49" t="str">
        <f>IFERROR(__xludf.DUMMYFUNCTION("""COMPUTED_VALUE"""),"Annapurna Interactive")</f>
        <v>Annapurna Interactive</v>
      </c>
      <c r="B43" s="40" t="str">
        <f>IFERROR(__xludf.DUMMYFUNCTION("""COMPUTED_VALUE"""),"USA")</f>
        <v>USA</v>
      </c>
      <c r="C43" s="52" t="str">
        <f>IFERROR(__xludf.DUMMYFUNCTION("""COMPUTED_VALUE"""),"https://annapurnainteractive.com/en")</f>
        <v>https://annapurnainteractive.com/en</v>
      </c>
      <c r="D43" s="40" t="str">
        <f>IFERROR(__xludf.DUMMYFUNCTION("""COMPUTED_VALUE"""),"-")</f>
        <v>-</v>
      </c>
      <c r="E43" s="40" t="str">
        <f>IFERROR(__xludf.DUMMYFUNCTION("""COMPUTED_VALUE"""),"-")</f>
        <v>-</v>
      </c>
      <c r="F43" s="56" t="str">
        <f>IFERROR(__xludf.DUMMYFUNCTION("""COMPUTED_VALUE"""),"?")</f>
        <v>?</v>
      </c>
      <c r="G43" s="59" t="str">
        <f>IFERROR(__xludf.DUMMYFUNCTION("""COMPUTED_VALUE"""),"https://store.steampowered.com/publisher/annapurnainteractive")</f>
        <v>https://store.steampowered.com/publisher/annapurnainteractive</v>
      </c>
      <c r="H43" s="61" t="str">
        <f>IFERROR(__xludf.DUMMYFUNCTION("""COMPUTED_VALUE"""),"https://gamalytic.com/publisher/Annapurna%20Interactive")</f>
        <v>https://gamalytic.com/publisher/Annapurna%20Interactive</v>
      </c>
      <c r="I43" s="62" t="str">
        <f>IFERROR(__xludf.DUMMYFUNCTION("""COMPUTED_VALUE"""),"164K")</f>
        <v>164K</v>
      </c>
      <c r="J43" s="63" t="str">
        <f>IFERROR(__xludf.DUMMYFUNCTION("""COMPUTED_VALUE"""),"45")</f>
        <v>45</v>
      </c>
      <c r="K43" s="64" t="str">
        <f>IFERROR(__xludf.DUMMYFUNCTION("""COMPUTED_VALUE"""),"Apr 2017")</f>
        <v>Apr 2017</v>
      </c>
      <c r="L43" s="64" t="str">
        <f>IFERROR(__xludf.DUMMYFUNCTION("""COMPUTED_VALUE"""),"Oct 2026")</f>
        <v>Oct 2026</v>
      </c>
      <c r="M43" s="65">
        <f>IFERROR(__xludf.DUMMYFUNCTION("""COMPUTED_VALUE"""),2.00240501E8)</f>
        <v>200240501</v>
      </c>
      <c r="N43" s="65">
        <f>IFERROR(__xludf.DUMMYFUNCTION("""COMPUTED_VALUE"""),4449788.91111111)</f>
        <v>4449788.911</v>
      </c>
      <c r="O43" s="65">
        <f>IFERROR(__xludf.DUMMYFUNCTION("""COMPUTED_VALUE"""),800472.0)</f>
        <v>800472</v>
      </c>
      <c r="P43" s="66" t="str">
        <f>IFERROR(__xludf.DUMMYFUNCTION("""COMPUTED_VALUE"""),"AA")</f>
        <v>AA</v>
      </c>
      <c r="Q43" s="64" t="str">
        <f>IFERROR(__xludf.DUMMYFUNCTION("""COMPUTED_VALUE"""),"$$, $$$")</f>
        <v>$$, $$$</v>
      </c>
      <c r="R43" s="68" t="str">
        <f>IFERROR(__xludf.DUMMYFUNCTION("""COMPUTED_VALUE"""),"?")</f>
        <v>?</v>
      </c>
      <c r="S43" s="25" t="str">
        <f>IFERROR(__xludf.DUMMYFUNCTION("""COMPUTED_VALUE"""),"Puzzle, Walking Simulator, Horror, 3D Platformer, Open World, Point &amp; Click")</f>
        <v>Puzzle, Walking Simulator, Horror, 3D Platformer, Open World, Point &amp; Click</v>
      </c>
      <c r="T43" s="40" t="str">
        <f>IFERROR(__xludf.DUMMYFUNCTION("""COMPUTED_VALUE"""),"Stray, Outer Wilds, Journey, Twelve Minutes")</f>
        <v>Stray, Outer Wilds, Journey, Twelve Minutes</v>
      </c>
      <c r="U43" s="69" t="str">
        <f>IFERROR(__xludf.DUMMYFUNCTION("""COMPUTED_VALUE"""),"-")</f>
        <v>-</v>
      </c>
    </row>
    <row r="44">
      <c r="A44" s="49" t="str">
        <f>IFERROR(__xludf.DUMMYFUNCTION("""COMPUTED_VALUE"""),"NEOWIZ")</f>
        <v>NEOWIZ</v>
      </c>
      <c r="B44" s="40" t="str">
        <f>IFERROR(__xludf.DUMMYFUNCTION("""COMPUTED_VALUE"""),"Korea")</f>
        <v>Korea</v>
      </c>
      <c r="C44" s="52" t="str">
        <f>IFERROR(__xludf.DUMMYFUNCTION("""COMPUTED_VALUE"""),"https://www.neowiz.com/")</f>
        <v>https://www.neowiz.com/</v>
      </c>
      <c r="D44" s="40" t="str">
        <f>IFERROR(__xludf.DUMMYFUNCTION("""COMPUTED_VALUE"""),"-")</f>
        <v>-</v>
      </c>
      <c r="E44" s="40" t="str">
        <f>IFERROR(__xludf.DUMMYFUNCTION("""COMPUTED_VALUE"""),"nwpublishing@neowiz.com")</f>
        <v>nwpublishing@neowiz.com</v>
      </c>
      <c r="F44" s="56" t="str">
        <f>IFERROR(__xludf.DUMMYFUNCTION("""COMPUTED_VALUE"""),"Justin Carnahan")</f>
        <v>Justin Carnahan</v>
      </c>
      <c r="G44" s="59" t="str">
        <f>IFERROR(__xludf.DUMMYFUNCTION("""COMPUTED_VALUE"""),"https://store.steampowered.com/publisher/NEOWIZ")</f>
        <v>https://store.steampowered.com/publisher/NEOWIZ</v>
      </c>
      <c r="H44" s="61" t="str">
        <f>IFERROR(__xludf.DUMMYFUNCTION("""COMPUTED_VALUE"""),"https://gamalytic.com/publisher/NEOWIZ")</f>
        <v>https://gamalytic.com/publisher/NEOWIZ</v>
      </c>
      <c r="I44" s="62" t="str">
        <f>IFERROR(__xludf.DUMMYFUNCTION("""COMPUTED_VALUE"""),"69K")</f>
        <v>69K</v>
      </c>
      <c r="J44" s="63" t="str">
        <f>IFERROR(__xludf.DUMMYFUNCTION("""COMPUTED_VALUE"""),"14")</f>
        <v>14</v>
      </c>
      <c r="K44" s="64" t="str">
        <f>IFERROR(__xludf.DUMMYFUNCTION("""COMPUTED_VALUE"""),"Jun 2018")</f>
        <v>Jun 2018</v>
      </c>
      <c r="L44" s="64" t="str">
        <f>IFERROR(__xludf.DUMMYFUNCTION("""COMPUTED_VALUE"""),"Sep 2025")</f>
        <v>Sep 2025</v>
      </c>
      <c r="M44" s="65">
        <f>IFERROR(__xludf.DUMMYFUNCTION("""COMPUTED_VALUE"""),1.35131758E8)</f>
        <v>135131758</v>
      </c>
      <c r="N44" s="65">
        <f>IFERROR(__xludf.DUMMYFUNCTION("""COMPUTED_VALUE"""),9652268.42857143)</f>
        <v>9652268.429</v>
      </c>
      <c r="O44" s="65">
        <f>IFERROR(__xludf.DUMMYFUNCTION("""COMPUTED_VALUE"""),790759.0)</f>
        <v>790759</v>
      </c>
      <c r="P44" s="66" t="str">
        <f>IFERROR(__xludf.DUMMYFUNCTION("""COMPUTED_VALUE"""),"AA")</f>
        <v>AA</v>
      </c>
      <c r="Q44" s="64" t="str">
        <f>IFERROR(__xludf.DUMMYFUNCTION("""COMPUTED_VALUE"""),"$$, $$$")</f>
        <v>$$, $$$</v>
      </c>
      <c r="R44" s="68" t="str">
        <f>IFERROR(__xludf.DUMMYFUNCTION("""COMPUTED_VALUE"""),"?")</f>
        <v>?</v>
      </c>
      <c r="S44" s="25" t="str">
        <f>IFERROR(__xludf.DUMMYFUNCTION("""COMPUTED_VALUE"""),"Action Roguelike, Souls-like, Roguelite, Rhythm, Action RPG, Roguelike, Hack and Slash, Platformer, Co-op, Dungeon Crawler")</f>
        <v>Action Roguelike, Souls-like, Roguelite, Rhythm, Action RPG, Roguelike, Hack and Slash, Platformer, Co-op, Dungeon Crawler</v>
      </c>
      <c r="T44" s="40" t="str">
        <f>IFERROR(__xludf.DUMMYFUNCTION("""COMPUTED_VALUE"""),"Lies of P, DJMax Respect V, Skul The Hero Slayer, Sanabi")</f>
        <v>Lies of P, DJMax Respect V, Skul The Hero Slayer, Sanabi</v>
      </c>
      <c r="U44" s="69" t="str">
        <f>IFERROR(__xludf.DUMMYFUNCTION("""COMPUTED_VALUE"""),"-")</f>
        <v>-</v>
      </c>
    </row>
    <row r="45">
      <c r="A45" s="49" t="str">
        <f>IFERROR(__xludf.DUMMYFUNCTION("""COMPUTED_VALUE"""),"United Label")</f>
        <v>United Label</v>
      </c>
      <c r="B45" s="40" t="str">
        <f>IFERROR(__xludf.DUMMYFUNCTION("""COMPUTED_VALUE"""),"Poland")</f>
        <v>Poland</v>
      </c>
      <c r="C45" s="52" t="str">
        <f>IFERROR(__xludf.DUMMYFUNCTION("""COMPUTED_VALUE"""),"https://www.unitedlabelgames.com")</f>
        <v>https://www.unitedlabelgames.com</v>
      </c>
      <c r="D45" s="40" t="str">
        <f>IFERROR(__xludf.DUMMYFUNCTION("""COMPUTED_VALUE"""),"-")</f>
        <v>-</v>
      </c>
      <c r="E45" s="55" t="str">
        <f>IFERROR(__xludf.DUMMYFUNCTION("""COMPUTED_VALUE"""),"https://forms.monday.com/forms/347d5f193a6463eb9f0a11a38599bf57?r=euc1")</f>
        <v>https://forms.monday.com/forms/347d5f193a6463eb9f0a11a38599bf57?r=euc1</v>
      </c>
      <c r="F45" s="56" t="str">
        <f>IFERROR(__xludf.DUMMYFUNCTION("""COMPUTED_VALUE"""),"?")</f>
        <v>?</v>
      </c>
      <c r="G45" s="59" t="str">
        <f>IFERROR(__xludf.DUMMYFUNCTION("""COMPUTED_VALUE"""),"https://store.steampowered.com/curator/35979300-United-Label")</f>
        <v>https://store.steampowered.com/curator/35979300-United-Label</v>
      </c>
      <c r="H45" s="61" t="str">
        <f>IFERROR(__xludf.DUMMYFUNCTION("""COMPUTED_VALUE"""),"https://gamalytic.com/publisher/United%20Label")</f>
        <v>https://gamalytic.com/publisher/United%20Label</v>
      </c>
      <c r="I45" s="62" t="str">
        <f>IFERROR(__xludf.DUMMYFUNCTION("""COMPUTED_VALUE"""),"5K")</f>
        <v>5K</v>
      </c>
      <c r="J45" s="63">
        <f>IFERROR(__xludf.DUMMYFUNCTION("""COMPUTED_VALUE"""),5.0)</f>
        <v>5</v>
      </c>
      <c r="K45" s="64" t="str">
        <f>IFERROR(__xludf.DUMMYFUNCTION("""COMPUTED_VALUE"""),"Jul 2020")</f>
        <v>Jul 2020</v>
      </c>
      <c r="L45" s="64" t="str">
        <f>IFERROR(__xludf.DUMMYFUNCTION("""COMPUTED_VALUE"""),"Jan 2025")</f>
        <v>Jan 2025</v>
      </c>
      <c r="M45" s="65">
        <f>IFERROR(__xludf.DUMMYFUNCTION("""COMPUTED_VALUE"""),6382384.0)</f>
        <v>6382384</v>
      </c>
      <c r="N45" s="65">
        <f>IFERROR(__xludf.DUMMYFUNCTION("""COMPUTED_VALUE"""),1276476.8)</f>
        <v>1276476.8</v>
      </c>
      <c r="O45" s="65">
        <f>IFERROR(__xludf.DUMMYFUNCTION("""COMPUTED_VALUE"""),779725.0)</f>
        <v>779725</v>
      </c>
      <c r="P45" s="66" t="str">
        <f>IFERROR(__xludf.DUMMYFUNCTION("""COMPUTED_VALUE"""),"Indie")</f>
        <v>Indie</v>
      </c>
      <c r="Q45" s="64" t="str">
        <f>IFERROR(__xludf.DUMMYFUNCTION("""COMPUTED_VALUE"""),"$, $$")</f>
        <v>$, $$</v>
      </c>
      <c r="R45" s="68" t="str">
        <f>IFERROR(__xludf.DUMMYFUNCTION("""COMPUTED_VALUE"""),"★★")</f>
        <v>★★</v>
      </c>
      <c r="S45" s="25" t="str">
        <f>IFERROR(__xludf.DUMMYFUNCTION("""COMPUTED_VALUE"""),"Action RPG, Souls-like, Action-Adventure, Puzzle, Hack and Slash")</f>
        <v>Action RPG, Souls-like, Action-Adventure, Puzzle, Hack and Slash</v>
      </c>
      <c r="T45" s="40" t="str">
        <f>IFERROR(__xludf.DUMMYFUNCTION("""COMPUTED_VALUE"""),"Tails of Iron, Eldest Souls, Roki")</f>
        <v>Tails of Iron, Eldest Souls, Roki</v>
      </c>
      <c r="U45" s="69" t="str">
        <f>IFERROR(__xludf.DUMMYFUNCTION("""COMPUTED_VALUE"""),"All genres, budgets up to 1M USD, but happy to bigger for the right project. ")</f>
        <v>All genres, budgets up to 1M USD, but happy to bigger for the right project. </v>
      </c>
    </row>
    <row r="46">
      <c r="A46" s="49" t="str">
        <f>IFERROR(__xludf.DUMMYFUNCTION("""COMPUTED_VALUE"""),"Meta Publishing")</f>
        <v>Meta Publishing</v>
      </c>
      <c r="B46" s="40" t="str">
        <f>IFERROR(__xludf.DUMMYFUNCTION("""COMPUTED_VALUE"""),"Cyprus")</f>
        <v>Cyprus</v>
      </c>
      <c r="C46" s="52" t="str">
        <f>IFERROR(__xludf.DUMMYFUNCTION("""COMPUTED_VALUE"""),"https://metapublishing.io/")</f>
        <v>https://metapublishing.io/</v>
      </c>
      <c r="D46" s="55" t="str">
        <f>IFERROR(__xludf.DUMMYFUNCTION("""COMPUTED_VALUE"""),"https://metapublishing.io/for-developers/")</f>
        <v>https://metapublishing.io/for-developers/</v>
      </c>
      <c r="E46" s="40" t="str">
        <f>IFERROR(__xludf.DUMMYFUNCTION("""COMPUTED_VALUE"""),"team@metapublishing.io")</f>
        <v>team@metapublishing.io</v>
      </c>
      <c r="F46" s="56" t="str">
        <f>IFERROR(__xludf.DUMMYFUNCTION("""COMPUTED_VALUE"""),"Ilya Grabelnikov")</f>
        <v>Ilya Grabelnikov</v>
      </c>
      <c r="G46" s="59" t="str">
        <f>IFERROR(__xludf.DUMMYFUNCTION("""COMPUTED_VALUE"""),"https://store.steampowered.com/publisher/MetaPublishing")</f>
        <v>https://store.steampowered.com/publisher/MetaPublishing</v>
      </c>
      <c r="H46" s="61" t="str">
        <f>IFERROR(__xludf.DUMMYFUNCTION("""COMPUTED_VALUE"""),"https://gamalytic.com/publisher/META%20Publishing")</f>
        <v>https://gamalytic.com/publisher/META%20Publishing</v>
      </c>
      <c r="I46" s="62" t="str">
        <f>IFERROR(__xludf.DUMMYFUNCTION("""COMPUTED_VALUE"""),"8K")</f>
        <v>8K</v>
      </c>
      <c r="J46" s="63">
        <f>IFERROR(__xludf.DUMMYFUNCTION("""COMPUTED_VALUE"""),10.0)</f>
        <v>10</v>
      </c>
      <c r="K46" s="64" t="str">
        <f>IFERROR(__xludf.DUMMYFUNCTION("""COMPUTED_VALUE"""),"Sep 2015")</f>
        <v>Sep 2015</v>
      </c>
      <c r="L46" s="64" t="str">
        <f>IFERROR(__xludf.DUMMYFUNCTION("""COMPUTED_VALUE"""),"Feb 2026")</f>
        <v>Feb 2026</v>
      </c>
      <c r="M46" s="65">
        <f>IFERROR(__xludf.DUMMYFUNCTION("""COMPUTED_VALUE"""),3.409919E7)</f>
        <v>34099190</v>
      </c>
      <c r="N46" s="65">
        <f>IFERROR(__xludf.DUMMYFUNCTION("""COMPUTED_VALUE"""),3409919.0)</f>
        <v>3409919</v>
      </c>
      <c r="O46" s="65">
        <f>IFERROR(__xludf.DUMMYFUNCTION("""COMPUTED_VALUE"""),747707.5)</f>
        <v>747707.5</v>
      </c>
      <c r="P46" s="66" t="str">
        <f>IFERROR(__xludf.DUMMYFUNCTION("""COMPUTED_VALUE"""),"Indie")</f>
        <v>Indie</v>
      </c>
      <c r="Q46" s="64" t="str">
        <f>IFERROR(__xludf.DUMMYFUNCTION("""COMPUTED_VALUE"""),"$, $$")</f>
        <v>$, $$</v>
      </c>
      <c r="R46" s="68" t="str">
        <f>IFERROR(__xludf.DUMMYFUNCTION("""COMPUTED_VALUE"""),"★")</f>
        <v>★</v>
      </c>
      <c r="S46" s="25" t="str">
        <f>IFERROR(__xludf.DUMMYFUNCTION("""COMPUTED_VALUE"""),"Puzzle, Co-op, CRPG, Turn-Based Combat, Puzzle Platformer, 3D Platformer, Sandbox, Tactical RPG, Resource Management")</f>
        <v>Puzzle, Co-op, CRPG, Turn-Based Combat, Puzzle Platformer, 3D Platformer, Sandbox, Tactical RPG, Resource Management</v>
      </c>
      <c r="T46" s="40" t="str">
        <f>IFERROR(__xludf.DUMMYFUNCTION("""COMPUTED_VALUE"""),"Pathfinder, Biped, Train Valley")</f>
        <v>Pathfinder, Biped, Train Valley</v>
      </c>
      <c r="U46" s="69" t="str">
        <f>IFERROR(__xludf.DUMMYFUNCTION("""COMPUTED_VALUE"""),"concentrated on Action-Puzzle-Adventure/Life Sim games with a strong focus on cross-platform online COOP or PvP, something similar to the Human: Fall Flat")</f>
        <v>concentrated on Action-Puzzle-Adventure/Life Sim games with a strong focus on cross-platform online COOP or PvP, something similar to the Human: Fall Flat</v>
      </c>
    </row>
    <row r="47">
      <c r="A47" s="49" t="str">
        <f>IFERROR(__xludf.DUMMYFUNCTION("""COMPUTED_VALUE"""),"Forklift Interactive")</f>
        <v>Forklift Interactive</v>
      </c>
      <c r="B47" s="40" t="str">
        <f>IFERROR(__xludf.DUMMYFUNCTION("""COMPUTED_VALUE"""),"USA, Spain")</f>
        <v>USA, Spain</v>
      </c>
      <c r="C47" s="52" t="str">
        <f>IFERROR(__xludf.DUMMYFUNCTION("""COMPUTED_VALUE"""),"https://www.forklift.gg/")</f>
        <v>https://www.forklift.gg/</v>
      </c>
      <c r="D47" s="40" t="str">
        <f>IFERROR(__xludf.DUMMYFUNCTION("""COMPUTED_VALUE"""),"-")</f>
        <v>-</v>
      </c>
      <c r="E47" s="40" t="str">
        <f>IFERROR(__xludf.DUMMYFUNCTION("""COMPUTED_VALUE"""),"crew@forklift.gg")</f>
        <v>crew@forklift.gg</v>
      </c>
      <c r="F47" s="56" t="str">
        <f>IFERROR(__xludf.DUMMYFUNCTION("""COMPUTED_VALUE"""),"Andrei Podoprigora")</f>
        <v>Andrei Podoprigora</v>
      </c>
      <c r="G47" s="59" t="str">
        <f>IFERROR(__xludf.DUMMYFUNCTION("""COMPUTED_VALUE"""),"https://store.steampowered.com/publisher/forklift")</f>
        <v>https://store.steampowered.com/publisher/forklift</v>
      </c>
      <c r="H47" s="61" t="str">
        <f>IFERROR(__xludf.DUMMYFUNCTION("""COMPUTED_VALUE"""),"https://gamalytic.com/publisher/Forklift%20Interactive")</f>
        <v>https://gamalytic.com/publisher/Forklift%20Interactive</v>
      </c>
      <c r="I47" s="62" t="str">
        <f>IFERROR(__xludf.DUMMYFUNCTION("""COMPUTED_VALUE"""),"1K")</f>
        <v>1K</v>
      </c>
      <c r="J47" s="63">
        <f>IFERROR(__xludf.DUMMYFUNCTION("""COMPUTED_VALUE"""),7.0)</f>
        <v>7</v>
      </c>
      <c r="K47" s="64" t="str">
        <f>IFERROR(__xludf.DUMMYFUNCTION("""COMPUTED_VALUE"""),"May 2025")</f>
        <v>May 2025</v>
      </c>
      <c r="L47" s="64" t="str">
        <f>IFERROR(__xludf.DUMMYFUNCTION("""COMPUTED_VALUE"""),"Apr 2026")</f>
        <v>Apr 2026</v>
      </c>
      <c r="M47" s="65">
        <f>IFERROR(__xludf.DUMMYFUNCTION("""COMPUTED_VALUE"""),1.1822058E7)</f>
        <v>11822058</v>
      </c>
      <c r="N47" s="65">
        <f>IFERROR(__xludf.DUMMYFUNCTION("""COMPUTED_VALUE"""),1688865.42857142)</f>
        <v>1688865.429</v>
      </c>
      <c r="O47" s="65">
        <f>IFERROR(__xludf.DUMMYFUNCTION("""COMPUTED_VALUE"""),726484.0)</f>
        <v>726484</v>
      </c>
      <c r="P47" s="66" t="str">
        <f>IFERROR(__xludf.DUMMYFUNCTION("""COMPUTED_VALUE"""),"Indie")</f>
        <v>Indie</v>
      </c>
      <c r="Q47" s="64" t="str">
        <f>IFERROR(__xludf.DUMMYFUNCTION("""COMPUTED_VALUE"""),"$, $$")</f>
        <v>$, $$</v>
      </c>
      <c r="R47" s="68" t="str">
        <f>IFERROR(__xludf.DUMMYFUNCTION("""COMPUTED_VALUE"""),"?")</f>
        <v>?</v>
      </c>
      <c r="S47" s="25" t="str">
        <f>IFERROR(__xludf.DUMMYFUNCTION("""COMPUTED_VALUE"""),"Sandbox, Automation, Immersive Sim, Management, Survival, City Builder, Base Building, Programming, Life Sim, Cleaning")</f>
        <v>Sandbox, Automation, Immersive Sim, Management, Survival, City Builder, Base Building, Programming, Life Sim, Cleaning</v>
      </c>
      <c r="T47" s="40" t="str">
        <f>IFERROR(__xludf.DUMMYFUNCTION("""COMPUTED_VALUE"""),"Desynced")</f>
        <v>Desynced</v>
      </c>
      <c r="U47" s="69" t="str">
        <f>IFERROR(__xludf.DUMMYFUNCTION("""COMPUTED_VALUE"""),"Ex-tinyBuild and ex-Adult Swim producers started a label with a clear focus on systems-driven games. Rarely provide dev funding, instead bringing solid marketing budgets for a reasonable rev share. If the game's great, they will help devs land an external"&amp;" dev funding.")</f>
        <v>Ex-tinyBuild and ex-Adult Swim producers started a label with a clear focus on systems-driven games. Rarely provide dev funding, instead bringing solid marketing budgets for a reasonable rev share. If the game's great, they will help devs land an external dev funding.</v>
      </c>
    </row>
    <row r="48">
      <c r="A48" s="49" t="str">
        <f>IFERROR(__xludf.DUMMYFUNCTION("""COMPUTED_VALUE"""),"NAGA")</f>
        <v>NAGA</v>
      </c>
      <c r="B48" s="40" t="str">
        <f>IFERROR(__xludf.DUMMYFUNCTION("""COMPUTED_VALUE"""),"France")</f>
        <v>France</v>
      </c>
      <c r="C48" s="52" t="str">
        <f>IFERROR(__xludf.DUMMYFUNCTION("""COMPUTED_VALUE"""),"https://www.naga-publishing.com")</f>
        <v>https://www.naga-publishing.com</v>
      </c>
      <c r="D48" s="40"/>
      <c r="E48" s="40" t="str">
        <f>IFERROR(__xludf.DUMMYFUNCTION("""COMPUTED_VALUE"""),"contact@naga-agency.com")</f>
        <v>contact@naga-agency.com</v>
      </c>
      <c r="F48" s="56" t="str">
        <f>IFERROR(__xludf.DUMMYFUNCTION("""COMPUTED_VALUE"""),"Ewan Charlot")</f>
        <v>Ewan Charlot</v>
      </c>
      <c r="G48" s="59" t="str">
        <f>IFERROR(__xludf.DUMMYFUNCTION("""COMPUTED_VALUE"""),"https://store.steampowered.com/curator/45630690")</f>
        <v>https://store.steampowered.com/curator/45630690</v>
      </c>
      <c r="H48" s="61" t="str">
        <f>IFERROR(__xludf.DUMMYFUNCTION("""COMPUTED_VALUE"""),"https://gamalytic.com/publisher/NAGA")</f>
        <v>https://gamalytic.com/publisher/NAGA</v>
      </c>
      <c r="I48" s="62">
        <f>IFERROR(__xludf.DUMMYFUNCTION("""COMPUTED_VALUE"""),24.0)</f>
        <v>24</v>
      </c>
      <c r="J48" s="63">
        <f>IFERROR(__xludf.DUMMYFUNCTION("""COMPUTED_VALUE"""),1.0)</f>
        <v>1</v>
      </c>
      <c r="K48" s="64" t="str">
        <f>IFERROR(__xludf.DUMMYFUNCTION("""COMPUTED_VALUE"""),"May 2014")</f>
        <v>May 2014</v>
      </c>
      <c r="L48" s="64" t="str">
        <f>IFERROR(__xludf.DUMMYFUNCTION("""COMPUTED_VALUE"""),"Sep 2026")</f>
        <v>Sep 2026</v>
      </c>
      <c r="M48" s="65">
        <f>IFERROR(__xludf.DUMMYFUNCTION("""COMPUTED_VALUE"""),708774.0)</f>
        <v>708774</v>
      </c>
      <c r="N48" s="65">
        <f>IFERROR(__xludf.DUMMYFUNCTION("""COMPUTED_VALUE"""),708774.0)</f>
        <v>708774</v>
      </c>
      <c r="O48" s="65">
        <f>IFERROR(__xludf.DUMMYFUNCTION("""COMPUTED_VALUE"""),708774.0)</f>
        <v>708774</v>
      </c>
      <c r="P48" s="66" t="str">
        <f>IFERROR(__xludf.DUMMYFUNCTION("""COMPUTED_VALUE"""),"Indie")</f>
        <v>Indie</v>
      </c>
      <c r="Q48" s="64" t="str">
        <f>IFERROR(__xludf.DUMMYFUNCTION("""COMPUTED_VALUE"""),"$")</f>
        <v>$</v>
      </c>
      <c r="R48" s="68" t="str">
        <f>IFERROR(__xludf.DUMMYFUNCTION("""COMPUTED_VALUE"""),"?")</f>
        <v>?</v>
      </c>
      <c r="S48" s="25" t="str">
        <f>IFERROR(__xludf.DUMMYFUNCTION("""COMPUTED_VALUE"""),"Roguelite, Co-op, Collectathon, Puzzle, Bullet Heaven, Tower Defense, Bullet Hell, Twin Stick Shooter, Top-Down Shooter, Hack and Slash")</f>
        <v>Roguelite, Co-op, Collectathon, Puzzle, Bullet Heaven, Tower Defense, Bullet Hell, Twin Stick Shooter, Top-Down Shooter, Hack and Slash</v>
      </c>
      <c r="T48" s="40" t="str">
        <f>IFERROR(__xludf.DUMMYFUNCTION("""COMPUTED_VALUE"""),"Rekindled Trails, Kritter: Defend Together")</f>
        <v>Rekindled Trails, Kritter: Defend Together</v>
      </c>
      <c r="U48" s="69" t="str">
        <f>IFERROR(__xludf.DUMMYFUNCTION("""COMPUTED_VALUE"""),"Marketing &amp; Distribution focused CoPublisher, allowing flexible partnerships including with other Publishers or CoInvestors. Marketing funding only.")</f>
        <v>Marketing &amp; Distribution focused CoPublisher, allowing flexible partnerships including with other Publishers or CoInvestors. Marketing funding only.</v>
      </c>
    </row>
    <row r="49">
      <c r="A49" s="49" t="str">
        <f>IFERROR(__xludf.DUMMYFUNCTION("""COMPUTED_VALUE"""),"Thunderful")</f>
        <v>Thunderful</v>
      </c>
      <c r="B49" s="40" t="str">
        <f>IFERROR(__xludf.DUMMYFUNCTION("""COMPUTED_VALUE"""),"Sweden")</f>
        <v>Sweden</v>
      </c>
      <c r="C49" s="52" t="str">
        <f>IFERROR(__xludf.DUMMYFUNCTION("""COMPUTED_VALUE"""),"https://thunderfulgames.com/")</f>
        <v>https://thunderfulgames.com/</v>
      </c>
      <c r="D49" s="40" t="str">
        <f>IFERROR(__xludf.DUMMYFUNCTION("""COMPUTED_VALUE"""),"-")</f>
        <v>-</v>
      </c>
      <c r="E49" s="55" t="str">
        <f>IFERROR(__xludf.DUMMYFUNCTION("""COMPUTED_VALUE"""),"https://thunderfulgames.com/pitch-a-game/")</f>
        <v>https://thunderfulgames.com/pitch-a-game/</v>
      </c>
      <c r="F49" s="56" t="str">
        <f>IFERROR(__xludf.DUMMYFUNCTION("""COMPUTED_VALUE"""),"?")</f>
        <v>?</v>
      </c>
      <c r="G49" s="59" t="str">
        <f>IFERROR(__xludf.DUMMYFUNCTION("""COMPUTED_VALUE"""),"https://store.steampowered.com/publisher/thunderfulpublishing")</f>
        <v>https://store.steampowered.com/publisher/thunderfulpublishing</v>
      </c>
      <c r="H49" s="61" t="str">
        <f>IFERROR(__xludf.DUMMYFUNCTION("""COMPUTED_VALUE"""),"https://gamalytic.com/publisher/Thunderful%20Publishing")</f>
        <v>https://gamalytic.com/publisher/Thunderful%20Publishing</v>
      </c>
      <c r="I49" s="62" t="str">
        <f>IFERROR(__xludf.DUMMYFUNCTION("""COMPUTED_VALUE"""),"25K")</f>
        <v>25K</v>
      </c>
      <c r="J49" s="63" t="str">
        <f>IFERROR(__xludf.DUMMYFUNCTION("""COMPUTED_VALUE"""),"24")</f>
        <v>24</v>
      </c>
      <c r="K49" s="64" t="str">
        <f>IFERROR(__xludf.DUMMYFUNCTION("""COMPUTED_VALUE"""),"May 2019")</f>
        <v>May 2019</v>
      </c>
      <c r="L49" s="64" t="str">
        <f>IFERROR(__xludf.DUMMYFUNCTION("""COMPUTED_VALUE"""),"Mar 2026")</f>
        <v>Mar 2026</v>
      </c>
      <c r="M49" s="65">
        <f>IFERROR(__xludf.DUMMYFUNCTION("""COMPUTED_VALUE"""),3.759496E7)</f>
        <v>37594960</v>
      </c>
      <c r="N49" s="65">
        <f>IFERROR(__xludf.DUMMYFUNCTION("""COMPUTED_VALUE"""),1566456.66666666)</f>
        <v>1566456.667</v>
      </c>
      <c r="O49" s="65">
        <f>IFERROR(__xludf.DUMMYFUNCTION("""COMPUTED_VALUE"""),691620.5)</f>
        <v>691620.5</v>
      </c>
      <c r="P49" s="66" t="str">
        <f>IFERROR(__xludf.DUMMYFUNCTION("""COMPUTED_VALUE"""),"Indie")</f>
        <v>Indie</v>
      </c>
      <c r="Q49" s="64" t="str">
        <f>IFERROR(__xludf.DUMMYFUNCTION("""COMPUTED_VALUE"""),"$, $$")</f>
        <v>$, $$</v>
      </c>
      <c r="R49" s="68" t="str">
        <f>IFERROR(__xludf.DUMMYFUNCTION("""COMPUTED_VALUE"""),"★★★")</f>
        <v>★★★</v>
      </c>
      <c r="S49" s="25" t="str">
        <f>IFERROR(__xludf.DUMMYFUNCTION("""COMPUTED_VALUE"""),"Puzzle, Action-Adventure, Puzzle Platformer, Platformer, 3D Platformer, Roguelite, Roguelike, Colony Sim, Survival, 2D Platformer")</f>
        <v>Puzzle, Action-Adventure, Puzzle Platformer, Platformer, 3D Platformer, Roguelite, Roguelike, Colony Sim, Survival, 2D Platformer</v>
      </c>
      <c r="T49" s="40" t="str">
        <f>IFERROR(__xludf.DUMMYFUNCTION("""COMPUTED_VALUE"""),"Lego Bricktales, Viewfinder, SteamWorld Dig, Lonely Mountains Downhill")</f>
        <v>Lego Bricktales, Viewfinder, SteamWorld Dig, Lonely Mountains Downhill</v>
      </c>
      <c r="U49" s="69" t="str">
        <f>IFERROR(__xludf.DUMMYFUNCTION("""COMPUTED_VALUE"""),"They publish all genres, leaning towards iii and AA these days")</f>
        <v>They publish all genres, leaning towards iii and AA these days</v>
      </c>
    </row>
    <row r="50">
      <c r="A50" s="49" t="str">
        <f>IFERROR(__xludf.DUMMYFUNCTION("""COMPUTED_VALUE"""),"Marvelous USA / XSEED Games")</f>
        <v>Marvelous USA / XSEED Games</v>
      </c>
      <c r="B50" s="40" t="str">
        <f>IFERROR(__xludf.DUMMYFUNCTION("""COMPUTED_VALUE"""),"USA")</f>
        <v>USA</v>
      </c>
      <c r="C50" s="52" t="str">
        <f>IFERROR(__xludf.DUMMYFUNCTION("""COMPUTED_VALUE"""),"https://www.xseedgames.com/")</f>
        <v>https://www.xseedgames.com/</v>
      </c>
      <c r="D50" s="40" t="str">
        <f>IFERROR(__xludf.DUMMYFUNCTION("""COMPUTED_VALUE"""),"-")</f>
        <v>-</v>
      </c>
      <c r="E50" s="55" t="str">
        <f>IFERROR(__xludf.DUMMYFUNCTION("""COMPUTED_VALUE"""),"https://www.xseedgames.com/pitch-us-your-game/")</f>
        <v>https://www.xseedgames.com/pitch-us-your-game/</v>
      </c>
      <c r="F50" s="56" t="str">
        <f>IFERROR(__xludf.DUMMYFUNCTION("""COMPUTED_VALUE"""),"?")</f>
        <v>?</v>
      </c>
      <c r="G50" s="59" t="str">
        <f>IFERROR(__xludf.DUMMYFUNCTION("""COMPUTED_VALUE"""),"https://store.steampowered.com/publisher/marveloususa")</f>
        <v>https://store.steampowered.com/publisher/marveloususa</v>
      </c>
      <c r="H50" s="61" t="str">
        <f>IFERROR(__xludf.DUMMYFUNCTION("""COMPUTED_VALUE"""),"https://gamalytic.com/publisher/XSEED%20Games")</f>
        <v>https://gamalytic.com/publisher/XSEED%20Games</v>
      </c>
      <c r="I50" s="62" t="str">
        <f>IFERROR(__xludf.DUMMYFUNCTION("""COMPUTED_VALUE"""),"105K")</f>
        <v>105K</v>
      </c>
      <c r="J50" s="63" t="str">
        <f>IFERROR(__xludf.DUMMYFUNCTION("""COMPUTED_VALUE"""),"62")</f>
        <v>62</v>
      </c>
      <c r="K50" s="64" t="str">
        <f>IFERROR(__xludf.DUMMYFUNCTION("""COMPUTED_VALUE"""),"Sep 2012")</f>
        <v>Sep 2012</v>
      </c>
      <c r="L50" s="64" t="str">
        <f>IFERROR(__xludf.DUMMYFUNCTION("""COMPUTED_VALUE"""),"Dec 2025")</f>
        <v>Dec 2025</v>
      </c>
      <c r="M50" s="65">
        <f>IFERROR(__xludf.DUMMYFUNCTION("""COMPUTED_VALUE"""),1.17982967E8)</f>
        <v>117982967</v>
      </c>
      <c r="N50" s="65">
        <f>IFERROR(__xludf.DUMMYFUNCTION("""COMPUTED_VALUE"""),1902951.08064516)</f>
        <v>1902951.081</v>
      </c>
      <c r="O50" s="65">
        <f>IFERROR(__xludf.DUMMYFUNCTION("""COMPUTED_VALUE"""),687813.5)</f>
        <v>687813.5</v>
      </c>
      <c r="P50" s="66" t="str">
        <f>IFERROR(__xludf.DUMMYFUNCTION("""COMPUTED_VALUE"""),"AA")</f>
        <v>AA</v>
      </c>
      <c r="Q50" s="64" t="str">
        <f>IFERROR(__xludf.DUMMYFUNCTION("""COMPUTED_VALUE"""),"$$, $$$")</f>
        <v>$$, $$$</v>
      </c>
      <c r="R50" s="68" t="str">
        <f>IFERROR(__xludf.DUMMYFUNCTION("""COMPUTED_VALUE"""),"?")</f>
        <v>?</v>
      </c>
      <c r="S50" s="25" t="str">
        <f>IFERROR(__xludf.DUMMYFUNCTION("""COMPUTED_VALUE"""),"JRPG, Farming Sim, Hack and Slash, Action RPG, Dating Sim, Life Sim, Beat 'em up, Fighting, Crafting")</f>
        <v>JRPG, Farming Sim, Hack and Slash, Action RPG, Dating Sim, Life Sim, Beat 'em up, Fighting, Crafting</v>
      </c>
      <c r="T50" s="40" t="str">
        <f>IFERROR(__xludf.DUMMYFUNCTION("""COMPUTED_VALUE"""),"Story of Seasons, Rune Factory, Sakuna of Rice and Ruin, Potionomics, Cuisineer")</f>
        <v>Story of Seasons, Rune Factory, Sakuna of Rice and Ruin, Potionomics, Cuisineer</v>
      </c>
      <c r="U50" s="69" t="str">
        <f>IFERROR(__xludf.DUMMYFUNCTION("""COMPUTED_VALUE"""),"Subsidiary of Marvelous Inc in Japan. Publisher and developer for Story of Seasons, Rune Factory, Daemon X Machina series. Also publishes third party titles.")</f>
        <v>Subsidiary of Marvelous Inc in Japan. Publisher and developer for Story of Seasons, Rune Factory, Daemon X Machina series. Also publishes third party titles.</v>
      </c>
    </row>
    <row r="51">
      <c r="A51" s="49" t="str">
        <f>IFERROR(__xludf.DUMMYFUNCTION("""COMPUTED_VALUE"""),"Kwalee")</f>
        <v>Kwalee</v>
      </c>
      <c r="B51" s="40" t="str">
        <f>IFERROR(__xludf.DUMMYFUNCTION("""COMPUTED_VALUE"""),"UK")</f>
        <v>UK</v>
      </c>
      <c r="C51" s="52" t="str">
        <f>IFERROR(__xludf.DUMMYFUNCTION("""COMPUTED_VALUE"""),"https://www.kwalee.com/")</f>
        <v>https://www.kwalee.com/</v>
      </c>
      <c r="D51" s="55" t="str">
        <f>IFERROR(__xludf.DUMMYFUNCTION("""COMPUTED_VALUE"""),"https://docs.google.com/presentation/d/1_wYa-BnT4yZfFOynQSyOXI4L97F_v-lUoqCN4Quz7Vw/edit#slide=id.g25a4797f419_0_94")</f>
        <v>https://docs.google.com/presentation/d/1_wYa-BnT4yZfFOynQSyOXI4L97F_v-lUoqCN4Quz7Vw/edit#slide=id.g25a4797f419_0_94</v>
      </c>
      <c r="E51" s="55" t="str">
        <f>IFERROR(__xludf.DUMMYFUNCTION("""COMPUTED_VALUE"""),"https://www.kwalee.com/campaign/submit-your-game")</f>
        <v>https://www.kwalee.com/campaign/submit-your-game</v>
      </c>
      <c r="F51" s="56" t="str">
        <f>IFERROR(__xludf.DUMMYFUNCTION("""COMPUTED_VALUE"""),"Jack Griffin")</f>
        <v>Jack Griffin</v>
      </c>
      <c r="G51" s="59" t="str">
        <f>IFERROR(__xludf.DUMMYFUNCTION("""COMPUTED_VALUE"""),"https://store.steampowered.com/publisher/Kwalee")</f>
        <v>https://store.steampowered.com/publisher/Kwalee</v>
      </c>
      <c r="H51" s="61" t="str">
        <f>IFERROR(__xludf.DUMMYFUNCTION("""COMPUTED_VALUE"""),"https://gamalytic.com/publisher/Kwalee")</f>
        <v>https://gamalytic.com/publisher/Kwalee</v>
      </c>
      <c r="I51" s="62" t="str">
        <f>IFERROR(__xludf.DUMMYFUNCTION("""COMPUTED_VALUE"""),"4K")</f>
        <v>4K</v>
      </c>
      <c r="J51" s="63">
        <f>IFERROR(__xludf.DUMMYFUNCTION("""COMPUTED_VALUE"""),26.0)</f>
        <v>26</v>
      </c>
      <c r="K51" s="64" t="str">
        <f>IFERROR(__xludf.DUMMYFUNCTION("""COMPUTED_VALUE"""),"Aug 2020")</f>
        <v>Aug 2020</v>
      </c>
      <c r="L51" s="64" t="str">
        <f>IFERROR(__xludf.DUMMYFUNCTION("""COMPUTED_VALUE"""),"Oct 2026")</f>
        <v>Oct 2026</v>
      </c>
      <c r="M51" s="65">
        <f>IFERROR(__xludf.DUMMYFUNCTION("""COMPUTED_VALUE"""),5.0435424E7)</f>
        <v>50435424</v>
      </c>
      <c r="N51" s="65">
        <f>IFERROR(__xludf.DUMMYFUNCTION("""COMPUTED_VALUE"""),1939824.0)</f>
        <v>1939824</v>
      </c>
      <c r="O51" s="65">
        <f>IFERROR(__xludf.DUMMYFUNCTION("""COMPUTED_VALUE"""),636856.5)</f>
        <v>636856.5</v>
      </c>
      <c r="P51" s="66" t="str">
        <f>IFERROR(__xludf.DUMMYFUNCTION("""COMPUTED_VALUE"""),"AA")</f>
        <v>AA</v>
      </c>
      <c r="Q51" s="64" t="str">
        <f>IFERROR(__xludf.DUMMYFUNCTION("""COMPUTED_VALUE"""),"$$, $$$")</f>
        <v>$$, $$$</v>
      </c>
      <c r="R51" s="68" t="str">
        <f>IFERROR(__xludf.DUMMYFUNCTION("""COMPUTED_VALUE"""),"★★")</f>
        <v>★★</v>
      </c>
      <c r="S51" s="25" t="str">
        <f>IFERROR(__xludf.DUMMYFUNCTION("""COMPUTED_VALUE"""),"Co-op, Horror, Sandbox, Investigation, Open World, FPS, Survival, Survival Horror, City Builder")</f>
        <v>Co-op, Horror, Sandbox, Investigation, Open World, FPS, Survival, Survival Horror, City Builder</v>
      </c>
      <c r="T51" s="40" t="str">
        <f>IFERROR(__xludf.DUMMYFUNCTION("""COMPUTED_VALUE"""),"In a Sink: A co-op Escape Prologue, The Coin Game, Wildmender")</f>
        <v>In a Sink: A co-op Escape Prologue, The Coin Game, Wildmender</v>
      </c>
      <c r="U51" s="69" t="str">
        <f>IFERROR(__xludf.DUMMYFUNCTION("""COMPUTED_VALUE"""),"Previously focused towards Mobile Hyper Casual games, but moved into PC and Console in 2019. UK based but has offices around the world")</f>
        <v>Previously focused towards Mobile Hyper Casual games, but moved into PC and Console in 2019. UK based but has offices around the world</v>
      </c>
    </row>
    <row r="52">
      <c r="A52" s="49" t="str">
        <f>IFERROR(__xludf.DUMMYFUNCTION("""COMPUTED_VALUE"""),"505 Games")</f>
        <v>505 Games</v>
      </c>
      <c r="B52" s="40" t="str">
        <f>IFERROR(__xludf.DUMMYFUNCTION("""COMPUTED_VALUE"""),"Italy")</f>
        <v>Italy</v>
      </c>
      <c r="C52" s="52" t="str">
        <f>IFERROR(__xludf.DUMMYFUNCTION("""COMPUTED_VALUE"""),"https://505games.com/")</f>
        <v>https://505games.com/</v>
      </c>
      <c r="D52" s="40" t="str">
        <f>IFERROR(__xludf.DUMMYFUNCTION("""COMPUTED_VALUE"""),"-")</f>
        <v>-</v>
      </c>
      <c r="E52" s="40" t="str">
        <f>IFERROR(__xludf.DUMMYFUNCTION("""COMPUTED_VALUE"""),"community@505games.com")</f>
        <v>community@505games.com</v>
      </c>
      <c r="F52" s="56" t="str">
        <f>IFERROR(__xludf.DUMMYFUNCTION("""COMPUTED_VALUE"""),"Giovanna Villani, Alessio Castaglia")</f>
        <v>Giovanna Villani, Alessio Castaglia</v>
      </c>
      <c r="G52" s="59" t="str">
        <f>IFERROR(__xludf.DUMMYFUNCTION("""COMPUTED_VALUE"""),"https://store.steampowered.com/developer/505Games")</f>
        <v>https://store.steampowered.com/developer/505Games</v>
      </c>
      <c r="H52" s="61" t="str">
        <f>IFERROR(__xludf.DUMMYFUNCTION("""COMPUTED_VALUE"""),"https://gamalytic.com/publisher/505%20Games")</f>
        <v>https://gamalytic.com/publisher/505%20Games</v>
      </c>
      <c r="I52" s="62" t="str">
        <f>IFERROR(__xludf.DUMMYFUNCTION("""COMPUTED_VALUE"""),"161K")</f>
        <v>161K</v>
      </c>
      <c r="J52" s="63" t="str">
        <f>IFERROR(__xludf.DUMMYFUNCTION("""COMPUTED_VALUE"""),"64")</f>
        <v>64</v>
      </c>
      <c r="K52" s="64" t="str">
        <f>IFERROR(__xludf.DUMMYFUNCTION("""COMPUTED_VALUE"""),"Sep 2013")</f>
        <v>Sep 2013</v>
      </c>
      <c r="L52" s="64" t="str">
        <f>IFERROR(__xludf.DUMMYFUNCTION("""COMPUTED_VALUE"""),"Oct 2026")</f>
        <v>Oct 2026</v>
      </c>
      <c r="M52" s="65">
        <f>IFERROR(__xludf.DUMMYFUNCTION("""COMPUTED_VALUE"""),4.0858187E8)</f>
        <v>408581870</v>
      </c>
      <c r="N52" s="65">
        <f>IFERROR(__xludf.DUMMYFUNCTION("""COMPUTED_VALUE"""),6384091.71875)</f>
        <v>6384091.719</v>
      </c>
      <c r="O52" s="65">
        <f>IFERROR(__xludf.DUMMYFUNCTION("""COMPUTED_VALUE"""),635627.0)</f>
        <v>635627</v>
      </c>
      <c r="P52" s="66" t="str">
        <f>IFERROR(__xludf.DUMMYFUNCTION("""COMPUTED_VALUE"""),"AA")</f>
        <v>AA</v>
      </c>
      <c r="Q52" s="64" t="str">
        <f>IFERROR(__xludf.DUMMYFUNCTION("""COMPUTED_VALUE"""),"$$, $$$")</f>
        <v>$$, $$$</v>
      </c>
      <c r="R52" s="68" t="str">
        <f>IFERROR(__xludf.DUMMYFUNCTION("""COMPUTED_VALUE"""),"★★")</f>
        <v>★★</v>
      </c>
      <c r="S52" s="25" t="str">
        <f>IFERROR(__xludf.DUMMYFUNCTION("""COMPUTED_VALUE"""),"Automobile Sim, Open World, Driving, VR, Co-op, Hack and Slash, Survival, Action-Adventure, Crafting, Walking Simulator")</f>
        <v>Automobile Sim, Open World, Driving, VR, Co-op, Hack and Slash, Survival, Action-Adventure, Crafting, Walking Simulator</v>
      </c>
      <c r="T52" s="40" t="str">
        <f>IFERROR(__xludf.DUMMYFUNCTION("""COMPUTED_VALUE"""),"Ghostrunner, Death stranding, Assetto Corsa, Control")</f>
        <v>Ghostrunner, Death stranding, Assetto Corsa, Control</v>
      </c>
      <c r="U52" s="69" t="str">
        <f>IFERROR(__xludf.DUMMYFUNCTION("""COMPUTED_VALUE"""),"They publish top quality AA &amp; AAA games, with $1M+ budgets")</f>
        <v>They publish top quality AA &amp; AAA games, with $1M+ budgets</v>
      </c>
    </row>
    <row r="53">
      <c r="A53" s="49" t="str">
        <f>IFERROR(__xludf.DUMMYFUNCTION("""COMPUTED_VALUE"""),"Devolver")</f>
        <v>Devolver</v>
      </c>
      <c r="B53" s="40" t="str">
        <f>IFERROR(__xludf.DUMMYFUNCTION("""COMPUTED_VALUE"""),"UK, USA")</f>
        <v>UK, USA</v>
      </c>
      <c r="C53" s="52" t="str">
        <f>IFERROR(__xludf.DUMMYFUNCTION("""COMPUTED_VALUE"""),"https://www.devolverdigital.com/")</f>
        <v>https://www.devolverdigital.com/</v>
      </c>
      <c r="D53" s="40" t="str">
        <f>IFERROR(__xludf.DUMMYFUNCTION("""COMPUTED_VALUE"""),"-")</f>
        <v>-</v>
      </c>
      <c r="E53" s="55" t="str">
        <f>IFERROR(__xludf.DUMMYFUNCTION("""COMPUTED_VALUE"""),"https://pitch.devolverdigital.com/")</f>
        <v>https://pitch.devolverdigital.com/</v>
      </c>
      <c r="F53" s="56" t="str">
        <f>IFERROR(__xludf.DUMMYFUNCTION("""COMPUTED_VALUE"""),"Juan de la Torre")</f>
        <v>Juan de la Torre</v>
      </c>
      <c r="G53" s="59" t="str">
        <f>IFERROR(__xludf.DUMMYFUNCTION("""COMPUTED_VALUE"""),"https://store.steampowered.com/developer/DevolverDigital")</f>
        <v>https://store.steampowered.com/developer/DevolverDigital</v>
      </c>
      <c r="H53" s="61" t="str">
        <f>IFERROR(__xludf.DUMMYFUNCTION("""COMPUTED_VALUE"""),"https://gamalytic.com/publisher/Devolver%20Digital")</f>
        <v>https://gamalytic.com/publisher/Devolver%20Digital</v>
      </c>
      <c r="I53" s="62" t="str">
        <f>IFERROR(__xludf.DUMMYFUNCTION("""COMPUTED_VALUE"""),"467K")</f>
        <v>467K</v>
      </c>
      <c r="J53" s="63" t="str">
        <f>IFERROR(__xludf.DUMMYFUNCTION("""COMPUTED_VALUE"""),"147")</f>
        <v>147</v>
      </c>
      <c r="K53" s="64" t="str">
        <f>IFERROR(__xludf.DUMMYFUNCTION("""COMPUTED_VALUE"""),"Nov 2009")</f>
        <v>Nov 2009</v>
      </c>
      <c r="L53" s="64" t="str">
        <f>IFERROR(__xludf.DUMMYFUNCTION("""COMPUTED_VALUE"""),"Oct 2026")</f>
        <v>Oct 2026</v>
      </c>
      <c r="M53" s="65">
        <f>IFERROR(__xludf.DUMMYFUNCTION("""COMPUTED_VALUE"""),5.22595234E8)</f>
        <v>522595234</v>
      </c>
      <c r="N53" s="65">
        <f>IFERROR(__xludf.DUMMYFUNCTION("""COMPUTED_VALUE"""),3555069.61904761)</f>
        <v>3555069.619</v>
      </c>
      <c r="O53" s="65">
        <f>IFERROR(__xludf.DUMMYFUNCTION("""COMPUTED_VALUE"""),609152.0)</f>
        <v>609152</v>
      </c>
      <c r="P53" s="66" t="str">
        <f>IFERROR(__xludf.DUMMYFUNCTION("""COMPUTED_VALUE"""),"AA")</f>
        <v>AA</v>
      </c>
      <c r="Q53" s="64" t="str">
        <f>IFERROR(__xludf.DUMMYFUNCTION("""COMPUTED_VALUE"""),"$$, $$$")</f>
        <v>$$, $$$</v>
      </c>
      <c r="R53" s="68" t="str">
        <f>IFERROR(__xludf.DUMMYFUNCTION("""COMPUTED_VALUE"""),"★★★")</f>
        <v>★★★</v>
      </c>
      <c r="S53" s="25" t="str">
        <f>IFERROR(__xludf.DUMMYFUNCTION("""COMPUTED_VALUE"""),"FPS, Shooter, Co-op, Puzzle, Action Roguelike, Platformer, Roguelike, Roguelite, Hack and Slash, Dungeon Crawler")</f>
        <v>FPS, Shooter, Co-op, Puzzle, Action Roguelike, Platformer, Roguelike, Roguelite, Hack and Slash, Dungeon Crawler</v>
      </c>
      <c r="T53" s="40" t="str">
        <f>IFERROR(__xludf.DUMMYFUNCTION("""COMPUTED_VALUE"""),"Inscryption, Enter the Gungeon, Katana Zero, Hotline Miami Series")</f>
        <v>Inscryption, Enter the Gungeon, Katana Zero, Hotline Miami Series</v>
      </c>
      <c r="U53" s="69" t="str">
        <f>IFERROR(__xludf.DUMMYFUNCTION("""COMPUTED_VALUE"""),"They publish very specific types of games, and if your game is not fun, don't bother. Funding capped at 2M.")</f>
        <v>They publish very specific types of games, and if your game is not fun, don't bother. Funding capped at 2M.</v>
      </c>
    </row>
    <row r="54">
      <c r="A54" s="49" t="str">
        <f>IFERROR(__xludf.DUMMYFUNCTION("""COMPUTED_VALUE"""),"GameForge")</f>
        <v>GameForge</v>
      </c>
      <c r="B54" s="40" t="str">
        <f>IFERROR(__xludf.DUMMYFUNCTION("""COMPUTED_VALUE"""),"Germany")</f>
        <v>Germany</v>
      </c>
      <c r="C54" s="52" t="str">
        <f>IFERROR(__xludf.DUMMYFUNCTION("""COMPUTED_VALUE"""),"https://gameforge.com/en-GB/")</f>
        <v>https://gameforge.com/en-GB/</v>
      </c>
      <c r="D54" s="40" t="str">
        <f>IFERROR(__xludf.DUMMYFUNCTION("""COMPUTED_VALUE"""),"-")</f>
        <v>-</v>
      </c>
      <c r="E54" s="40" t="str">
        <f>IFERROR(__xludf.DUMMYFUNCTION("""COMPUTED_VALUE"""),"licensing@gameforge.com / raphael.kim@gameforge.com")</f>
        <v>licensing@gameforge.com / raphael.kim@gameforge.com</v>
      </c>
      <c r="F54" s="56" t="str">
        <f>IFERROR(__xludf.DUMMYFUNCTION("""COMPUTED_VALUE"""),"Peter Stein, Raphael Kim(한국인 담당)")</f>
        <v>Peter Stein, Raphael Kim(한국인 담당)</v>
      </c>
      <c r="G54" s="59" t="str">
        <f>IFERROR(__xludf.DUMMYFUNCTION("""COMPUTED_VALUE"""),"https://store.steampowered.com/publisher/Gameforge")</f>
        <v>https://store.steampowered.com/publisher/Gameforge</v>
      </c>
      <c r="H54" s="61" t="str">
        <f>IFERROR(__xludf.DUMMYFUNCTION("""COMPUTED_VALUE"""),"https://gamalytic.com/publisher/Gameforge%204D%20GmbH")</f>
        <v>https://gamalytic.com/publisher/Gameforge%204D%20GmbH</v>
      </c>
      <c r="I54" s="62" t="str">
        <f>IFERROR(__xludf.DUMMYFUNCTION("""COMPUTED_VALUE"""),"5K")</f>
        <v>5K</v>
      </c>
      <c r="J54" s="63">
        <f>IFERROR(__xludf.DUMMYFUNCTION("""COMPUTED_VALUE"""),4.0)</f>
        <v>4</v>
      </c>
      <c r="K54" s="64" t="str">
        <f>IFERROR(__xludf.DUMMYFUNCTION("""COMPUTED_VALUE"""),"Sep 2017")</f>
        <v>Sep 2017</v>
      </c>
      <c r="L54" s="64" t="str">
        <f>IFERROR(__xludf.DUMMYFUNCTION("""COMPUTED_VALUE"""),"Sep 2025")</f>
        <v>Sep 2025</v>
      </c>
      <c r="M54" s="65">
        <f>IFERROR(__xludf.DUMMYFUNCTION("""COMPUTED_VALUE"""),2.0545025E7)</f>
        <v>20545025</v>
      </c>
      <c r="N54" s="65">
        <f>IFERROR(__xludf.DUMMYFUNCTION("""COMPUTED_VALUE"""),5136256.25)</f>
        <v>5136256.25</v>
      </c>
      <c r="O54" s="65">
        <f>IFERROR(__xludf.DUMMYFUNCTION("""COMPUTED_VALUE"""),589855.0)</f>
        <v>589855</v>
      </c>
      <c r="P54" s="66" t="str">
        <f>IFERROR(__xludf.DUMMYFUNCTION("""COMPUTED_VALUE"""),"Indie")</f>
        <v>Indie</v>
      </c>
      <c r="Q54" s="64" t="str">
        <f>IFERROR(__xludf.DUMMYFUNCTION("""COMPUTED_VALUE"""),"$, $$")</f>
        <v>$, $$</v>
      </c>
      <c r="R54" s="68" t="str">
        <f>IFERROR(__xludf.DUMMYFUNCTION("""COMPUTED_VALUE"""),"★")</f>
        <v>★</v>
      </c>
      <c r="S54" s="25" t="str">
        <f>IFERROR(__xludf.DUMMYFUNCTION("""COMPUTED_VALUE"""),"Roguelike, Choose Your Own Adventure, Resource Management, Procedural Generation, Precision Platformer, 2D Platformer, Collectathon")</f>
        <v>Roguelike, Choose Your Own Adventure, Resource Management, Procedural Generation, Precision Platformer, 2D Platformer, Collectathon</v>
      </c>
      <c r="T54" s="40" t="str">
        <f>IFERROR(__xludf.DUMMYFUNCTION("""COMPUTED_VALUE"""),"Tera, Metin2, Nostale, Elsword, Crimson Dawn, TRIGON: SPACE STORY, I SEE RED")</f>
        <v>Tera, Metin2, Nostale, Elsword, Crimson Dawn, TRIGON: SPACE STORY, I SEE RED</v>
      </c>
      <c r="U54" s="69" t="str">
        <f>IFERROR(__xludf.DUMMYFUNCTION("""COMPUTED_VALUE"""),"They previously published a lot of F2P MMO's, but are now publishing premium and single-player games too.")</f>
        <v>They previously published a lot of F2P MMO's, but are now publishing premium and single-player games too.</v>
      </c>
    </row>
    <row r="55">
      <c r="A55" s="49" t="str">
        <f>IFERROR(__xludf.DUMMYFUNCTION("""COMPUTED_VALUE"""),"Balor Games")</f>
        <v>Balor Games</v>
      </c>
      <c r="B55" s="40" t="str">
        <f>IFERROR(__xludf.DUMMYFUNCTION("""COMPUTED_VALUE"""),"USA")</f>
        <v>USA</v>
      </c>
      <c r="C55" s="52" t="str">
        <f>IFERROR(__xludf.DUMMYFUNCTION("""COMPUTED_VALUE"""),"https://www.goodgamesgroup.com/")</f>
        <v>https://www.goodgamesgroup.com/</v>
      </c>
      <c r="D55" s="40"/>
      <c r="E55" s="40"/>
      <c r="F55" s="56" t="str">
        <f>IFERROR(__xludf.DUMMYFUNCTION("""COMPUTED_VALUE"""),"Mark Nash")</f>
        <v>Mark Nash</v>
      </c>
      <c r="G55" s="59" t="str">
        <f>IFERROR(__xludf.DUMMYFUNCTION("""COMPUTED_VALUE"""),"https://store.steampowered.com/publisher/BalorGames")</f>
        <v>https://store.steampowered.com/publisher/BalorGames</v>
      </c>
      <c r="H55" s="61" t="str">
        <f>IFERROR(__xludf.DUMMYFUNCTION("""COMPUTED_VALUE"""),"https://gamalytic.com/publisher/Balor%20Games")</f>
        <v>https://gamalytic.com/publisher/Balor%20Games</v>
      </c>
      <c r="I55" s="62" t="str">
        <f>IFERROR(__xludf.DUMMYFUNCTION("""COMPUTED_VALUE"""),"107K")</f>
        <v>107K</v>
      </c>
      <c r="J55" s="63">
        <f>IFERROR(__xludf.DUMMYFUNCTION("""COMPUTED_VALUE"""),58.0)</f>
        <v>58</v>
      </c>
      <c r="K55" s="64" t="str">
        <f>IFERROR(__xludf.DUMMYFUNCTION("""COMPUTED_VALUE"""),"Apr 2013")</f>
        <v>Apr 2013</v>
      </c>
      <c r="L55" s="64" t="str">
        <f>IFERROR(__xludf.DUMMYFUNCTION("""COMPUTED_VALUE"""),"Aug 2026")</f>
        <v>Aug 2026</v>
      </c>
      <c r="M55" s="65">
        <f>IFERROR(__xludf.DUMMYFUNCTION("""COMPUTED_VALUE"""),2.02548002E8)</f>
        <v>202548002</v>
      </c>
      <c r="N55" s="65">
        <f>IFERROR(__xludf.DUMMYFUNCTION("""COMPUTED_VALUE"""),3492206.93103448)</f>
        <v>3492206.931</v>
      </c>
      <c r="O55" s="65">
        <f>IFERROR(__xludf.DUMMYFUNCTION("""COMPUTED_VALUE"""),583536.0)</f>
        <v>583536</v>
      </c>
      <c r="P55" s="66" t="str">
        <f>IFERROR(__xludf.DUMMYFUNCTION("""COMPUTED_VALUE"""),"AA")</f>
        <v>AA</v>
      </c>
      <c r="Q55" s="64" t="str">
        <f>IFERROR(__xludf.DUMMYFUNCTION("""COMPUTED_VALUE"""),"$$, $$$")</f>
        <v>$$, $$$</v>
      </c>
      <c r="R55" s="68"/>
      <c r="S55" s="25" t="str">
        <f>IFERROR(__xludf.DUMMYFUNCTION("""COMPUTED_VALUE"""),"Co-op, Farming Sim, Roguelike, Action Roguelike, Crafting, Turn-Based Combat, Dungeon Crawler, Puzzle, Shooter, Life Sim")</f>
        <v>Co-op, Farming Sim, Roguelike, Action Roguelike, Crafting, Turn-Based Combat, Dungeon Crawler, Puzzle, Shooter, Life Sim</v>
      </c>
      <c r="T55" s="40"/>
      <c r="U55" s="69" t="str">
        <f>IFERROR(__xludf.DUMMYFUNCTION("""COMPUTED_VALUE"""),"Former leadership team of Humble Games. Currently managing the majority of the Humble Games catalog (see website for info). Launching a new Publishing Label in 2026. Taking pitches from $250k-$2M for completion funding of games. Provides funding for game "&amp;"development, services and marketing tailored to studio's needs. According to Jonny Merritt (Head of scouting) they have varied budget range but typically deal with the last 50% of project funding - so late in the development process")</f>
        <v>Former leadership team of Humble Games. Currently managing the majority of the Humble Games catalog (see website for info). Launching a new Publishing Label in 2026. Taking pitches from $250k-$2M for completion funding of games. Provides funding for game development, services and marketing tailored to studio's needs. According to Jonny Merritt (Head of scouting) they have varied budget range but typically deal with the last 50% of project funding - so late in the development process</v>
      </c>
    </row>
    <row r="56">
      <c r="A56" s="49" t="str">
        <f>IFERROR(__xludf.DUMMYFUNCTION("""COMPUTED_VALUE"""),"The Arcade Crew")</f>
        <v>The Arcade Crew</v>
      </c>
      <c r="B56" s="40" t="str">
        <f>IFERROR(__xludf.DUMMYFUNCTION("""COMPUTED_VALUE"""),"France")</f>
        <v>France</v>
      </c>
      <c r="C56" s="52" t="str">
        <f>IFERROR(__xludf.DUMMYFUNCTION("""COMPUTED_VALUE"""),"https://www.thearcadecrew.com/")</f>
        <v>https://www.thearcadecrew.com/</v>
      </c>
      <c r="D56" s="40" t="str">
        <f>IFERROR(__xludf.DUMMYFUNCTION("""COMPUTED_VALUE"""),"-")</f>
        <v>-</v>
      </c>
      <c r="E56" s="55" t="str">
        <f>IFERROR(__xludf.DUMMYFUNCTION("""COMPUTED_VALUE"""),"https://www.thearcadecrew.com/contact/")</f>
        <v>https://www.thearcadecrew.com/contact/</v>
      </c>
      <c r="F56" s="56" t="str">
        <f>IFERROR(__xludf.DUMMYFUNCTION("""COMPUTED_VALUE"""),"Julien Chouvet Cyrille Imbert")</f>
        <v>Julien Chouvet Cyrille Imbert</v>
      </c>
      <c r="G56" s="59" t="str">
        <f>IFERROR(__xludf.DUMMYFUNCTION("""COMPUTED_VALUE"""),"https://store.steampowered.com/publisher/TheArcadeCrew")</f>
        <v>https://store.steampowered.com/publisher/TheArcadeCrew</v>
      </c>
      <c r="H56" s="61" t="str">
        <f>IFERROR(__xludf.DUMMYFUNCTION("""COMPUTED_VALUE"""),"https://gamalytic.com/publisher/The%20Arcade%20Crew")</f>
        <v>https://gamalytic.com/publisher/The%20Arcade%20Crew</v>
      </c>
      <c r="I56" s="62" t="str">
        <f>IFERROR(__xludf.DUMMYFUNCTION("""COMPUTED_VALUE"""),"7K")</f>
        <v>7K</v>
      </c>
      <c r="J56" s="63">
        <f>IFERROR(__xludf.DUMMYFUNCTION("""COMPUTED_VALUE"""),11.0)</f>
        <v>11</v>
      </c>
      <c r="K56" s="64" t="str">
        <f>IFERROR(__xludf.DUMMYFUNCTION("""COMPUTED_VALUE"""),"Apr 2019")</f>
        <v>Apr 2019</v>
      </c>
      <c r="L56" s="64" t="str">
        <f>IFERROR(__xludf.DUMMYFUNCTION("""COMPUTED_VALUE"""),"Nov 2025")</f>
        <v>Nov 2025</v>
      </c>
      <c r="M56" s="65">
        <f>IFERROR(__xludf.DUMMYFUNCTION("""COMPUTED_VALUE"""),1.3858114E7)</f>
        <v>13858114</v>
      </c>
      <c r="N56" s="65">
        <f>IFERROR(__xludf.DUMMYFUNCTION("""COMPUTED_VALUE"""),1259828.54545454)</f>
        <v>1259828.545</v>
      </c>
      <c r="O56" s="65">
        <f>IFERROR(__xludf.DUMMYFUNCTION("""COMPUTED_VALUE"""),566158.0)</f>
        <v>566158</v>
      </c>
      <c r="P56" s="66" t="str">
        <f>IFERROR(__xludf.DUMMYFUNCTION("""COMPUTED_VALUE"""),"Indie")</f>
        <v>Indie</v>
      </c>
      <c r="Q56" s="64" t="str">
        <f>IFERROR(__xludf.DUMMYFUNCTION("""COMPUTED_VALUE"""),"$, $$")</f>
        <v>$, $$</v>
      </c>
      <c r="R56" s="68" t="str">
        <f>IFERROR(__xludf.DUMMYFUNCTION("""COMPUTED_VALUE"""),"★★★")</f>
        <v>★★★</v>
      </c>
      <c r="S56" s="25" t="str">
        <f>IFERROR(__xludf.DUMMYFUNCTION("""COMPUTED_VALUE"""),"Roguelite, Co-op, Roguelike, Metroidvania, FPS, Card Game, Action Roguelike, Turn-Based Tactics")</f>
        <v>Roguelite, Co-op, Roguelike, Metroidvania, FPS, Card Game, Action Roguelike, Turn-Based Tactics</v>
      </c>
      <c r="T56" s="40" t="str">
        <f>IFERROR(__xludf.DUMMYFUNCTION("""COMPUTED_VALUE"""),"The Last Spell, Dark Devotion, Infernax")</f>
        <v>The Last Spell, Dark Devotion, Infernax</v>
      </c>
      <c r="U56" s="69" t="str">
        <f>IFERROR(__xludf.DUMMYFUNCTION("""COMPUTED_VALUE"""),"The indie publishing label of Dotemu,  open to different genres but high replayability and deep mechanic systems are preferred. Funding up to $500K.")</f>
        <v>The indie publishing label of Dotemu,  open to different genres but high replayability and deep mechanic systems are preferred. Funding up to $500K.</v>
      </c>
    </row>
    <row r="57">
      <c r="A57" s="49" t="str">
        <f>IFERROR(__xludf.DUMMYFUNCTION("""COMPUTED_VALUE"""),"Oro Interactive")</f>
        <v>Oro Interactive</v>
      </c>
      <c r="B57" s="40" t="str">
        <f>IFERROR(__xludf.DUMMYFUNCTION("""COMPUTED_VALUE"""),"Belgium")</f>
        <v>Belgium</v>
      </c>
      <c r="C57" s="52" t="str">
        <f>IFERROR(__xludf.DUMMYFUNCTION("""COMPUTED_VALUE"""),"https://www.orointeractive.com/")</f>
        <v>https://www.orointeractive.com/</v>
      </c>
      <c r="D57" s="40"/>
      <c r="E57" s="40" t="str">
        <f>IFERROR(__xludf.DUMMYFUNCTION("""COMPUTED_VALUE"""),"daniel@orointeractive.com")</f>
        <v>daniel@orointeractive.com</v>
      </c>
      <c r="F57" s="56" t="str">
        <f>IFERROR(__xludf.DUMMYFUNCTION("""COMPUTED_VALUE"""),"Daniel Lyozov")</f>
        <v>Daniel Lyozov</v>
      </c>
      <c r="G57" s="59" t="str">
        <f>IFERROR(__xludf.DUMMYFUNCTION("""COMPUTED_VALUE"""),"https://store.steampowered.com/publisher/orointeractive")</f>
        <v>https://store.steampowered.com/publisher/orointeractive</v>
      </c>
      <c r="H57" s="61" t="str">
        <f>IFERROR(__xludf.DUMMYFUNCTION("""COMPUTED_VALUE"""),"https://gamalytic.com/publisher/Oro%20Interactive")</f>
        <v>https://gamalytic.com/publisher/Oro%20Interactive</v>
      </c>
      <c r="I57" s="62" t="str">
        <f>IFERROR(__xludf.DUMMYFUNCTION("""COMPUTED_VALUE"""),"6K")</f>
        <v>6K</v>
      </c>
      <c r="J57" s="63">
        <f>IFERROR(__xludf.DUMMYFUNCTION("""COMPUTED_VALUE"""),12.0)</f>
        <v>12</v>
      </c>
      <c r="K57" s="64" t="str">
        <f>IFERROR(__xludf.DUMMYFUNCTION("""COMPUTED_VALUE"""),"Oct 2024")</f>
        <v>Oct 2024</v>
      </c>
      <c r="L57" s="64" t="str">
        <f>IFERROR(__xludf.DUMMYFUNCTION("""COMPUTED_VALUE"""),"Jul 2026")</f>
        <v>Jul 2026</v>
      </c>
      <c r="M57" s="65">
        <f>IFERROR(__xludf.DUMMYFUNCTION("""COMPUTED_VALUE"""),3.4314129E7)</f>
        <v>34314129</v>
      </c>
      <c r="N57" s="65">
        <f>IFERROR(__xludf.DUMMYFUNCTION("""COMPUTED_VALUE"""),2859510.75)</f>
        <v>2859510.75</v>
      </c>
      <c r="O57" s="65">
        <f>IFERROR(__xludf.DUMMYFUNCTION("""COMPUTED_VALUE"""),543521.0)</f>
        <v>543521</v>
      </c>
      <c r="P57" s="66" t="str">
        <f>IFERROR(__xludf.DUMMYFUNCTION("""COMPUTED_VALUE"""),"Indie")</f>
        <v>Indie</v>
      </c>
      <c r="Q57" s="64" t="str">
        <f>IFERROR(__xludf.DUMMYFUNCTION("""COMPUTED_VALUE"""),"$, $$")</f>
        <v>$, $$</v>
      </c>
      <c r="R57" s="68" t="str">
        <f>IFERROR(__xludf.DUMMYFUNCTION("""COMPUTED_VALUE"""),"★★★")</f>
        <v>★★★</v>
      </c>
      <c r="S57" s="25" t="str">
        <f>IFERROR(__xludf.DUMMYFUNCTION("""COMPUTED_VALUE"""),"Co-op, Horror, Party Game, Shop Keeper, Immersive Sim, Golf, Management, Resource Management, Psychological Horror")</f>
        <v>Co-op, Horror, Party Game, Shop Keeper, Immersive Sim, Golf, Management, Resource Management, Psychological Horror</v>
      </c>
      <c r="T57" s="40" t="str">
        <f>IFERROR(__xludf.DUMMYFUNCTION("""COMPUTED_VALUE"""),"Murky Divers, Easy Delivery Co, Daemonologie, Order 13")</f>
        <v>Murky Divers, Easy Delivery Co, Daemonologie, Order 13</v>
      </c>
      <c r="U57" s="69" t="str">
        <f>IFERROR(__xludf.DUMMYFUNCTION("""COMPUTED_VALUE"""),"Focus on catchy, creator-focused games. Small communicative team. Fair terms with revenue share from day one and hands off approach.")</f>
        <v>Focus on catchy, creator-focused games. Small communicative team. Fair terms with revenue share from day one and hands off approach.</v>
      </c>
    </row>
    <row r="58">
      <c r="A58" s="49" t="str">
        <f>IFERROR(__xludf.DUMMYFUNCTION("""COMPUTED_VALUE"""),"Alawar")</f>
        <v>Alawar</v>
      </c>
      <c r="B58" s="40" t="str">
        <f>IFERROR(__xludf.DUMMYFUNCTION("""COMPUTED_VALUE"""),"USA")</f>
        <v>USA</v>
      </c>
      <c r="C58" s="52" t="str">
        <f>IFERROR(__xludf.DUMMYFUNCTION("""COMPUTED_VALUE"""),"https://alawar.com/")</f>
        <v>https://alawar.com/</v>
      </c>
      <c r="D58" s="40"/>
      <c r="E58" s="55" t="str">
        <f>IFERROR(__xludf.DUMMYFUNCTION("""COMPUTED_VALUE"""),"https://alawar.com/pitch")</f>
        <v>https://alawar.com/pitch</v>
      </c>
      <c r="F58" s="56" t="str">
        <f>IFERROR(__xludf.DUMMYFUNCTION("""COMPUTED_VALUE"""),"Alex Arsentiev")</f>
        <v>Alex Arsentiev</v>
      </c>
      <c r="G58" s="59" t="str">
        <f>IFERROR(__xludf.DUMMYFUNCTION("""COMPUTED_VALUE"""),"https://store.steampowered.com/publisher/alawar")</f>
        <v>https://store.steampowered.com/publisher/alawar</v>
      </c>
      <c r="H58" s="61" t="str">
        <f>IFERROR(__xludf.DUMMYFUNCTION("""COMPUTED_VALUE"""),"https://gamalytic.com/publisher/Alawar")</f>
        <v>https://gamalytic.com/publisher/Alawar</v>
      </c>
      <c r="I58" s="62" t="str">
        <f>IFERROR(__xludf.DUMMYFUNCTION("""COMPUTED_VALUE"""),"28K")</f>
        <v>28K</v>
      </c>
      <c r="J58" s="63">
        <f>IFERROR(__xludf.DUMMYFUNCTION("""COMPUTED_VALUE"""),22.0)</f>
        <v>22</v>
      </c>
      <c r="K58" s="64" t="str">
        <f>IFERROR(__xludf.DUMMYFUNCTION("""COMPUTED_VALUE"""),"Mar 2015")</f>
        <v>Mar 2015</v>
      </c>
      <c r="L58" s="64" t="str">
        <f>IFERROR(__xludf.DUMMYFUNCTION("""COMPUTED_VALUE"""),"Sep 2026")</f>
        <v>Sep 2026</v>
      </c>
      <c r="M58" s="65">
        <f>IFERROR(__xludf.DUMMYFUNCTION("""COMPUTED_VALUE"""),1.5764833E7)</f>
        <v>15764833</v>
      </c>
      <c r="N58" s="65">
        <f>IFERROR(__xludf.DUMMYFUNCTION("""COMPUTED_VALUE"""),716583.318181818)</f>
        <v>716583.3182</v>
      </c>
      <c r="O58" s="65">
        <f>IFERROR(__xludf.DUMMYFUNCTION("""COMPUTED_VALUE"""),539707.0)</f>
        <v>539707</v>
      </c>
      <c r="P58" s="66" t="str">
        <f>IFERROR(__xludf.DUMMYFUNCTION("""COMPUTED_VALUE"""),"Indie")</f>
        <v>Indie</v>
      </c>
      <c r="Q58" s="64" t="str">
        <f>IFERROR(__xludf.DUMMYFUNCTION("""COMPUTED_VALUE"""),"$, $$")</f>
        <v>$, $$</v>
      </c>
      <c r="R58" s="68" t="str">
        <f>IFERROR(__xludf.DUMMYFUNCTION("""COMPUTED_VALUE"""),"?")</f>
        <v>?</v>
      </c>
      <c r="S58" s="25" t="str">
        <f>IFERROR(__xludf.DUMMYFUNCTION("""COMPUTED_VALUE"""),"Political Sim, Point &amp; Click, Roguelite, Management, Tower Defense, Roguelike, Procedural Generation, Mining, Bullet Hell")</f>
        <v>Political Sim, Point &amp; Click, Roguelite, Management, Tower Defense, Roguelike, Procedural Generation, Mining, Bullet Hell</v>
      </c>
      <c r="T58" s="40" t="str">
        <f>IFERROR(__xludf.DUMMYFUNCTION("""COMPUTED_VALUE"""),"Beholder, Wall World, Necrosmith")</f>
        <v>Beholder, Wall World, Necrosmith</v>
      </c>
      <c r="U58" s="69" t="str">
        <f>IFERROR(__xludf.DUMMYFUNCTION("""COMPUTED_VALUE"""),"Develops and publishes its own games on PC and consoles, giving the team a strong understanding of both development and publishing challenges. Open to third-party projects with a clear vision, strong execution, and heart.")</f>
        <v>Develops and publishes its own games on PC and consoles, giving the team a strong understanding of both development and publishing challenges. Open to third-party projects with a clear vision, strong execution, and heart.</v>
      </c>
    </row>
    <row r="59">
      <c r="A59" s="49" t="str">
        <f>IFERROR(__xludf.DUMMYFUNCTION("""COMPUTED_VALUE"""),"Crytivo")</f>
        <v>Crytivo</v>
      </c>
      <c r="B59" s="40" t="str">
        <f>IFERROR(__xludf.DUMMYFUNCTION("""COMPUTED_VALUE"""),"USA")</f>
        <v>USA</v>
      </c>
      <c r="C59" s="52" t="str">
        <f>IFERROR(__xludf.DUMMYFUNCTION("""COMPUTED_VALUE"""),"https://crytivo.com/")</f>
        <v>https://crytivo.com/</v>
      </c>
      <c r="D59" s="40" t="str">
        <f>IFERROR(__xludf.DUMMYFUNCTION("""COMPUTED_VALUE"""),"-")</f>
        <v>-</v>
      </c>
      <c r="E59" s="55" t="str">
        <f>IFERROR(__xludf.DUMMYFUNCTION("""COMPUTED_VALUE"""),"https://crytivo.com/en/publishing")</f>
        <v>https://crytivo.com/en/publishing</v>
      </c>
      <c r="F59" s="56" t="str">
        <f>IFERROR(__xludf.DUMMYFUNCTION("""COMPUTED_VALUE"""),"?")</f>
        <v>?</v>
      </c>
      <c r="G59" s="59" t="str">
        <f>IFERROR(__xludf.DUMMYFUNCTION("""COMPUTED_VALUE"""),"https://store.steampowered.com/publisher/Crytivo")</f>
        <v>https://store.steampowered.com/publisher/Crytivo</v>
      </c>
      <c r="H59" s="61" t="str">
        <f>IFERROR(__xludf.DUMMYFUNCTION("""COMPUTED_VALUE"""),"https://gamalytic.com/publisher/Crytivo")</f>
        <v>https://gamalytic.com/publisher/Crytivo</v>
      </c>
      <c r="I59" s="62" t="str">
        <f>IFERROR(__xludf.DUMMYFUNCTION("""COMPUTED_VALUE"""),"13K")</f>
        <v>13K</v>
      </c>
      <c r="J59" s="63">
        <f>IFERROR(__xludf.DUMMYFUNCTION("""COMPUTED_VALUE"""),17.0)</f>
        <v>17</v>
      </c>
      <c r="K59" s="64" t="str">
        <f>IFERROR(__xludf.DUMMYFUNCTION("""COMPUTED_VALUE"""),"May 2021")</f>
        <v>May 2021</v>
      </c>
      <c r="L59" s="64" t="str">
        <f>IFERROR(__xludf.DUMMYFUNCTION("""COMPUTED_VALUE"""),"Sep 2026")</f>
        <v>Sep 2026</v>
      </c>
      <c r="M59" s="65">
        <f>IFERROR(__xludf.DUMMYFUNCTION("""COMPUTED_VALUE"""),2.573098E7)</f>
        <v>25730980</v>
      </c>
      <c r="N59" s="65">
        <f>IFERROR(__xludf.DUMMYFUNCTION("""COMPUTED_VALUE"""),1513587.05882352)</f>
        <v>1513587.059</v>
      </c>
      <c r="O59" s="65">
        <f>IFERROR(__xludf.DUMMYFUNCTION("""COMPUTED_VALUE"""),531107.0)</f>
        <v>531107</v>
      </c>
      <c r="P59" s="66" t="str">
        <f>IFERROR(__xludf.DUMMYFUNCTION("""COMPUTED_VALUE"""),"Indie")</f>
        <v>Indie</v>
      </c>
      <c r="Q59" s="64" t="str">
        <f>IFERROR(__xludf.DUMMYFUNCTION("""COMPUTED_VALUE"""),"$, $$")</f>
        <v>$, $$</v>
      </c>
      <c r="R59" s="68" t="str">
        <f>IFERROR(__xludf.DUMMYFUNCTION("""COMPUTED_VALUE"""),"★")</f>
        <v>★</v>
      </c>
      <c r="S59" s="25" t="str">
        <f>IFERROR(__xludf.DUMMYFUNCTION("""COMPUTED_VALUE"""),"Sandbox, Management, City Builder, Colony Sim, Open World, Base Building, Survival, Resource Management, God Game, Economy")</f>
        <v>Sandbox, Management, City Builder, Colony Sim, Open World, Base Building, Survival, Resource Management, God Game, Economy</v>
      </c>
      <c r="T59" s="40" t="str">
        <f>IFERROR(__xludf.DUMMYFUNCTION("""COMPUTED_VALUE"""),"The Universim, Trail Out")</f>
        <v>The Universim, Trail Out</v>
      </c>
      <c r="U59" s="69" t="str">
        <f>IFERROR(__xludf.DUMMYFUNCTION("""COMPUTED_VALUE"""),"Crytivo is experienced at running successful Kickstarter campaigns.")</f>
        <v>Crytivo is experienced at running successful Kickstarter campaigns.</v>
      </c>
    </row>
    <row r="60">
      <c r="A60" s="49" t="str">
        <f>IFERROR(__xludf.DUMMYFUNCTION("""COMPUTED_VALUE"""),"Paradox Arc")</f>
        <v>Paradox Arc</v>
      </c>
      <c r="B60" s="40" t="str">
        <f>IFERROR(__xludf.DUMMYFUNCTION("""COMPUTED_VALUE"""),"Sweden")</f>
        <v>Sweden</v>
      </c>
      <c r="C60" s="52" t="str">
        <f>IFERROR(__xludf.DUMMYFUNCTION("""COMPUTED_VALUE"""),"https://www.paradoxinteractive.com")</f>
        <v>https://www.paradoxinteractive.com</v>
      </c>
      <c r="D60" s="55" t="str">
        <f>IFERROR(__xludf.DUMMYFUNCTION("""COMPUTED_VALUE"""),"https://www.paradoxinteractive.com/contact/pitch-your-game-to-paradox")</f>
        <v>https://www.paradoxinteractive.com/contact/pitch-your-game-to-paradox</v>
      </c>
      <c r="E60" s="40" t="str">
        <f>IFERROR(__xludf.DUMMYFUNCTION("""COMPUTED_VALUE"""),"newgames@paradoxinteractive.com")</f>
        <v>newgames@paradoxinteractive.com</v>
      </c>
      <c r="F60" s="56" t="str">
        <f>IFERROR(__xludf.DUMMYFUNCTION("""COMPUTED_VALUE"""),"Denis Ilecic")</f>
        <v>Denis Ilecic</v>
      </c>
      <c r="G60" s="59" t="str">
        <f>IFERROR(__xludf.DUMMYFUNCTION("""COMPUTED_VALUE"""),"https://store.steampowered.com/publisher/ParadoxArc")</f>
        <v>https://store.steampowered.com/publisher/ParadoxArc</v>
      </c>
      <c r="H60" s="61" t="str">
        <f>IFERROR(__xludf.DUMMYFUNCTION("""COMPUTED_VALUE"""),"https://gamalytic.com/publisher/Paradox%20Arc")</f>
        <v>https://gamalytic.com/publisher/Paradox%20Arc</v>
      </c>
      <c r="I60" s="62" t="str">
        <f>IFERROR(__xludf.DUMMYFUNCTION("""COMPUTED_VALUE"""),"2K")</f>
        <v>2K</v>
      </c>
      <c r="J60" s="63">
        <f>IFERROR(__xludf.DUMMYFUNCTION("""COMPUTED_VALUE"""),7.0)</f>
        <v>7</v>
      </c>
      <c r="K60" s="64" t="str">
        <f>IFERROR(__xludf.DUMMYFUNCTION("""COMPUTED_VALUE"""),"Aug 2022")</f>
        <v>Aug 2022</v>
      </c>
      <c r="L60" s="64" t="str">
        <f>IFERROR(__xludf.DUMMYFUNCTION("""COMPUTED_VALUE"""),"Apr 2026")</f>
        <v>Apr 2026</v>
      </c>
      <c r="M60" s="65">
        <f>IFERROR(__xludf.DUMMYFUNCTION("""COMPUTED_VALUE"""),1.3813109E7)</f>
        <v>13813109</v>
      </c>
      <c r="N60" s="65">
        <f>IFERROR(__xludf.DUMMYFUNCTION("""COMPUTED_VALUE"""),1973301.28571428)</f>
        <v>1973301.286</v>
      </c>
      <c r="O60" s="65">
        <f>IFERROR(__xludf.DUMMYFUNCTION("""COMPUTED_VALUE"""),524359.0)</f>
        <v>524359</v>
      </c>
      <c r="P60" s="66" t="str">
        <f>IFERROR(__xludf.DUMMYFUNCTION("""COMPUTED_VALUE"""),"Indie")</f>
        <v>Indie</v>
      </c>
      <c r="Q60" s="64" t="str">
        <f>IFERROR(__xludf.DUMMYFUNCTION("""COMPUTED_VALUE"""),"$, $$")</f>
        <v>$, $$</v>
      </c>
      <c r="R60" s="68" t="str">
        <f>IFERROR(__xludf.DUMMYFUNCTION("""COMPUTED_VALUE"""),"★★★")</f>
        <v>★★★</v>
      </c>
      <c r="S60" s="25" t="str">
        <f>IFERROR(__xludf.DUMMYFUNCTION("""COMPUTED_VALUE"""),"Turn-Based Strategy, Colony Sim, Sandbox, Survival, Roguelike Deckbuilder, Card Game, Base Building, Roguelike, Crafting, City Builder")</f>
        <v>Turn-Based Strategy, Colony Sim, Sandbox, Survival, Roguelike Deckbuilder, Card Game, Base Building, Roguelike, Crafting, City Builder</v>
      </c>
      <c r="T60" s="40" t="str">
        <f>IFERROR(__xludf.DUMMYFUNCTION("""COMPUTED_VALUE"""),"Across the Obelisk, Mechabellum")</f>
        <v>Across the Obelisk, Mechabellum</v>
      </c>
      <c r="U60" s="69" t="str">
        <f>IFERROR(__xludf.DUMMYFUNCTION("""COMPUTED_VALUE"""),"The indie publishing arm of Paradox. Paradox Arc is like an incubator where they try new and innovative IPs. Successful IPs are then pushed up to Paradox.")</f>
        <v>The indie publishing arm of Paradox. Paradox Arc is like an incubator where they try new and innovative IPs. Successful IPs are then pushed up to Paradox.</v>
      </c>
    </row>
    <row r="61">
      <c r="A61" s="49" t="str">
        <f>IFERROR(__xludf.DUMMYFUNCTION("""COMPUTED_VALUE"""),"Tripwire Interactive")</f>
        <v>Tripwire Interactive</v>
      </c>
      <c r="B61" s="40" t="str">
        <f>IFERROR(__xludf.DUMMYFUNCTION("""COMPUTED_VALUE"""),"USA")</f>
        <v>USA</v>
      </c>
      <c r="C61" s="52" t="str">
        <f>IFERROR(__xludf.DUMMYFUNCTION("""COMPUTED_VALUE"""),"https://www.tripwireinteractive.com/")</f>
        <v>https://www.tripwireinteractive.com/</v>
      </c>
      <c r="D61" s="55" t="str">
        <f>IFERROR(__xludf.DUMMYFUNCTION("""COMPUTED_VALUE"""),"https://www.tripwireinteractive.com/#/publishing")</f>
        <v>https://www.tripwireinteractive.com/#/publishing</v>
      </c>
      <c r="E61" s="55" t="str">
        <f>IFERROR(__xludf.DUMMYFUNCTION("""COMPUTED_VALUE"""),"https://docs.google.com/forms/d/e/1FAIpQLSf8Tw-NGr5lUmjfpJ3h_FND5qVnYHe7uaE_BxHHdM-Od4CAPQ/viewform")</f>
        <v>https://docs.google.com/forms/d/e/1FAIpQLSf8Tw-NGr5lUmjfpJ3h_FND5qVnYHe7uaE_BxHHdM-Od4CAPQ/viewform</v>
      </c>
      <c r="F61" s="56" t="str">
        <f>IFERROR(__xludf.DUMMYFUNCTION("""COMPUTED_VALUE"""),"James Lamorticelli")</f>
        <v>James Lamorticelli</v>
      </c>
      <c r="G61" s="59" t="str">
        <f>IFERROR(__xludf.DUMMYFUNCTION("""COMPUTED_VALUE"""),"https://store.steampowered.com/publisher/Tripwire")</f>
        <v>https://store.steampowered.com/publisher/Tripwire</v>
      </c>
      <c r="H61" s="61" t="str">
        <f>IFERROR(__xludf.DUMMYFUNCTION("""COMPUTED_VALUE"""),"https://gamalytic.com/publisher/Tripwire%20Interactive")</f>
        <v>https://gamalytic.com/publisher/Tripwire%20Interactive</v>
      </c>
      <c r="I61" s="62" t="str">
        <f>IFERROR(__xludf.DUMMYFUNCTION("""COMPUTED_VALUE"""),"58K")</f>
        <v>58K</v>
      </c>
      <c r="J61" s="63" t="str">
        <f>IFERROR(__xludf.DUMMYFUNCTION("""COMPUTED_VALUE"""),"14")</f>
        <v>14</v>
      </c>
      <c r="K61" s="64" t="str">
        <f>IFERROR(__xludf.DUMMYFUNCTION("""COMPUTED_VALUE"""),"Mar 2006")</f>
        <v>Mar 2006</v>
      </c>
      <c r="L61" s="64" t="str">
        <f>IFERROR(__xludf.DUMMYFUNCTION("""COMPUTED_VALUE"""),"Jul 2025")</f>
        <v>Jul 2025</v>
      </c>
      <c r="M61" s="65">
        <f>IFERROR(__xludf.DUMMYFUNCTION("""COMPUTED_VALUE"""),1.74860374E8)</f>
        <v>174860374</v>
      </c>
      <c r="N61" s="65">
        <f>IFERROR(__xludf.DUMMYFUNCTION("""COMPUTED_VALUE"""),1.24900267142857E7)</f>
        <v>12490026.71</v>
      </c>
      <c r="O61" s="65">
        <f>IFERROR(__xludf.DUMMYFUNCTION("""COMPUTED_VALUE"""),517234.0)</f>
        <v>517234</v>
      </c>
      <c r="P61" s="66" t="str">
        <f>IFERROR(__xludf.DUMMYFUNCTION("""COMPUTED_VALUE"""),"AA")</f>
        <v>AA</v>
      </c>
      <c r="Q61" s="64" t="str">
        <f>IFERROR(__xludf.DUMMYFUNCTION("""COMPUTED_VALUE"""),"$$, $$$")</f>
        <v>$$, $$$</v>
      </c>
      <c r="R61" s="68" t="str">
        <f>IFERROR(__xludf.DUMMYFUNCTION("""COMPUTED_VALUE"""),"★★")</f>
        <v>★★</v>
      </c>
      <c r="S61" s="25" t="str">
        <f>IFERROR(__xludf.DUMMYFUNCTION("""COMPUTED_VALUE"""),"FPS, Horror, Shooter, Co-op, Survival, Wargame, Hack and Slash, Team-Based")</f>
        <v>FPS, Horror, Shooter, Co-op, Survival, Wargame, Hack and Slash, Team-Based</v>
      </c>
      <c r="T61" s="40" t="str">
        <f>IFERROR(__xludf.DUMMYFUNCTION("""COMPUTED_VALUE"""),"Man Eater, Chivalry 2, Deceive Inc.")</f>
        <v>Man Eater, Chivalry 2, Deceive Inc.</v>
      </c>
      <c r="U61" s="69" t="str">
        <f>IFERROR(__xludf.DUMMYFUNCTION("""COMPUTED_VALUE"""),"-")</f>
        <v>-</v>
      </c>
    </row>
    <row r="62">
      <c r="A62" s="49" t="str">
        <f>IFERROR(__xludf.DUMMYFUNCTION("""COMPUTED_VALUE"""),"Fireshine Games")</f>
        <v>Fireshine Games</v>
      </c>
      <c r="B62" s="40" t="str">
        <f>IFERROR(__xludf.DUMMYFUNCTION("""COMPUTED_VALUE"""),"UK")</f>
        <v>UK</v>
      </c>
      <c r="C62" s="52" t="str">
        <f>IFERROR(__xludf.DUMMYFUNCTION("""COMPUTED_VALUE"""),"https://fireshinegames.co.uk/")</f>
        <v>https://fireshinegames.co.uk/</v>
      </c>
      <c r="D62" s="55" t="str">
        <f>IFERROR(__xludf.DUMMYFUNCTION("""COMPUTED_VALUE"""),"https://fireshinegames.co.uk/pitch/")</f>
        <v>https://fireshinegames.co.uk/pitch/</v>
      </c>
      <c r="E62" s="40" t="str">
        <f>IFERROR(__xludf.DUMMYFUNCTION("""COMPUTED_VALUE"""),"https://fireshinegames.co.uk/pitch-contact-form/, publishing@fireshinegames.co.uk")</f>
        <v>https://fireshinegames.co.uk/pitch-contact-form/, publishing@fireshinegames.co.uk</v>
      </c>
      <c r="F62" s="56" t="str">
        <f>IFERROR(__xludf.DUMMYFUNCTION("""COMPUTED_VALUE"""),"Atilla Bertiz, K. A. Pedersen, Kerryn Frean")</f>
        <v>Atilla Bertiz, K. A. Pedersen, Kerryn Frean</v>
      </c>
      <c r="G62" s="59" t="str">
        <f>IFERROR(__xludf.DUMMYFUNCTION("""COMPUTED_VALUE"""),"https://store.steampowered.com/publisher/FireshineGames")</f>
        <v>https://store.steampowered.com/publisher/FireshineGames</v>
      </c>
      <c r="H62" s="61" t="str">
        <f>IFERROR(__xludf.DUMMYFUNCTION("""COMPUTED_VALUE"""),"https://gamalytic.com/publisher/Fireshine%20Games")</f>
        <v>https://gamalytic.com/publisher/Fireshine%20Games</v>
      </c>
      <c r="I62" s="62" t="str">
        <f>IFERROR(__xludf.DUMMYFUNCTION("""COMPUTED_VALUE"""),"15K")</f>
        <v>15K</v>
      </c>
      <c r="J62" s="63">
        <f>IFERROR(__xludf.DUMMYFUNCTION("""COMPUTED_VALUE"""),29.0)</f>
        <v>29</v>
      </c>
      <c r="K62" s="64" t="str">
        <f>IFERROR(__xludf.DUMMYFUNCTION("""COMPUTED_VALUE"""),"Jan 2021")</f>
        <v>Jan 2021</v>
      </c>
      <c r="L62" s="64" t="str">
        <f>IFERROR(__xludf.DUMMYFUNCTION("""COMPUTED_VALUE"""),"Aug 2026")</f>
        <v>Aug 2026</v>
      </c>
      <c r="M62" s="65">
        <f>IFERROR(__xludf.DUMMYFUNCTION("""COMPUTED_VALUE"""),1.10393267E8)</f>
        <v>110393267</v>
      </c>
      <c r="N62" s="65">
        <f>IFERROR(__xludf.DUMMYFUNCTION("""COMPUTED_VALUE"""),3806664.37931034)</f>
        <v>3806664.379</v>
      </c>
      <c r="O62" s="65">
        <f>IFERROR(__xludf.DUMMYFUNCTION("""COMPUTED_VALUE"""),500383.0)</f>
        <v>500383</v>
      </c>
      <c r="P62" s="66" t="str">
        <f>IFERROR(__xludf.DUMMYFUNCTION("""COMPUTED_VALUE"""),"AA")</f>
        <v>AA</v>
      </c>
      <c r="Q62" s="64" t="str">
        <f>IFERROR(__xludf.DUMMYFUNCTION("""COMPUTED_VALUE"""),"$$, $$$")</f>
        <v>$$, $$$</v>
      </c>
      <c r="R62" s="68" t="str">
        <f>IFERROR(__xludf.DUMMYFUNCTION("""COMPUTED_VALUE"""),"★★★")</f>
        <v>★★★</v>
      </c>
      <c r="S62" s="25" t="str">
        <f>IFERROR(__xludf.DUMMYFUNCTION("""COMPUTED_VALUE"""),"Open World, Sandbox, Co-op, Survival, Crafting, Open World Survival Craft, Base Building, Puzzle, Platformer")</f>
        <v>Open World, Sandbox, Co-op, Survival, Crafting, Open World Survival Craft, Base Building, Puzzle, Platformer</v>
      </c>
      <c r="T62" s="40" t="str">
        <f>IFERROR(__xludf.DUMMYFUNCTION("""COMPUTED_VALUE"""),"Core Keeper, Mechwarrior 5, Shadows of Doubt ")</f>
        <v>Core Keeper, Mechwarrior 5, Shadows of Doubt </v>
      </c>
      <c r="U62" s="69" t="str">
        <f>IFERROR(__xludf.DUMMYFUNCTION("""COMPUTED_VALUE"""),"Former name is ""Sold Out"" - publishing label of EG7. Budgets between 100k and 700k, but looked at projects both below and above that.")</f>
        <v>Former name is "Sold Out" - publishing label of EG7. Budgets between 100k and 700k, but looked at projects both below and above that.</v>
      </c>
    </row>
    <row r="63">
      <c r="A63" s="49" t="str">
        <f>IFERROR(__xludf.DUMMYFUNCTION("""COMPUTED_VALUE"""),"Skystone")</f>
        <v>Skystone</v>
      </c>
      <c r="B63" s="40" t="str">
        <f>IFERROR(__xludf.DUMMYFUNCTION("""COMPUTED_VALUE"""),"USA")</f>
        <v>USA</v>
      </c>
      <c r="C63" s="52" t="str">
        <f>IFERROR(__xludf.DUMMYFUNCTION("""COMPUTED_VALUE"""),"http://skystone.games")</f>
        <v>http://skystone.games</v>
      </c>
      <c r="D63" s="40" t="str">
        <f>IFERROR(__xludf.DUMMYFUNCTION("""COMPUTED_VALUE"""),"-")</f>
        <v>-</v>
      </c>
      <c r="E63" s="55" t="str">
        <f>IFERROR(__xludf.DUMMYFUNCTION("""COMPUTED_VALUE"""),"https://skystone.games/")</f>
        <v>https://skystone.games/</v>
      </c>
      <c r="F63" s="56" t="str">
        <f>IFERROR(__xludf.DUMMYFUNCTION("""COMPUTED_VALUE"""),"Bill Wang")</f>
        <v>Bill Wang</v>
      </c>
      <c r="G63" s="59" t="str">
        <f>IFERROR(__xludf.DUMMYFUNCTION("""COMPUTED_VALUE"""),"https://store.steampowered.com/publisher/skystone")</f>
        <v>https://store.steampowered.com/publisher/skystone</v>
      </c>
      <c r="H63" s="61" t="str">
        <f>IFERROR(__xludf.DUMMYFUNCTION("""COMPUTED_VALUE"""),"https://gamalytic.com/publisher/Skystone%20Games")</f>
        <v>https://gamalytic.com/publisher/Skystone%20Games</v>
      </c>
      <c r="I63" s="62" t="str">
        <f>IFERROR(__xludf.DUMMYFUNCTION("""COMPUTED_VALUE"""),"4K")</f>
        <v>4K</v>
      </c>
      <c r="J63" s="63">
        <f>IFERROR(__xludf.DUMMYFUNCTION("""COMPUTED_VALUE"""),14.0)</f>
        <v>14</v>
      </c>
      <c r="K63" s="64" t="str">
        <f>IFERROR(__xludf.DUMMYFUNCTION("""COMPUTED_VALUE"""),"May 2019")</f>
        <v>May 2019</v>
      </c>
      <c r="L63" s="64" t="str">
        <f>IFERROR(__xludf.DUMMYFUNCTION("""COMPUTED_VALUE"""),"Jul 2026")</f>
        <v>Jul 2026</v>
      </c>
      <c r="M63" s="65">
        <f>IFERROR(__xludf.DUMMYFUNCTION("""COMPUTED_VALUE"""),2.4480877E7)</f>
        <v>24480877</v>
      </c>
      <c r="N63" s="65">
        <f>IFERROR(__xludf.DUMMYFUNCTION("""COMPUTED_VALUE"""),1748634.07142857)</f>
        <v>1748634.071</v>
      </c>
      <c r="O63" s="65">
        <f>IFERROR(__xludf.DUMMYFUNCTION("""COMPUTED_VALUE"""),485294.0)</f>
        <v>485294</v>
      </c>
      <c r="P63" s="66" t="str">
        <f>IFERROR(__xludf.DUMMYFUNCTION("""COMPUTED_VALUE"""),"Indie")</f>
        <v>Indie</v>
      </c>
      <c r="Q63" s="64" t="str">
        <f>IFERROR(__xludf.DUMMYFUNCTION("""COMPUTED_VALUE"""),"$, $$")</f>
        <v>$, $$</v>
      </c>
      <c r="R63" s="68" t="str">
        <f>IFERROR(__xludf.DUMMYFUNCTION("""COMPUTED_VALUE"""),"★★★")</f>
        <v>★★★</v>
      </c>
      <c r="S63" s="25" t="str">
        <f>IFERROR(__xludf.DUMMYFUNCTION("""COMPUTED_VALUE"""),"Co-op, Roguelike, Extraction Shooter, Roguelite, Souls-like, Deckbuilding, Survival, PvP, Card Game")</f>
        <v>Co-op, Roguelike, Extraction Shooter, Roguelite, Souls-like, Deckbuilding, Survival, PvP, Card Game</v>
      </c>
      <c r="T63" s="40" t="str">
        <f>IFERROR(__xludf.DUMMYFUNCTION("""COMPUTED_VALUE"""),"Tiny Bookshop, Undying")</f>
        <v>Tiny Bookshop, Undying</v>
      </c>
      <c r="U63" s="69" t="str">
        <f>IFERROR(__xludf.DUMMYFUNCTION("""COMPUTED_VALUE"""),"A team of 10, led by David Brevik and Bill Wang. Stopped paying and broke its contract with an Indie studio and then demanding the investment back to give the IP back to the studio.
Shut down the game Boundary due to problems with devs")</f>
        <v>A team of 10, led by David Brevik and Bill Wang. Stopped paying and broke its contract with an Indie studio and then demanding the investment back to give the IP back to the studio.
Shut down the game Boundary due to problems with devs</v>
      </c>
    </row>
    <row r="64">
      <c r="A64" s="49" t="str">
        <f>IFERROR(__xludf.DUMMYFUNCTION("""COMPUTED_VALUE"""),"Astra Logical")</f>
        <v>Astra Logical</v>
      </c>
      <c r="B64" s="40" t="str">
        <f>IFERROR(__xludf.DUMMYFUNCTION("""COMPUTED_VALUE"""),"USA")</f>
        <v>USA</v>
      </c>
      <c r="C64" s="52" t="str">
        <f>IFERROR(__xludf.DUMMYFUNCTION("""COMPUTED_VALUE"""),"https://astralogical.org/")</f>
        <v>https://astralogical.org/</v>
      </c>
      <c r="D64" s="40" t="str">
        <f>IFERROR(__xludf.DUMMYFUNCTION("""COMPUTED_VALUE"""),"-")</f>
        <v>-</v>
      </c>
      <c r="E64" s="55" t="str">
        <f>IFERROR(__xludf.DUMMYFUNCTION("""COMPUTED_VALUE"""),"https://astralogical.org/pitch")</f>
        <v>https://astralogical.org/pitch</v>
      </c>
      <c r="F64" s="56" t="str">
        <f>IFERROR(__xludf.DUMMYFUNCTION("""COMPUTED_VALUE"""),"?")</f>
        <v>?</v>
      </c>
      <c r="G64" s="59" t="str">
        <f>IFERROR(__xludf.DUMMYFUNCTION("""COMPUTED_VALUE"""),"https://store.steampowered.com/publisher/AstraLogical")</f>
        <v>https://store.steampowered.com/publisher/AstraLogical</v>
      </c>
      <c r="H64" s="61" t="str">
        <f>IFERROR(__xludf.DUMMYFUNCTION("""COMPUTED_VALUE"""),"https://gamalytic.com/publisher/Astra%20Logical")</f>
        <v>https://gamalytic.com/publisher/Astra%20Logical</v>
      </c>
      <c r="I64" s="62">
        <f>IFERROR(__xludf.DUMMYFUNCTION("""COMPUTED_VALUE"""),20.0)</f>
        <v>20</v>
      </c>
      <c r="J64" s="63">
        <f>IFERROR(__xludf.DUMMYFUNCTION("""COMPUTED_VALUE"""),3.0)</f>
        <v>3</v>
      </c>
      <c r="K64" s="64" t="str">
        <f>IFERROR(__xludf.DUMMYFUNCTION("""COMPUTED_VALUE"""),"Feb 2021")</f>
        <v>Feb 2021</v>
      </c>
      <c r="L64" s="64" t="str">
        <f>IFERROR(__xludf.DUMMYFUNCTION("""COMPUTED_VALUE"""),"Apr 2026")</f>
        <v>Apr 2026</v>
      </c>
      <c r="M64" s="65">
        <f>IFERROR(__xludf.DUMMYFUNCTION("""COMPUTED_VALUE"""),2214730.0)</f>
        <v>2214730</v>
      </c>
      <c r="N64" s="65">
        <f>IFERROR(__xludf.DUMMYFUNCTION("""COMPUTED_VALUE"""),738243.333333333)</f>
        <v>738243.3333</v>
      </c>
      <c r="O64" s="65">
        <f>IFERROR(__xludf.DUMMYFUNCTION("""COMPUTED_VALUE"""),453678.0)</f>
        <v>453678</v>
      </c>
      <c r="P64" s="66" t="str">
        <f>IFERROR(__xludf.DUMMYFUNCTION("""COMPUTED_VALUE"""),"Indie")</f>
        <v>Indie</v>
      </c>
      <c r="Q64" s="64" t="str">
        <f>IFERROR(__xludf.DUMMYFUNCTION("""COMPUTED_VALUE"""),"$, $$")</f>
        <v>$, $$</v>
      </c>
      <c r="R64" s="68" t="str">
        <f>IFERROR(__xludf.DUMMYFUNCTION("""COMPUTED_VALUE"""),"★★★")</f>
        <v>★★★</v>
      </c>
      <c r="S64" s="25" t="str">
        <f>IFERROR(__xludf.DUMMYFUNCTION("""COMPUTED_VALUE"""),"City Builder, Sandbox, Economy, Management, Voxel, Base Building, Survival, RTS, Colony Sim")</f>
        <v>City Builder, Sandbox, Economy, Management, Voxel, Base Building, Survival, RTS, Colony Sim</v>
      </c>
      <c r="T64" s="40" t="str">
        <f>IFERROR(__xludf.DUMMYFUNCTION("""COMPUTED_VALUE"""),"Star Stuff")</f>
        <v>Star Stuff</v>
      </c>
      <c r="U64" s="69" t="str">
        <f>IFERROR(__xludf.DUMMYFUNCTION("""COMPUTED_VALUE"""),"-")</f>
        <v>-</v>
      </c>
    </row>
    <row r="65">
      <c r="A65" s="49" t="str">
        <f>IFERROR(__xludf.DUMMYFUNCTION("""COMPUTED_VALUE"""),"No More Robots")</f>
        <v>No More Robots</v>
      </c>
      <c r="B65" s="40" t="str">
        <f>IFERROR(__xludf.DUMMYFUNCTION("""COMPUTED_VALUE"""),"UK")</f>
        <v>UK</v>
      </c>
      <c r="C65" s="52" t="str">
        <f>IFERROR(__xludf.DUMMYFUNCTION("""COMPUTED_VALUE"""),"https://nomorerobots.io")</f>
        <v>https://nomorerobots.io</v>
      </c>
      <c r="D65" s="40" t="str">
        <f>IFERROR(__xludf.DUMMYFUNCTION("""COMPUTED_VALUE"""),"-")</f>
        <v>-</v>
      </c>
      <c r="E65" s="40" t="str">
        <f>IFERROR(__xludf.DUMMYFUNCTION("""COMPUTED_VALUE"""),"publishing@nomorerobots.io")</f>
        <v>publishing@nomorerobots.io</v>
      </c>
      <c r="F65" s="56" t="str">
        <f>IFERROR(__xludf.DUMMYFUNCTION("""COMPUTED_VALUE"""),"Stacey Satchell")</f>
        <v>Stacey Satchell</v>
      </c>
      <c r="G65" s="59" t="str">
        <f>IFERROR(__xludf.DUMMYFUNCTION("""COMPUTED_VALUE"""),"https://store.steampowered.com/publisher/nomorerobots")</f>
        <v>https://store.steampowered.com/publisher/nomorerobots</v>
      </c>
      <c r="H65" s="61" t="str">
        <f>IFERROR(__xludf.DUMMYFUNCTION("""COMPUTED_VALUE"""),"https://gamalytic.com/publisher/No%20More%20Robots")</f>
        <v>https://gamalytic.com/publisher/No%20More%20Robots</v>
      </c>
      <c r="I65" s="62" t="str">
        <f>IFERROR(__xludf.DUMMYFUNCTION("""COMPUTED_VALUE"""),"18K")</f>
        <v>18K</v>
      </c>
      <c r="J65" s="63">
        <f>IFERROR(__xludf.DUMMYFUNCTION("""COMPUTED_VALUE"""),20.0)</f>
        <v>20</v>
      </c>
      <c r="K65" s="64" t="str">
        <f>IFERROR(__xludf.DUMMYFUNCTION("""COMPUTED_VALUE"""),"Aug 2018")</f>
        <v>Aug 2018</v>
      </c>
      <c r="L65" s="64" t="str">
        <f>IFERROR(__xludf.DUMMYFUNCTION("""COMPUTED_VALUE"""),"Jun 2026")</f>
        <v>Jun 2026</v>
      </c>
      <c r="M65" s="65">
        <f>IFERROR(__xludf.DUMMYFUNCTION("""COMPUTED_VALUE"""),2.5492788E7)</f>
        <v>25492788</v>
      </c>
      <c r="N65" s="65">
        <f>IFERROR(__xludf.DUMMYFUNCTION("""COMPUTED_VALUE"""),1274639.4)</f>
        <v>1274639.4</v>
      </c>
      <c r="O65" s="65">
        <f>IFERROR(__xludf.DUMMYFUNCTION("""COMPUTED_VALUE"""),442652.5)</f>
        <v>442652.5</v>
      </c>
      <c r="P65" s="66" t="str">
        <f>IFERROR(__xludf.DUMMYFUNCTION("""COMPUTED_VALUE"""),"Indie")</f>
        <v>Indie</v>
      </c>
      <c r="Q65" s="64" t="str">
        <f>IFERROR(__xludf.DUMMYFUNCTION("""COMPUTED_VALUE"""),"$, $$")</f>
        <v>$, $$</v>
      </c>
      <c r="R65" s="68" t="str">
        <f>IFERROR(__xludf.DUMMYFUNCTION("""COMPUTED_VALUE"""),"★★★")</f>
        <v>★★★</v>
      </c>
      <c r="S65" s="25" t="str">
        <f>IFERROR(__xludf.DUMMYFUNCTION("""COMPUTED_VALUE"""),"Life Sim, Management, Sandbox, Point &amp; Click, Open World, City Builder, Resource Management")</f>
        <v>Life Sim, Management, Sandbox, Point &amp; Click, Open World, City Builder, Resource Management</v>
      </c>
      <c r="T65" s="40" t="str">
        <f>IFERROR(__xludf.DUMMYFUNCTION("""COMPUTED_VALUE"""),"Descenders, yes Your Grace, Let's Build a Zoo")</f>
        <v>Descenders, yes Your Grace, Let's Build a Zoo</v>
      </c>
      <c r="U65" s="69" t="str">
        <f>IFERROR(__xludf.DUMMYFUNCTION("""COMPUTED_VALUE"""),"Excellent reputation in the industry.")</f>
        <v>Excellent reputation in the industry.</v>
      </c>
    </row>
    <row r="66">
      <c r="A66" s="49" t="str">
        <f>IFERROR(__xludf.DUMMYFUNCTION("""COMPUTED_VALUE"""),"Smilegate")</f>
        <v>Smilegate</v>
      </c>
      <c r="B66" s="40" t="str">
        <f>IFERROR(__xludf.DUMMYFUNCTION("""COMPUTED_VALUE"""),"Korea")</f>
        <v>Korea</v>
      </c>
      <c r="C66" s="52" t="str">
        <f>IFERROR(__xludf.DUMMYFUNCTION("""COMPUTED_VALUE"""),"https://www.smilegate.com/en/")</f>
        <v>https://www.smilegate.com/en/</v>
      </c>
      <c r="D66" s="40" t="str">
        <f>IFERROR(__xludf.DUMMYFUNCTION("""COMPUTED_VALUE"""),"-")</f>
        <v>-</v>
      </c>
      <c r="E66" s="40" t="str">
        <f>IFERROR(__xludf.DUMMYFUNCTION("""COMPUTED_VALUE"""),"fredw@smilegate.com")</f>
        <v>fredw@smilegate.com</v>
      </c>
      <c r="F66" s="56" t="str">
        <f>IFERROR(__xludf.DUMMYFUNCTION("""COMPUTED_VALUE"""),"Fred White")</f>
        <v>Fred White</v>
      </c>
      <c r="G66" s="59" t="str">
        <f>IFERROR(__xludf.DUMMYFUNCTION("""COMPUTED_VALUE"""),"https://store.steampowered.com/search/?developer=Smilegate%20RPG")</f>
        <v>https://store.steampowered.com/search/?developer=Smilegate%20RPG</v>
      </c>
      <c r="H66" s="61" t="str">
        <f>IFERROR(__xludf.DUMMYFUNCTION("""COMPUTED_VALUE"""),"https://gamalytic.com/publisher/Smilegate%20Entertainment")</f>
        <v>https://gamalytic.com/publisher/Smilegate%20Entertainment</v>
      </c>
      <c r="I66" s="62" t="str">
        <f>IFERROR(__xludf.DUMMYFUNCTION("""COMPUTED_VALUE"""),"-")</f>
        <v>-</v>
      </c>
      <c r="J66" s="63">
        <f>IFERROR(__xludf.DUMMYFUNCTION("""COMPUTED_VALUE"""),10.0)</f>
        <v>10</v>
      </c>
      <c r="K66" s="64" t="str">
        <f>IFERROR(__xludf.DUMMYFUNCTION("""COMPUTED_VALUE"""),"Jul 2018")</f>
        <v>Jul 2018</v>
      </c>
      <c r="L66" s="64" t="str">
        <f>IFERROR(__xludf.DUMMYFUNCTION("""COMPUTED_VALUE"""),"Jul 2026")</f>
        <v>Jul 2026</v>
      </c>
      <c r="M66" s="65">
        <f>IFERROR(__xludf.DUMMYFUNCTION("""COMPUTED_VALUE"""),9605066.0)</f>
        <v>9605066</v>
      </c>
      <c r="N66" s="65">
        <f>IFERROR(__xludf.DUMMYFUNCTION("""COMPUTED_VALUE"""),960506.6)</f>
        <v>960506.6</v>
      </c>
      <c r="O66" s="65">
        <f>IFERROR(__xludf.DUMMYFUNCTION("""COMPUTED_VALUE"""),413969.5)</f>
        <v>413969.5</v>
      </c>
      <c r="P66" s="66" t="str">
        <f>IFERROR(__xludf.DUMMYFUNCTION("""COMPUTED_VALUE"""),"Indie")</f>
        <v>Indie</v>
      </c>
      <c r="Q66" s="64" t="str">
        <f>IFERROR(__xludf.DUMMYFUNCTION("""COMPUTED_VALUE"""),"$, $$")</f>
        <v>$, $$</v>
      </c>
      <c r="R66" s="68" t="str">
        <f>IFERROR(__xludf.DUMMYFUNCTION("""COMPUTED_VALUE"""),"?")</f>
        <v>?</v>
      </c>
      <c r="S66" s="25" t="str">
        <f>IFERROR(__xludf.DUMMYFUNCTION("""COMPUTED_VALUE"""),"Action RPG, Hack and Slash, PvP, Co-op, Open World, FPS, Shooter, Team-Based, Turn-Based Combat")</f>
        <v>Action RPG, Hack and Slash, PvP, Co-op, Open World, FPS, Shooter, Team-Based, Turn-Based Combat</v>
      </c>
      <c r="T66" s="40" t="str">
        <f>IFERROR(__xludf.DUMMYFUNCTION("""COMPUTED_VALUE"""),"Lost Ark, Crossfire, Epic Seven, Outerplane")</f>
        <v>Lost Ark, Crossfire, Epic Seven, Outerplane</v>
      </c>
      <c r="U66" s="69" t="str">
        <f>IFERROR(__xludf.DUMMYFUNCTION("""COMPUTED_VALUE"""),"20+ year-old company best known for “Lost Ark” (2nd highest peak CCU in Steam history), “Epic Seven” and “Crossfire” (670 million registered users). Now adding new games to their STOVE game store, the largest online store in Korea with over 1,600 games.")</f>
        <v>20+ year-old company best known for “Lost Ark” (2nd highest peak CCU in Steam history), “Epic Seven” and “Crossfire” (670 million registered users). Now adding new games to their STOVE game store, the largest online store in Korea with over 1,600 games.</v>
      </c>
    </row>
    <row r="67">
      <c r="A67" s="49" t="str">
        <f>IFERROR(__xludf.DUMMYFUNCTION("""COMPUTED_VALUE"""),"Toplitz Productions")</f>
        <v>Toplitz Productions</v>
      </c>
      <c r="B67" s="40" t="str">
        <f>IFERROR(__xludf.DUMMYFUNCTION("""COMPUTED_VALUE"""),"Germany")</f>
        <v>Germany</v>
      </c>
      <c r="C67" s="52" t="str">
        <f>IFERROR(__xludf.DUMMYFUNCTION("""COMPUTED_VALUE"""),"https://www.toplitz-productions.com/home.html")</f>
        <v>https://www.toplitz-productions.com/home.html</v>
      </c>
      <c r="D67" s="40" t="str">
        <f>IFERROR(__xludf.DUMMYFUNCTION("""COMPUTED_VALUE"""),"-")</f>
        <v>-</v>
      </c>
      <c r="E67" s="55" t="str">
        <f>IFERROR(__xludf.DUMMYFUNCTION("""COMPUTED_VALUE"""),"https://www.toplitz-productions.com/contact-933.html")</f>
        <v>https://www.toplitz-productions.com/contact-933.html</v>
      </c>
      <c r="F67" s="56" t="str">
        <f>IFERROR(__xludf.DUMMYFUNCTION("""COMPUTED_VALUE"""),"?")</f>
        <v>?</v>
      </c>
      <c r="G67" s="59" t="str">
        <f>IFERROR(__xludf.DUMMYFUNCTION("""COMPUTED_VALUE"""),"https://store.steampowered.com/developer/Toplitz")</f>
        <v>https://store.steampowered.com/developer/Toplitz</v>
      </c>
      <c r="H67" s="61" t="str">
        <f>IFERROR(__xludf.DUMMYFUNCTION("""COMPUTED_VALUE"""),"https://gamalytic.com/publisher/Toplitz%20Productions")</f>
        <v>https://gamalytic.com/publisher/Toplitz%20Productions</v>
      </c>
      <c r="I67" s="62" t="str">
        <f>IFERROR(__xludf.DUMMYFUNCTION("""COMPUTED_VALUE"""),"14K")</f>
        <v>14K</v>
      </c>
      <c r="J67" s="63">
        <f>IFERROR(__xludf.DUMMYFUNCTION("""COMPUTED_VALUE"""),30.0)</f>
        <v>30</v>
      </c>
      <c r="K67" s="64" t="str">
        <f>IFERROR(__xludf.DUMMYFUNCTION("""COMPUTED_VALUE"""),"Jan 2010")</f>
        <v>Jan 2010</v>
      </c>
      <c r="L67" s="64" t="str">
        <f>IFERROR(__xludf.DUMMYFUNCTION("""COMPUTED_VALUE"""),"Oct 2026")</f>
        <v>Oct 2026</v>
      </c>
      <c r="M67" s="65">
        <f>IFERROR(__xludf.DUMMYFUNCTION("""COMPUTED_VALUE"""),7.9472622E7)</f>
        <v>79472622</v>
      </c>
      <c r="N67" s="65">
        <f>IFERROR(__xludf.DUMMYFUNCTION("""COMPUTED_VALUE"""),2649087.4)</f>
        <v>2649087.4</v>
      </c>
      <c r="O67" s="65">
        <f>IFERROR(__xludf.DUMMYFUNCTION("""COMPUTED_VALUE"""),408226.0)</f>
        <v>408226</v>
      </c>
      <c r="P67" s="66" t="str">
        <f>IFERROR(__xludf.DUMMYFUNCTION("""COMPUTED_VALUE"""),"AA")</f>
        <v>AA</v>
      </c>
      <c r="Q67" s="64" t="str">
        <f>IFERROR(__xludf.DUMMYFUNCTION("""COMPUTED_VALUE"""),"$$, $$$")</f>
        <v>$$, $$$</v>
      </c>
      <c r="R67" s="68" t="str">
        <f>IFERROR(__xludf.DUMMYFUNCTION("""COMPUTED_VALUE"""),"★★")</f>
        <v>★★</v>
      </c>
      <c r="S67" s="25" t="str">
        <f>IFERROR(__xludf.DUMMYFUNCTION("""COMPUTED_VALUE"""),"Crafting, Open World, Survival, Base Building, Co-op, Sandbox, City Builder, Management, Life Sim, Immersive Sim")</f>
        <v>Crafting, Open World, Survival, Base Building, Co-op, Sandbox, City Builder, Management, Life Sim, Immersive Sim</v>
      </c>
      <c r="T67" s="40" t="str">
        <f>IFERROR(__xludf.DUMMYFUNCTION("""COMPUTED_VALUE"""),"Medieval Dynasty, Sengoku Dynasty, Farmers Dynasty")</f>
        <v>Medieval Dynasty, Sengoku Dynasty, Farmers Dynasty</v>
      </c>
      <c r="U67" s="69" t="str">
        <f>IFERROR(__xludf.DUMMYFUNCTION("""COMPUTED_VALUE"""),"Big life simulator publisher, focuses on those style games. They have a few studios under their umbrella developing the games under the ""dyansty"" series. ")</f>
        <v>Big life simulator publisher, focuses on those style games. They have a few studios under their umbrella developing the games under the "dyansty" series. </v>
      </c>
    </row>
    <row r="68">
      <c r="A68" s="49" t="str">
        <f>IFERROR(__xludf.DUMMYFUNCTION("""COMPUTED_VALUE"""),"Daedalic Entertainment")</f>
        <v>Daedalic Entertainment</v>
      </c>
      <c r="B68" s="40" t="str">
        <f>IFERROR(__xludf.DUMMYFUNCTION("""COMPUTED_VALUE"""),"Germany")</f>
        <v>Germany</v>
      </c>
      <c r="C68" s="52" t="str">
        <f>IFERROR(__xludf.DUMMYFUNCTION("""COMPUTED_VALUE"""),"https://www.daedalic.com/")</f>
        <v>https://www.daedalic.com/</v>
      </c>
      <c r="D68" s="40" t="str">
        <f>IFERROR(__xludf.DUMMYFUNCTION("""COMPUTED_VALUE"""),"-")</f>
        <v>-</v>
      </c>
      <c r="E68" s="40" t="str">
        <f>IFERROR(__xludf.DUMMYFUNCTION("""COMPUTED_VALUE"""),"scouting@daedalic.com")</f>
        <v>scouting@daedalic.com</v>
      </c>
      <c r="F68" s="56" t="str">
        <f>IFERROR(__xludf.DUMMYFUNCTION("""COMPUTED_VALUE"""),"Jonas Hüsges")</f>
        <v>Jonas Hüsges</v>
      </c>
      <c r="G68" s="59" t="str">
        <f>IFERROR(__xludf.DUMMYFUNCTION("""COMPUTED_VALUE"""),"https://store.steampowered.com/publisher/daedalic")</f>
        <v>https://store.steampowered.com/publisher/daedalic</v>
      </c>
      <c r="H68" s="61" t="str">
        <f>IFERROR(__xludf.DUMMYFUNCTION("""COMPUTED_VALUE"""),"https://gamalytic.com/publisher/Daedalic%20Entertainment")</f>
        <v>https://gamalytic.com/publisher/Daedalic%20Entertainment</v>
      </c>
      <c r="I68" s="62" t="str">
        <f>IFERROR(__xludf.DUMMYFUNCTION("""COMPUTED_VALUE"""),"89K")</f>
        <v>89K</v>
      </c>
      <c r="J68" s="63">
        <f>IFERROR(__xludf.DUMMYFUNCTION("""COMPUTED_VALUE"""),98.0)</f>
        <v>98</v>
      </c>
      <c r="K68" s="64" t="str">
        <f>IFERROR(__xludf.DUMMYFUNCTION("""COMPUTED_VALUE"""),"Jun 2012")</f>
        <v>Jun 2012</v>
      </c>
      <c r="L68" s="64" t="str">
        <f>IFERROR(__xludf.DUMMYFUNCTION("""COMPUTED_VALUE"""),"Sep 2026")</f>
        <v>Sep 2026</v>
      </c>
      <c r="M68" s="65">
        <f>IFERROR(__xludf.DUMMYFUNCTION("""COMPUTED_VALUE"""),1.63730285E8)</f>
        <v>163730285</v>
      </c>
      <c r="N68" s="65">
        <f>IFERROR(__xludf.DUMMYFUNCTION("""COMPUTED_VALUE"""),1670717.19387755)</f>
        <v>1670717.194</v>
      </c>
      <c r="O68" s="65">
        <f>IFERROR(__xludf.DUMMYFUNCTION("""COMPUTED_VALUE"""),384035.0)</f>
        <v>384035</v>
      </c>
      <c r="P68" s="66" t="str">
        <f>IFERROR(__xludf.DUMMYFUNCTION("""COMPUTED_VALUE"""),"AA")</f>
        <v>AA</v>
      </c>
      <c r="Q68" s="64" t="str">
        <f>IFERROR(__xludf.DUMMYFUNCTION("""COMPUTED_VALUE"""),"$$, $$$")</f>
        <v>$$, $$$</v>
      </c>
      <c r="R68" s="68" t="str">
        <f>IFERROR(__xludf.DUMMYFUNCTION("""COMPUTED_VALUE"""),"★")</f>
        <v>★</v>
      </c>
      <c r="S68" s="25" t="str">
        <f>IFERROR(__xludf.DUMMYFUNCTION("""COMPUTED_VALUE"""),"Point &amp; Click, Puzzle, Co-op, Survival, Horror, Stealth, Real Time Tactics, Management")</f>
        <v>Point &amp; Click, Puzzle, Co-op, Survival, Horror, Stealth, Real Time Tactics, Management</v>
      </c>
      <c r="T68" s="40" t="str">
        <f>IFERROR(__xludf.DUMMYFUNCTION("""COMPUTED_VALUE"""),"Barotrauma, Witch it, Unrailed, Crazy Machines 3")</f>
        <v>Barotrauma, Witch it, Unrailed, Crazy Machines 3</v>
      </c>
      <c r="U68" s="69" t="str">
        <f>IFERROR(__xludf.DUMMYFUNCTION("""COMPUTED_VALUE"""),"-")</f>
        <v>-</v>
      </c>
    </row>
    <row r="69">
      <c r="A69" s="49" t="str">
        <f>IFERROR(__xludf.DUMMYFUNCTION("""COMPUTED_VALUE"""),"Raw Fury")</f>
        <v>Raw Fury</v>
      </c>
      <c r="B69" s="40" t="str">
        <f>IFERROR(__xludf.DUMMYFUNCTION("""COMPUTED_VALUE"""),"Sweden")</f>
        <v>Sweden</v>
      </c>
      <c r="C69" s="52" t="str">
        <f>IFERROR(__xludf.DUMMYFUNCTION("""COMPUTED_VALUE"""),"https://rawfury.com/")</f>
        <v>https://rawfury.com/</v>
      </c>
      <c r="D69" s="55" t="str">
        <f>IFERROR(__xludf.DUMMYFUNCTION("""COMPUTED_VALUE"""),"https://rawfury.com/talk/")</f>
        <v>https://rawfury.com/talk/</v>
      </c>
      <c r="E69" s="55" t="str">
        <f>IFERROR(__xludf.DUMMYFUNCTION("""COMPUTED_VALUE"""),"https://form.asana.com/?k=SF4rPk6Y5L-NFSrVml5JOg&amp;d=1123805143377851")</f>
        <v>https://form.asana.com/?k=SF4rPk6Y5L-NFSrVml5JOg&amp;d=1123805143377851</v>
      </c>
      <c r="F69" s="56" t="str">
        <f>IFERROR(__xludf.DUMMYFUNCTION("""COMPUTED_VALUE"""),"Johan Toresson")</f>
        <v>Johan Toresson</v>
      </c>
      <c r="G69" s="59" t="str">
        <f>IFERROR(__xludf.DUMMYFUNCTION("""COMPUTED_VALUE"""),"https://store.steampowered.com/publisher/rawfury")</f>
        <v>https://store.steampowered.com/publisher/rawfury</v>
      </c>
      <c r="H69" s="61" t="str">
        <f>IFERROR(__xludf.DUMMYFUNCTION("""COMPUTED_VALUE"""),"https://gamalytic.com/publisher/Raw%20Fury")</f>
        <v>https://gamalytic.com/publisher/Raw%20Fury</v>
      </c>
      <c r="I69" s="62" t="str">
        <f>IFERROR(__xludf.DUMMYFUNCTION("""COMPUTED_VALUE"""),"81K")</f>
        <v>81K</v>
      </c>
      <c r="J69" s="63">
        <f>IFERROR(__xludf.DUMMYFUNCTION("""COMPUTED_VALUE"""),82.0)</f>
        <v>82</v>
      </c>
      <c r="K69" s="64" t="str">
        <f>IFERROR(__xludf.DUMMYFUNCTION("""COMPUTED_VALUE"""),"Oct 2015")</f>
        <v>Oct 2015</v>
      </c>
      <c r="L69" s="64" t="str">
        <f>IFERROR(__xludf.DUMMYFUNCTION("""COMPUTED_VALUE"""),"Oct 2026")</f>
        <v>Oct 2026</v>
      </c>
      <c r="M69" s="65">
        <f>IFERROR(__xludf.DUMMYFUNCTION("""COMPUTED_VALUE"""),1.28424404E8)</f>
        <v>128424404</v>
      </c>
      <c r="N69" s="65">
        <f>IFERROR(__xludf.DUMMYFUNCTION("""COMPUTED_VALUE"""),1566151.26829268)</f>
        <v>1566151.268</v>
      </c>
      <c r="O69" s="65">
        <f>IFERROR(__xludf.DUMMYFUNCTION("""COMPUTED_VALUE"""),381882.0)</f>
        <v>381882</v>
      </c>
      <c r="P69" s="66" t="str">
        <f>IFERROR(__xludf.DUMMYFUNCTION("""COMPUTED_VALUE"""),"AA")</f>
        <v>AA</v>
      </c>
      <c r="Q69" s="64" t="str">
        <f>IFERROR(__xludf.DUMMYFUNCTION("""COMPUTED_VALUE"""),"$$, $$$")</f>
        <v>$$, $$$</v>
      </c>
      <c r="R69" s="68" t="str">
        <f>IFERROR(__xludf.DUMMYFUNCTION("""COMPUTED_VALUE"""),"★")</f>
        <v>★</v>
      </c>
      <c r="S69" s="25" t="str">
        <f>IFERROR(__xludf.DUMMYFUNCTION("""COMPUTED_VALUE"""),"Roguelike, Tower Defense, Roguelite, Puzzle, Base Building, Point &amp; Click, Investigation, City Builder, Survival, Horror")</f>
        <v>Roguelike, Tower Defense, Roguelite, Puzzle, Base Building, Point &amp; Click, Investigation, City Builder, Survival, Horror</v>
      </c>
      <c r="T69" s="40" t="str">
        <f>IFERROR(__xludf.DUMMYFUNCTION("""COMPUTED_VALUE"""),"Townscraper, Dome Keeper, Per Aspera")</f>
        <v>Townscraper, Dome Keeper, Per Aspera</v>
      </c>
      <c r="U69" s="69" t="str">
        <f>IFERROR(__xludf.DUMMYFUNCTION("""COMPUTED_VALUE"""),"They have a very good Developers Resources folder on what they look for in games: https://rawfury.com/developer-resources/ Their publishing contract is public and not negotiable.")</f>
        <v>They have a very good Developers Resources folder on what they look for in games: https://rawfury.com/developer-resources/ Their publishing contract is public and not negotiable.</v>
      </c>
    </row>
    <row r="70">
      <c r="A70" s="49" t="str">
        <f>IFERROR(__xludf.DUMMYFUNCTION("""COMPUTED_VALUE"""),"Kitfox Games")</f>
        <v>Kitfox Games</v>
      </c>
      <c r="B70" s="40" t="str">
        <f>IFERROR(__xludf.DUMMYFUNCTION("""COMPUTED_VALUE"""),"Canada")</f>
        <v>Canada</v>
      </c>
      <c r="C70" s="52" t="str">
        <f>IFERROR(__xludf.DUMMYFUNCTION("""COMPUTED_VALUE"""),"https://www.kitfoxgames.com/en")</f>
        <v>https://www.kitfoxgames.com/en</v>
      </c>
      <c r="D70" s="40" t="str">
        <f>IFERROR(__xludf.DUMMYFUNCTION("""COMPUTED_VALUE"""),"-")</f>
        <v>-</v>
      </c>
      <c r="E70" s="40" t="str">
        <f>IFERROR(__xludf.DUMMYFUNCTION("""COMPUTED_VALUE"""),"info@kitfoxgames.com")</f>
        <v>info@kitfoxgames.com</v>
      </c>
      <c r="F70" s="56" t="str">
        <f>IFERROR(__xludf.DUMMYFUNCTION("""COMPUTED_VALUE"""),"Tanya X. Short")</f>
        <v>Tanya X. Short</v>
      </c>
      <c r="G70" s="59" t="str">
        <f>IFERROR(__xludf.DUMMYFUNCTION("""COMPUTED_VALUE"""),"https://store.steampowered.com/publisher/kitfoxgames")</f>
        <v>https://store.steampowered.com/publisher/kitfoxgames</v>
      </c>
      <c r="H70" s="61" t="str">
        <f>IFERROR(__xludf.DUMMYFUNCTION("""COMPUTED_VALUE"""),"https://gamalytic.com/publisher/Kitfox%20Games")</f>
        <v>https://gamalytic.com/publisher/Kitfox%20Games</v>
      </c>
      <c r="I70" s="62" t="str">
        <f>IFERROR(__xludf.DUMMYFUNCTION("""COMPUTED_VALUE"""),"16K")</f>
        <v>16K</v>
      </c>
      <c r="J70" s="63">
        <f>IFERROR(__xludf.DUMMYFUNCTION("""COMPUTED_VALUE"""),13.0)</f>
        <v>13</v>
      </c>
      <c r="K70" s="64" t="str">
        <f>IFERROR(__xludf.DUMMYFUNCTION("""COMPUTED_VALUE"""),"Jul 2014")</f>
        <v>Jul 2014</v>
      </c>
      <c r="L70" s="64" t="str">
        <f>IFERROR(__xludf.DUMMYFUNCTION("""COMPUTED_VALUE"""),"Sep 2026")</f>
        <v>Sep 2026</v>
      </c>
      <c r="M70" s="65">
        <f>IFERROR(__xludf.DUMMYFUNCTION("""COMPUTED_VALUE"""),4.2805543E7)</f>
        <v>42805543</v>
      </c>
      <c r="N70" s="65">
        <f>IFERROR(__xludf.DUMMYFUNCTION("""COMPUTED_VALUE"""),3292734.07692307)</f>
        <v>3292734.077</v>
      </c>
      <c r="O70" s="65">
        <f>IFERROR(__xludf.DUMMYFUNCTION("""COMPUTED_VALUE"""),347230.0)</f>
        <v>347230</v>
      </c>
      <c r="P70" s="66" t="str">
        <f>IFERROR(__xludf.DUMMYFUNCTION("""COMPUTED_VALUE"""),"Indie")</f>
        <v>Indie</v>
      </c>
      <c r="Q70" s="64" t="str">
        <f>IFERROR(__xludf.DUMMYFUNCTION("""COMPUTED_VALUE"""),"$, $$")</f>
        <v>$, $$</v>
      </c>
      <c r="R70" s="68" t="str">
        <f>IFERROR(__xludf.DUMMYFUNCTION("""COMPUTED_VALUE"""),"★★★")</f>
        <v>★★★</v>
      </c>
      <c r="S70" s="25" t="str">
        <f>IFERROR(__xludf.DUMMYFUNCTION("""COMPUTED_VALUE"""),"Procedural Generation, Colony Sim, Open World, Sandbox, Roguelike, Base Building, Management, Survival, City Builder")</f>
        <v>Procedural Generation, Colony Sim, Open World, Sandbox, Roguelike, Base Building, Management, Survival, City Builder</v>
      </c>
      <c r="T70" s="40" t="str">
        <f>IFERROR(__xludf.DUMMYFUNCTION("""COMPUTED_VALUE"""),"Dwarf Fortress, Boyfriend Dungeon, Moon Hunters, Six Ages")</f>
        <v>Dwarf Fortress, Boyfriend Dungeon, Moon Hunters, Six Ages</v>
      </c>
      <c r="U70" s="69" t="str">
        <f>IFERROR(__xludf.DUMMYFUNCTION("""COMPUTED_VALUE"""),"They publish simulation/strategy game with complex mechanics")</f>
        <v>They publish simulation/strategy game with complex mechanics</v>
      </c>
    </row>
    <row r="71">
      <c r="A71" s="49" t="str">
        <f>IFERROR(__xludf.DUMMYFUNCTION("""COMPUTED_VALUE"""),"Panic")</f>
        <v>Panic</v>
      </c>
      <c r="B71" s="40" t="str">
        <f>IFERROR(__xludf.DUMMYFUNCTION("""COMPUTED_VALUE"""),"USA")</f>
        <v>USA</v>
      </c>
      <c r="C71" s="52" t="str">
        <f>IFERROR(__xludf.DUMMYFUNCTION("""COMPUTED_VALUE"""),"https://panic.com/")</f>
        <v>https://panic.com/</v>
      </c>
      <c r="D71" s="40" t="str">
        <f>IFERROR(__xludf.DUMMYFUNCTION("""COMPUTED_VALUE"""),"-")</f>
        <v>-</v>
      </c>
      <c r="E71" s="40" t="str">
        <f>IFERROR(__xludf.DUMMYFUNCTION("""COMPUTED_VALUE"""),"pitches@panic.com")</f>
        <v>pitches@panic.com</v>
      </c>
      <c r="F71" s="56" t="str">
        <f>IFERROR(__xludf.DUMMYFUNCTION("""COMPUTED_VALUE"""),"Nick Suttner; Alyssa Harrison")</f>
        <v>Nick Suttner; Alyssa Harrison</v>
      </c>
      <c r="G71" s="59" t="str">
        <f>IFERROR(__xludf.DUMMYFUNCTION("""COMPUTED_VALUE"""),"https://store.steampowered.com/publisher/Panic")</f>
        <v>https://store.steampowered.com/publisher/Panic</v>
      </c>
      <c r="H71" s="61" t="str">
        <f>IFERROR(__xludf.DUMMYFUNCTION("""COMPUTED_VALUE"""),"https://gamalytic.com/publisher/Panic")</f>
        <v>https://gamalytic.com/publisher/Panic</v>
      </c>
      <c r="I71" s="62" t="str">
        <f>IFERROR(__xludf.DUMMYFUNCTION("""COMPUTED_VALUE"""),"17K")</f>
        <v>17K</v>
      </c>
      <c r="J71" s="63">
        <f>IFERROR(__xludf.DUMMYFUNCTION("""COMPUTED_VALUE"""),11.0)</f>
        <v>11</v>
      </c>
      <c r="K71" s="64" t="str">
        <f>IFERROR(__xludf.DUMMYFUNCTION("""COMPUTED_VALUE"""),"Oct 2008")</f>
        <v>Oct 2008</v>
      </c>
      <c r="L71" s="64" t="str">
        <f>IFERROR(__xludf.DUMMYFUNCTION("""COMPUTED_VALUE"""),"Oct 2026")</f>
        <v>Oct 2026</v>
      </c>
      <c r="M71" s="65">
        <f>IFERROR(__xludf.DUMMYFUNCTION("""COMPUTED_VALUE"""),7.3619824E7)</f>
        <v>73619824</v>
      </c>
      <c r="N71" s="65">
        <f>IFERROR(__xludf.DUMMYFUNCTION("""COMPUTED_VALUE"""),6692711.27272727)</f>
        <v>6692711.273</v>
      </c>
      <c r="O71" s="65">
        <f>IFERROR(__xludf.DUMMYFUNCTION("""COMPUTED_VALUE"""),342979.0)</f>
        <v>342979</v>
      </c>
      <c r="P71" s="66" t="str">
        <f>IFERROR(__xludf.DUMMYFUNCTION("""COMPUTED_VALUE"""),"AA")</f>
        <v>AA</v>
      </c>
      <c r="Q71" s="64" t="str">
        <f>IFERROR(__xludf.DUMMYFUNCTION("""COMPUTED_VALUE"""),"$$, $$$")</f>
        <v>$$, $$$</v>
      </c>
      <c r="R71" s="68" t="str">
        <f>IFERROR(__xludf.DUMMYFUNCTION("""COMPUTED_VALUE"""),"?")</f>
        <v>?</v>
      </c>
      <c r="S71" s="25" t="str">
        <f>IFERROR(__xludf.DUMMYFUNCTION("""COMPUTED_VALUE"""),"Puzzle, Open World, Co-op, Walking Simulator, Sandbox, Stealth")</f>
        <v>Puzzle, Open World, Co-op, Walking Simulator, Sandbox, Stealth</v>
      </c>
      <c r="T71" s="40" t="str">
        <f>IFERROR(__xludf.DUMMYFUNCTION("""COMPUTED_VALUE"""),"Firewatch, Untitled Goose Game")</f>
        <v>Firewatch, Untitled Goose Game</v>
      </c>
      <c r="U71" s="69" t="str">
        <f>IFERROR(__xludf.DUMMYFUNCTION("""COMPUTED_VALUE"""),"Focus on artistic or weird games")</f>
        <v>Focus on artistic or weird games</v>
      </c>
    </row>
    <row r="72">
      <c r="A72" s="49" t="str">
        <f>IFERROR(__xludf.DUMMYFUNCTION("""COMPUTED_VALUE"""),"Mad Mushroom")</f>
        <v>Mad Mushroom</v>
      </c>
      <c r="B72" s="40" t="str">
        <f>IFERROR(__xludf.DUMMYFUNCTION("""COMPUTED_VALUE"""),"USA")</f>
        <v>USA</v>
      </c>
      <c r="C72" s="52" t="str">
        <f>IFERROR(__xludf.DUMMYFUNCTION("""COMPUTED_VALUE"""),"https://www.madmushroom.gg/")</f>
        <v>https://www.madmushroom.gg/</v>
      </c>
      <c r="D72" s="40" t="str">
        <f>IFERROR(__xludf.DUMMYFUNCTION("""COMPUTED_VALUE"""),"-")</f>
        <v>-</v>
      </c>
      <c r="E72" s="55" t="str">
        <f>IFERROR(__xludf.DUMMYFUNCTION("""COMPUTED_VALUE"""),"https://www.madmushroom.gg/submit-your-game")</f>
        <v>https://www.madmushroom.gg/submit-your-game</v>
      </c>
      <c r="F72" s="56" t="str">
        <f>IFERROR(__xludf.DUMMYFUNCTION("""COMPUTED_VALUE"""),"?")</f>
        <v>?</v>
      </c>
      <c r="G72" s="59" t="str">
        <f>IFERROR(__xludf.DUMMYFUNCTION("""COMPUTED_VALUE"""),"https://store.steampowered.com/publisher/madmushroommedia?snr=1_5_9__408")</f>
        <v>https://store.steampowered.com/publisher/madmushroommedia?snr=1_5_9__408</v>
      </c>
      <c r="H72" s="61" t="str">
        <f>IFERROR(__xludf.DUMMYFUNCTION("""COMPUTED_VALUE"""),"https://gamalytic.com/publisher/Mad%20Mushroom")</f>
        <v>https://gamalytic.com/publisher/Mad%20Mushroom</v>
      </c>
      <c r="I72" s="62" t="str">
        <f>IFERROR(__xludf.DUMMYFUNCTION("""COMPUTED_VALUE"""),"2K")</f>
        <v>2K</v>
      </c>
      <c r="J72" s="63">
        <f>IFERROR(__xludf.DUMMYFUNCTION("""COMPUTED_VALUE"""),7.0)</f>
        <v>7</v>
      </c>
      <c r="K72" s="64" t="str">
        <f>IFERROR(__xludf.DUMMYFUNCTION("""COMPUTED_VALUE"""),"Jun 2024")</f>
        <v>Jun 2024</v>
      </c>
      <c r="L72" s="64" t="str">
        <f>IFERROR(__xludf.DUMMYFUNCTION("""COMPUTED_VALUE"""),"Aug 2026")</f>
        <v>Aug 2026</v>
      </c>
      <c r="M72" s="65">
        <f>IFERROR(__xludf.DUMMYFUNCTION("""COMPUTED_VALUE"""),6784205.0)</f>
        <v>6784205</v>
      </c>
      <c r="N72" s="65">
        <f>IFERROR(__xludf.DUMMYFUNCTION("""COMPUTED_VALUE"""),969172.142857142)</f>
        <v>969172.1429</v>
      </c>
      <c r="O72" s="65">
        <f>IFERROR(__xludf.DUMMYFUNCTION("""COMPUTED_VALUE"""),336269.0)</f>
        <v>336269</v>
      </c>
      <c r="P72" s="66" t="str">
        <f>IFERROR(__xludf.DUMMYFUNCTION("""COMPUTED_VALUE"""),"Indie")</f>
        <v>Indie</v>
      </c>
      <c r="Q72" s="64" t="str">
        <f>IFERROR(__xludf.DUMMYFUNCTION("""COMPUTED_VALUE"""),"$, $$")</f>
        <v>$, $$</v>
      </c>
      <c r="R72" s="68" t="str">
        <f>IFERROR(__xludf.DUMMYFUNCTION("""COMPUTED_VALUE"""),"?")</f>
        <v>?</v>
      </c>
      <c r="S72" s="25" t="str">
        <f>IFERROR(__xludf.DUMMYFUNCTION("""COMPUTED_VALUE"""),"Action RPG, Action Roguelike, Horror, Bullet Heaven, Roguelite, Roguelike, Bullet Hell")</f>
        <v>Action RPG, Action Roguelike, Horror, Bullet Heaven, Roguelite, Roguelike, Bullet Hell</v>
      </c>
      <c r="T72" s="40" t="str">
        <f>IFERROR(__xludf.DUMMYFUNCTION("""COMPUTED_VALUE"""),"Atomic Picnic, Conquest Dark")</f>
        <v>Atomic Picnic, Conquest Dark</v>
      </c>
      <c r="U72" s="69" t="str">
        <f>IFERROR(__xludf.DUMMYFUNCTION("""COMPUTED_VALUE"""),"New indie game publisher founded by OTK")</f>
        <v>New indie game publisher founded by OTK</v>
      </c>
    </row>
    <row r="73">
      <c r="A73" s="49" t="str">
        <f>IFERROR(__xludf.DUMMYFUNCTION("""COMPUTED_VALUE"""),"Critical Reflex")</f>
        <v>Critical Reflex</v>
      </c>
      <c r="B73" s="40" t="str">
        <f>IFERROR(__xludf.DUMMYFUNCTION("""COMPUTED_VALUE"""),"Cyprus")</f>
        <v>Cyprus</v>
      </c>
      <c r="C73" s="52" t="str">
        <f>IFERROR(__xludf.DUMMYFUNCTION("""COMPUTED_VALUE"""),"https://www.criticalreflex.com/")</f>
        <v>https://www.criticalreflex.com/</v>
      </c>
      <c r="D73" s="40" t="str">
        <f>IFERROR(__xludf.DUMMYFUNCTION("""COMPUTED_VALUE"""),"-")</f>
        <v>-</v>
      </c>
      <c r="E73" s="55" t="str">
        <f>IFERROR(__xludf.DUMMYFUNCTION("""COMPUTED_VALUE"""),"https://docs.google.com/forms/d/e/1FAIpQLScDZGJZZlYFa2ZBDcSR-PQ1-ajdwcDVpqePcrNBDXaTWke0xw/viewform")</f>
        <v>https://docs.google.com/forms/d/e/1FAIpQLScDZGJZZlYFa2ZBDcSR-PQ1-ajdwcDVpqePcrNBDXaTWke0xw/viewform</v>
      </c>
      <c r="F73" s="56" t="str">
        <f>IFERROR(__xludf.DUMMYFUNCTION("""COMPUTED_VALUE"""),"Rita Lebedeva")</f>
        <v>Rita Lebedeva</v>
      </c>
      <c r="G73" s="59" t="str">
        <f>IFERROR(__xludf.DUMMYFUNCTION("""COMPUTED_VALUE"""),"https://store.steampowered.com/curator/40619234")</f>
        <v>https://store.steampowered.com/curator/40619234</v>
      </c>
      <c r="H73" s="61" t="str">
        <f>IFERROR(__xludf.DUMMYFUNCTION("""COMPUTED_VALUE"""),"https://gamalytic.com/publisher/CRITICAL%20REFLEX")</f>
        <v>https://gamalytic.com/publisher/CRITICAL%20REFLEX</v>
      </c>
      <c r="I73" s="62" t="str">
        <f>IFERROR(__xludf.DUMMYFUNCTION("""COMPUTED_VALUE"""),"83K")</f>
        <v>83K</v>
      </c>
      <c r="J73" s="63">
        <f>IFERROR(__xludf.DUMMYFUNCTION("""COMPUTED_VALUE"""),15.0)</f>
        <v>15</v>
      </c>
      <c r="K73" s="64" t="str">
        <f>IFERROR(__xludf.DUMMYFUNCTION("""COMPUTED_VALUE"""),"Sep 2021")</f>
        <v>Sep 2021</v>
      </c>
      <c r="L73" s="64" t="str">
        <f>IFERROR(__xludf.DUMMYFUNCTION("""COMPUTED_VALUE"""),"Oct 2026")</f>
        <v>Oct 2026</v>
      </c>
      <c r="M73" s="65">
        <f>IFERROR(__xludf.DUMMYFUNCTION("""COMPUTED_VALUE"""),4.3275482E7)</f>
        <v>43275482</v>
      </c>
      <c r="N73" s="65">
        <f>IFERROR(__xludf.DUMMYFUNCTION("""COMPUTED_VALUE"""),2885032.13333333)</f>
        <v>2885032.133</v>
      </c>
      <c r="O73" s="65">
        <f>IFERROR(__xludf.DUMMYFUNCTION("""COMPUTED_VALUE"""),321029.0)</f>
        <v>321029</v>
      </c>
      <c r="P73" s="66" t="str">
        <f>IFERROR(__xludf.DUMMYFUNCTION("""COMPUTED_VALUE"""),"Indie")</f>
        <v>Indie</v>
      </c>
      <c r="Q73" s="64" t="str">
        <f>IFERROR(__xludf.DUMMYFUNCTION("""COMPUTED_VALUE"""),"$, $$")</f>
        <v>$, $$</v>
      </c>
      <c r="R73" s="68" t="str">
        <f>IFERROR(__xludf.DUMMYFUNCTION("""COMPUTED_VALUE"""),"★")</f>
        <v>★</v>
      </c>
      <c r="S73" s="25" t="str">
        <f>IFERROR(__xludf.DUMMYFUNCTION("""COMPUTED_VALUE"""),"Horror, Psychological Horror, Gambling, Walking Simulator, Dungeon Crawler")</f>
        <v>Horror, Psychological Horror, Gambling, Walking Simulator, Dungeon Crawler</v>
      </c>
      <c r="T73" s="40" t="str">
        <f>IFERROR(__xludf.DUMMYFUNCTION("""COMPUTED_VALUE"""),"Buckshot Roulette, Lunacid, Mouthwashing, Arctic Eggs")</f>
        <v>Buckshot Roulette, Lunacid, Mouthwashing, Arctic Eggs</v>
      </c>
      <c r="U73" s="69" t="str">
        <f>IFERROR(__xludf.DUMMYFUNCTION("""COMPUTED_VALUE"""),"Interested in weird and unique concepts, they also like PSX aesthetics and horror games")</f>
        <v>Interested in weird and unique concepts, they also like PSX aesthetics and horror games</v>
      </c>
    </row>
    <row r="74">
      <c r="A74" s="49" t="str">
        <f>IFERROR(__xludf.DUMMYFUNCTION("""COMPUTED_VALUE"""),"Secret Mode")</f>
        <v>Secret Mode</v>
      </c>
      <c r="B74" s="40" t="str">
        <f>IFERROR(__xludf.DUMMYFUNCTION("""COMPUTED_VALUE"""),"UK")</f>
        <v>UK</v>
      </c>
      <c r="C74" s="52" t="str">
        <f>IFERROR(__xludf.DUMMYFUNCTION("""COMPUTED_VALUE"""),"https://wearesecretmode.com/")</f>
        <v>https://wearesecretmode.com/</v>
      </c>
      <c r="D74" s="40" t="str">
        <f>IFERROR(__xludf.DUMMYFUNCTION("""COMPUTED_VALUE"""),"-")</f>
        <v>-</v>
      </c>
      <c r="E74" s="55" t="str">
        <f>IFERROR(__xludf.DUMMYFUNCTION("""COMPUTED_VALUE"""),"https://wearesecretmode.com/publishing")</f>
        <v>https://wearesecretmode.com/publishing</v>
      </c>
      <c r="F74" s="56" t="str">
        <f>IFERROR(__xludf.DUMMYFUNCTION("""COMPUTED_VALUE"""),"Joshua Garrity")</f>
        <v>Joshua Garrity</v>
      </c>
      <c r="G74" s="59" t="str">
        <f>IFERROR(__xludf.DUMMYFUNCTION("""COMPUTED_VALUE"""),"https://store.steampowered.com/publisher/SecretMode")</f>
        <v>https://store.steampowered.com/publisher/SecretMode</v>
      </c>
      <c r="H74" s="61" t="str">
        <f>IFERROR(__xludf.DUMMYFUNCTION("""COMPUTED_VALUE"""),"https://gamalytic.com/publisher/Secret%20Mode")</f>
        <v>https://gamalytic.com/publisher/Secret%20Mode</v>
      </c>
      <c r="I74" s="62" t="str">
        <f>IFERROR(__xludf.DUMMYFUNCTION("""COMPUTED_VALUE"""),"18K")</f>
        <v>18K</v>
      </c>
      <c r="J74" s="63">
        <f>IFERROR(__xludf.DUMMYFUNCTION("""COMPUTED_VALUE"""),25.0)</f>
        <v>25</v>
      </c>
      <c r="K74" s="64" t="str">
        <f>IFERROR(__xludf.DUMMYFUNCTION("""COMPUTED_VALUE"""),"Dec 2016")</f>
        <v>Dec 2016</v>
      </c>
      <c r="L74" s="64" t="str">
        <f>IFERROR(__xludf.DUMMYFUNCTION("""COMPUTED_VALUE"""),"Oct 2026")</f>
        <v>Oct 2026</v>
      </c>
      <c r="M74" s="65">
        <f>IFERROR(__xludf.DUMMYFUNCTION("""COMPUTED_VALUE"""),1.52439371E8)</f>
        <v>152439371</v>
      </c>
      <c r="N74" s="65">
        <f>IFERROR(__xludf.DUMMYFUNCTION("""COMPUTED_VALUE"""),6097574.84)</f>
        <v>6097574.84</v>
      </c>
      <c r="O74" s="65">
        <f>IFERROR(__xludf.DUMMYFUNCTION("""COMPUTED_VALUE"""),302791.0)</f>
        <v>302791</v>
      </c>
      <c r="P74" s="66" t="str">
        <f>IFERROR(__xludf.DUMMYFUNCTION("""COMPUTED_VALUE"""),"AA")</f>
        <v>AA</v>
      </c>
      <c r="Q74" s="64" t="str">
        <f>IFERROR(__xludf.DUMMYFUNCTION("""COMPUTED_VALUE"""),"$$, $$$")</f>
        <v>$$, $$$</v>
      </c>
      <c r="R74" s="68" t="str">
        <f>IFERROR(__xludf.DUMMYFUNCTION("""COMPUTED_VALUE"""),"★★")</f>
        <v>★★</v>
      </c>
      <c r="S74" s="25" t="str">
        <f>IFERROR(__xludf.DUMMYFUNCTION("""COMPUTED_VALUE"""),"Co-op, Horror, Psychological Horror, Puzzle, Platformer, Survival Horror, Puzzle Platformer, Escape Room, Cleaning")</f>
        <v>Co-op, Horror, Psychological Horror, Puzzle, Platformer, Survival Horror, Puzzle Platformer, Escape Room, Cleaning</v>
      </c>
      <c r="T74" s="40" t="str">
        <f>IFERROR(__xludf.DUMMYFUNCTION("""COMPUTED_VALUE"""),"Wobbledogs, A little to the left, Turbo golf racing, loddlenaut")</f>
        <v>Wobbledogs, A little to the left, Turbo golf racing, loddlenaut</v>
      </c>
      <c r="U74" s="69" t="str">
        <f>IFERROR(__xludf.DUMMYFUNCTION("""COMPUTED_VALUE"""),"The indie publishing arm of Sumo group. ")</f>
        <v>The indie publishing arm of Sumo group. </v>
      </c>
    </row>
    <row r="75">
      <c r="A75" s="49" t="str">
        <f>IFERROR(__xludf.DUMMYFUNCTION("""COMPUTED_VALUE"""),"Metaroot")</f>
        <v>Metaroot</v>
      </c>
      <c r="B75" s="40" t="str">
        <f>IFERROR(__xludf.DUMMYFUNCTION("""COMPUTED_VALUE"""),"Switzerland")</f>
        <v>Switzerland</v>
      </c>
      <c r="C75" s="52" t="str">
        <f>IFERROR(__xludf.DUMMYFUNCTION("""COMPUTED_VALUE"""),"https://www.metaroot.ch/")</f>
        <v>https://www.metaroot.ch/</v>
      </c>
      <c r="D75" s="40" t="str">
        <f>IFERROR(__xludf.DUMMYFUNCTION("""COMPUTED_VALUE"""),"-")</f>
        <v>-</v>
      </c>
      <c r="E75" s="40" t="str">
        <f>IFERROR(__xludf.DUMMYFUNCTION("""COMPUTED_VALUE"""),"andri@metaroot.ch")</f>
        <v>andri@metaroot.ch</v>
      </c>
      <c r="F75" s="56" t="str">
        <f>IFERROR(__xludf.DUMMYFUNCTION("""COMPUTED_VALUE"""),"?")</f>
        <v>?</v>
      </c>
      <c r="G75" s="59" t="str">
        <f>IFERROR(__xludf.DUMMYFUNCTION("""COMPUTED_VALUE"""),"https://store.steampowered.com/franchise/Metaroot")</f>
        <v>https://store.steampowered.com/franchise/Metaroot</v>
      </c>
      <c r="H75" s="61" t="str">
        <f>IFERROR(__xludf.DUMMYFUNCTION("""COMPUTED_VALUE"""),"https://gamalytic.com/publisher/Metaroot")</f>
        <v>https://gamalytic.com/publisher/Metaroot</v>
      </c>
      <c r="I75" s="62" t="str">
        <f>IFERROR(__xludf.DUMMYFUNCTION("""COMPUTED_VALUE"""),"4K")</f>
        <v>4K</v>
      </c>
      <c r="J75" s="63">
        <f>IFERROR(__xludf.DUMMYFUNCTION("""COMPUTED_VALUE"""),7.0)</f>
        <v>7</v>
      </c>
      <c r="K75" s="64" t="str">
        <f>IFERROR(__xludf.DUMMYFUNCTION("""COMPUTED_VALUE"""),"Jan 2025")</f>
        <v>Jan 2025</v>
      </c>
      <c r="L75" s="64" t="str">
        <f>IFERROR(__xludf.DUMMYFUNCTION("""COMPUTED_VALUE"""),"Jun 2026")</f>
        <v>Jun 2026</v>
      </c>
      <c r="M75" s="65">
        <f>IFERROR(__xludf.DUMMYFUNCTION("""COMPUTED_VALUE"""),1.2595742E7)</f>
        <v>12595742</v>
      </c>
      <c r="N75" s="65">
        <f>IFERROR(__xludf.DUMMYFUNCTION("""COMPUTED_VALUE"""),1799391.71428571)</f>
        <v>1799391.714</v>
      </c>
      <c r="O75" s="65">
        <f>IFERROR(__xludf.DUMMYFUNCTION("""COMPUTED_VALUE"""),293682.0)</f>
        <v>293682</v>
      </c>
      <c r="P75" s="66" t="str">
        <f>IFERROR(__xludf.DUMMYFUNCTION("""COMPUTED_VALUE"""),"Indie")</f>
        <v>Indie</v>
      </c>
      <c r="Q75" s="64" t="str">
        <f>IFERROR(__xludf.DUMMYFUNCTION("""COMPUTED_VALUE"""),"$, $$")</f>
        <v>$, $$</v>
      </c>
      <c r="R75" s="68" t="str">
        <f>IFERROR(__xludf.DUMMYFUNCTION("""COMPUTED_VALUE"""),"?")</f>
        <v>?</v>
      </c>
      <c r="S75" s="25" t="str">
        <f>IFERROR(__xludf.DUMMYFUNCTION("""COMPUTED_VALUE"""),"Programming, Automation, Logic, Puzzle, Idler, Base Building, Open World Survival Craft, Farming Sim, Resource Management, Co-op")</f>
        <v>Programming, Automation, Logic, Puzzle, Idler, Base Building, Open World Survival Craft, Farming Sim, Resource Management, Co-op</v>
      </c>
      <c r="T75" s="40" t="str">
        <f>IFERROR(__xludf.DUMMYFUNCTION("""COMPUTED_VALUE"""),"Of Life and Land")</f>
        <v>Of Life and Land</v>
      </c>
      <c r="U75" s="69" t="str">
        <f>IFERROR(__xludf.DUMMYFUNCTION("""COMPUTED_VALUE"""),"Swiss Indie Publisher focused on City Builders, Simulation Games and Brotatolikes.")</f>
        <v>Swiss Indie Publisher focused on City Builders, Simulation Games and Brotatolikes.</v>
      </c>
    </row>
    <row r="76">
      <c r="A76" s="49" t="str">
        <f>IFERROR(__xludf.DUMMYFUNCTION("""COMPUTED_VALUE"""),"3D Realms")</f>
        <v>3D Realms</v>
      </c>
      <c r="B76" s="40" t="str">
        <f>IFERROR(__xludf.DUMMYFUNCTION("""COMPUTED_VALUE"""),"Denmark")</f>
        <v>Denmark</v>
      </c>
      <c r="C76" s="52" t="str">
        <f>IFERROR(__xludf.DUMMYFUNCTION("""COMPUTED_VALUE"""),"https://3drealms.com/")</f>
        <v>https://3drealms.com/</v>
      </c>
      <c r="D76" s="40" t="str">
        <f>IFERROR(__xludf.DUMMYFUNCTION("""COMPUTED_VALUE"""),"-")</f>
        <v>-</v>
      </c>
      <c r="E76" s="40" t="str">
        <f>IFERROR(__xludf.DUMMYFUNCTION("""COMPUTED_VALUE"""),"pitch@3drealms.com")</f>
        <v>pitch@3drealms.com</v>
      </c>
      <c r="F76" s="56" t="str">
        <f>IFERROR(__xludf.DUMMYFUNCTION("""COMPUTED_VALUE"""),"Justin Burnham")</f>
        <v>Justin Burnham</v>
      </c>
      <c r="G76" s="59" t="str">
        <f>IFERROR(__xludf.DUMMYFUNCTION("""COMPUTED_VALUE"""),"https://store.steampowered.com/publisher/3DREALMS")</f>
        <v>https://store.steampowered.com/publisher/3DREALMS</v>
      </c>
      <c r="H76" s="61" t="str">
        <f>IFERROR(__xludf.DUMMYFUNCTION("""COMPUTED_VALUE"""),"https://gamalytic.com/publisher/3D%20Realms")</f>
        <v>https://gamalytic.com/publisher/3D%20Realms</v>
      </c>
      <c r="I76" s="62" t="str">
        <f>IFERROR(__xludf.DUMMYFUNCTION("""COMPUTED_VALUE"""),"20K")</f>
        <v>20K</v>
      </c>
      <c r="J76" s="63" t="str">
        <f>IFERROR(__xludf.DUMMYFUNCTION("""COMPUTED_VALUE"""),"16")</f>
        <v>16</v>
      </c>
      <c r="K76" s="64" t="str">
        <f>IFERROR(__xludf.DUMMYFUNCTION("""COMPUTED_VALUE"""),"May 2014")</f>
        <v>May 2014</v>
      </c>
      <c r="L76" s="64" t="str">
        <f>IFERROR(__xludf.DUMMYFUNCTION("""COMPUTED_VALUE"""),"Aug 2026")</f>
        <v>Aug 2026</v>
      </c>
      <c r="M76" s="65">
        <f>IFERROR(__xludf.DUMMYFUNCTION("""COMPUTED_VALUE"""),2.3023965E7)</f>
        <v>23023965</v>
      </c>
      <c r="N76" s="65">
        <f>IFERROR(__xludf.DUMMYFUNCTION("""COMPUTED_VALUE"""),1438997.8125)</f>
        <v>1438997.813</v>
      </c>
      <c r="O76" s="65">
        <f>IFERROR(__xludf.DUMMYFUNCTION("""COMPUTED_VALUE"""),288301.0)</f>
        <v>288301</v>
      </c>
      <c r="P76" s="66" t="str">
        <f>IFERROR(__xludf.DUMMYFUNCTION("""COMPUTED_VALUE"""),"Indie")</f>
        <v>Indie</v>
      </c>
      <c r="Q76" s="64" t="str">
        <f>IFERROR(__xludf.DUMMYFUNCTION("""COMPUTED_VALUE"""),"$, $$")</f>
        <v>$, $$</v>
      </c>
      <c r="R76" s="68" t="str">
        <f>IFERROR(__xludf.DUMMYFUNCTION("""COMPUTED_VALUE"""),"★★★")</f>
        <v>★★★</v>
      </c>
      <c r="S76" s="25" t="str">
        <f>IFERROR(__xludf.DUMMYFUNCTION("""COMPUTED_VALUE"""),"FPS, Shooter, RTS, Horror, Base Building, Action-Adventure")</f>
        <v>FPS, Shooter, RTS, Horror, Base Building, Action-Adventure</v>
      </c>
      <c r="T76" s="40" t="str">
        <f>IFERROR(__xludf.DUMMYFUNCTION("""COMPUTED_VALUE"""),"Ghostrunner, Tempest Rising, Painkiller")</f>
        <v>Ghostrunner, Tempest Rising, Painkiller</v>
      </c>
      <c r="U76" s="69" t="str">
        <f>IFERROR(__xludf.DUMMYFUNCTION("""COMPUTED_VALUE"""),"Rebooting publishing label in 2023 to build the biggest indie / AA action label for all genres. Redefining AAA - Action, Attitude, Adrenaline")</f>
        <v>Rebooting publishing label in 2023 to build the biggest indie / AA action label for all genres. Redefining AAA - Action, Attitude, Adrenaline</v>
      </c>
    </row>
    <row r="77">
      <c r="A77" s="49" t="str">
        <f>IFERROR(__xludf.DUMMYFUNCTION("""COMPUTED_VALUE"""),"Gambit Digital")</f>
        <v>Gambit Digital</v>
      </c>
      <c r="B77" s="40" t="str">
        <f>IFERROR(__xludf.DUMMYFUNCTION("""COMPUTED_VALUE"""),"Canada")</f>
        <v>Canada</v>
      </c>
      <c r="C77" s="52" t="str">
        <f>IFERROR(__xludf.DUMMYFUNCTION("""COMPUTED_VALUE"""),"https://gambitdigital.ca/")</f>
        <v>https://gambitdigital.ca/</v>
      </c>
      <c r="D77" s="40"/>
      <c r="E77" s="40" t="str">
        <f>IFERROR(__xludf.DUMMYFUNCTION("""COMPUTED_VALUE"""),"yourmove@gambitdigital.ca")</f>
        <v>yourmove@gambitdigital.ca</v>
      </c>
      <c r="F77" s="56" t="str">
        <f>IFERROR(__xludf.DUMMYFUNCTION("""COMPUTED_VALUE"""),"Zac Antonaci")</f>
        <v>Zac Antonaci</v>
      </c>
      <c r="G77" s="59" t="str">
        <f>IFERROR(__xludf.DUMMYFUNCTION("""COMPUTED_VALUE"""),"https://store.steampowered.com/search/?publisher=Gambit%20Digital")</f>
        <v>https://store.steampowered.com/search/?publisher=Gambit%20Digital</v>
      </c>
      <c r="H77" s="61" t="str">
        <f>IFERROR(__xludf.DUMMYFUNCTION("""COMPUTED_VALUE"""),"https://gamalytic.com/publisher/Gambit%20Digital")</f>
        <v>https://gamalytic.com/publisher/Gambit%20Digital</v>
      </c>
      <c r="I77" s="62" t="str">
        <f>IFERROR(__xludf.DUMMYFUNCTION("""COMPUTED_VALUE"""),"-")</f>
        <v>-</v>
      </c>
      <c r="J77" s="63">
        <f>IFERROR(__xludf.DUMMYFUNCTION("""COMPUTED_VALUE"""),3.0)</f>
        <v>3</v>
      </c>
      <c r="K77" s="64" t="str">
        <f>IFERROR(__xludf.DUMMYFUNCTION("""COMPUTED_VALUE"""),"Sep 2023")</f>
        <v>Sep 2023</v>
      </c>
      <c r="L77" s="64" t="str">
        <f>IFERROR(__xludf.DUMMYFUNCTION("""COMPUTED_VALUE"""),"May 2026")</f>
        <v>May 2026</v>
      </c>
      <c r="M77" s="65">
        <f>IFERROR(__xludf.DUMMYFUNCTION("""COMPUTED_VALUE"""),4621270.0)</f>
        <v>4621270</v>
      </c>
      <c r="N77" s="65">
        <f>IFERROR(__xludf.DUMMYFUNCTION("""COMPUTED_VALUE"""),1540423.33333333)</f>
        <v>1540423.333</v>
      </c>
      <c r="O77" s="65">
        <f>IFERROR(__xludf.DUMMYFUNCTION("""COMPUTED_VALUE"""),285354.0)</f>
        <v>285354</v>
      </c>
      <c r="P77" s="66" t="str">
        <f>IFERROR(__xludf.DUMMYFUNCTION("""COMPUTED_VALUE"""),"Indie")</f>
        <v>Indie</v>
      </c>
      <c r="Q77" s="64" t="str">
        <f>IFERROR(__xludf.DUMMYFUNCTION("""COMPUTED_VALUE"""),"$, $$")</f>
        <v>$, $$</v>
      </c>
      <c r="R77" s="68" t="str">
        <f>IFERROR(__xludf.DUMMYFUNCTION("""COMPUTED_VALUE"""),"?")</f>
        <v>?</v>
      </c>
      <c r="S77" s="25" t="str">
        <f>IFERROR(__xludf.DUMMYFUNCTION("""COMPUTED_VALUE"""),"Farming Sim, Co-op, Roguelike Deckbuilder, Economy, Auto Battler, Capitalism, Deckbuilding, Golf")</f>
        <v>Farming Sim, Co-op, Roguelike Deckbuilder, Economy, Auto Battler, Capitalism, Deckbuilding, Golf</v>
      </c>
      <c r="T77" s="40"/>
      <c r="U77" s="69" t="str">
        <f>IFERROR(__xludf.DUMMYFUNCTION("""COMPUTED_VALUE"""),"We’re a new kind of publisher: Fast, fearless, and built for what’s next. We support games we’re proud of with people we believe in. 
No suits, just impact.")</f>
        <v>We’re a new kind of publisher: Fast, fearless, and built for what’s next. We support games we’re proud of with people we believe in. 
No suits, just impact.</v>
      </c>
    </row>
    <row r="78">
      <c r="A78" s="49" t="str">
        <f>IFERROR(__xludf.DUMMYFUNCTION("""COMPUTED_VALUE"""),"Twin Sails Interactive")</f>
        <v>Twin Sails Interactive</v>
      </c>
      <c r="B78" s="40" t="str">
        <f>IFERROR(__xludf.DUMMYFUNCTION("""COMPUTED_VALUE"""),"France")</f>
        <v>France</v>
      </c>
      <c r="C78" s="52" t="str">
        <f>IFERROR(__xludf.DUMMYFUNCTION("""COMPUTED_VALUE"""),"https://twin-sails.com/en/")</f>
        <v>https://twin-sails.com/en/</v>
      </c>
      <c r="D78" s="40" t="str">
        <f>IFERROR(__xludf.DUMMYFUNCTION("""COMPUTED_VALUE"""),"-")</f>
        <v>-</v>
      </c>
      <c r="E78" s="55" t="str">
        <f>IFERROR(__xludf.DUMMYFUNCTION("""COMPUTED_VALUE"""),"https://twin-sails.com/en/publish/")</f>
        <v>https://twin-sails.com/en/publish/</v>
      </c>
      <c r="F78" s="56" t="str">
        <f>IFERROR(__xludf.DUMMYFUNCTION("""COMPUTED_VALUE"""),"Nicolas Godement")</f>
        <v>Nicolas Godement</v>
      </c>
      <c r="G78" s="59" t="str">
        <f>IFERROR(__xludf.DUMMYFUNCTION("""COMPUTED_VALUE"""),"https://store.steampowered.com/publisher/twinsailsinteractive")</f>
        <v>https://store.steampowered.com/publisher/twinsailsinteractive</v>
      </c>
      <c r="H78" s="61" t="str">
        <f>IFERROR(__xludf.DUMMYFUNCTION("""COMPUTED_VALUE"""),"https://gamalytic.com/publisher/Twin%20Sails%20Interactive")</f>
        <v>https://gamalytic.com/publisher/Twin%20Sails%20Interactive</v>
      </c>
      <c r="I78" s="62" t="str">
        <f>IFERROR(__xludf.DUMMYFUNCTION("""COMPUTED_VALUE"""),"26K")</f>
        <v>26K</v>
      </c>
      <c r="J78" s="63" t="str">
        <f>IFERROR(__xludf.DUMMYFUNCTION("""COMPUTED_VALUE"""),"25")</f>
        <v>25</v>
      </c>
      <c r="K78" s="64" t="str">
        <f>IFERROR(__xludf.DUMMYFUNCTION("""COMPUTED_VALUE"""),"Dec 2013")</f>
        <v>Dec 2013</v>
      </c>
      <c r="L78" s="64" t="str">
        <f>IFERROR(__xludf.DUMMYFUNCTION("""COMPUTED_VALUE"""),"May 2026")</f>
        <v>May 2026</v>
      </c>
      <c r="M78" s="65">
        <f>IFERROR(__xludf.DUMMYFUNCTION("""COMPUTED_VALUE"""),3.7918932E7)</f>
        <v>37918932</v>
      </c>
      <c r="N78" s="65">
        <f>IFERROR(__xludf.DUMMYFUNCTION("""COMPUTED_VALUE"""),1516757.28)</f>
        <v>1516757.28</v>
      </c>
      <c r="O78" s="65">
        <f>IFERROR(__xludf.DUMMYFUNCTION("""COMPUTED_VALUE"""),279588.0)</f>
        <v>279588</v>
      </c>
      <c r="P78" s="66" t="str">
        <f>IFERROR(__xludf.DUMMYFUNCTION("""COMPUTED_VALUE"""),"Indie")</f>
        <v>Indie</v>
      </c>
      <c r="Q78" s="64" t="str">
        <f>IFERROR(__xludf.DUMMYFUNCTION("""COMPUTED_VALUE"""),"$, $$")</f>
        <v>$, $$</v>
      </c>
      <c r="R78" s="68" t="str">
        <f>IFERROR(__xludf.DUMMYFUNCTION("""COMPUTED_VALUE"""),"★★★")</f>
        <v>★★★</v>
      </c>
      <c r="S78" s="25" t="str">
        <f>IFERROR(__xludf.DUMMYFUNCTION("""COMPUTED_VALUE"""),"Board Game, Co-op, Tabletop, Turn-Based Strategy, Turn-Based Combat, Card Game, Tactical RPG, Party-Based RPG, Management")</f>
        <v>Board Game, Co-op, Tabletop, Turn-Based Strategy, Turn-Based Combat, Card Game, Tactical RPG, Party-Based RPG, Management</v>
      </c>
      <c r="T78" s="40" t="str">
        <f>IFERROR(__xludf.DUMMYFUNCTION("""COMPUTED_VALUE"""),"Gloomhaven, Ember Knights, Survival Fountain of Youth")</f>
        <v>Gloomhaven, Ember Knights, Survival Fountain of Youth</v>
      </c>
      <c r="U78" s="69" t="str">
        <f>IFERROR(__xludf.DUMMYFUNCTION("""COMPUTED_VALUE"""),"Indie publisher focusing on bringing a complete support (production, game design and marketing) to all their projects.")</f>
        <v>Indie publisher focusing on bringing a complete support (production, game design and marketing) to all their projects.</v>
      </c>
    </row>
    <row r="79">
      <c r="A79" s="49" t="str">
        <f>IFERROR(__xludf.DUMMYFUNCTION("""COMPUTED_VALUE"""),"Tribute Games")</f>
        <v>Tribute Games</v>
      </c>
      <c r="B79" s="40" t="str">
        <f>IFERROR(__xludf.DUMMYFUNCTION("""COMPUTED_VALUE"""),"Canada")</f>
        <v>Canada</v>
      </c>
      <c r="C79" s="52" t="str">
        <f>IFERROR(__xludf.DUMMYFUNCTION("""COMPUTED_VALUE"""),"https://tributegames.com/")</f>
        <v>https://tributegames.com/</v>
      </c>
      <c r="D79" s="40" t="str">
        <f>IFERROR(__xludf.DUMMYFUNCTION("""COMPUTED_VALUE"""),"-")</f>
        <v>-</v>
      </c>
      <c r="E79" s="40" t="str">
        <f>IFERROR(__xludf.DUMMYFUNCTION("""COMPUTED_VALUE"""),"publishing@tributegames.com")</f>
        <v>publishing@tributegames.com</v>
      </c>
      <c r="F79" s="56" t="str">
        <f>IFERROR(__xludf.DUMMYFUNCTION("""COMPUTED_VALUE"""),"Eric Lafontaine")</f>
        <v>Eric Lafontaine</v>
      </c>
      <c r="G79" s="59" t="str">
        <f>IFERROR(__xludf.DUMMYFUNCTION("""COMPUTED_VALUE"""),"https://store.steampowered.com/publisher/tributegames")</f>
        <v>https://store.steampowered.com/publisher/tributegames</v>
      </c>
      <c r="H79" s="61" t="str">
        <f>IFERROR(__xludf.DUMMYFUNCTION("""COMPUTED_VALUE"""),"https://gamalytic.com/publisher/Tribute%20Games%20Inc.")</f>
        <v>https://gamalytic.com/publisher/Tribute%20Games%20Inc.</v>
      </c>
      <c r="I79" s="62" t="str">
        <f>IFERROR(__xludf.DUMMYFUNCTION("""COMPUTED_VALUE"""),"8K")</f>
        <v>8K</v>
      </c>
      <c r="J79" s="63">
        <f>IFERROR(__xludf.DUMMYFUNCTION("""COMPUTED_VALUE"""),8.0)</f>
        <v>8</v>
      </c>
      <c r="K79" s="64" t="str">
        <f>IFERROR(__xludf.DUMMYFUNCTION("""COMPUTED_VALUE"""),"Mar 2012")</f>
        <v>Mar 2012</v>
      </c>
      <c r="L79" s="64" t="str">
        <f>IFERROR(__xludf.DUMMYFUNCTION("""COMPUTED_VALUE"""),"Mar 2022")</f>
        <v>Mar 2022</v>
      </c>
      <c r="M79" s="65">
        <f>IFERROR(__xludf.DUMMYFUNCTION("""COMPUTED_VALUE"""),4650095.0)</f>
        <v>4650095</v>
      </c>
      <c r="N79" s="65">
        <f>IFERROR(__xludf.DUMMYFUNCTION("""COMPUTED_VALUE"""),581261.875)</f>
        <v>581261.875</v>
      </c>
      <c r="O79" s="65">
        <f>IFERROR(__xludf.DUMMYFUNCTION("""COMPUTED_VALUE"""),278342.0)</f>
        <v>278342</v>
      </c>
      <c r="P79" s="66" t="str">
        <f>IFERROR(__xludf.DUMMYFUNCTION("""COMPUTED_VALUE"""),"Indie")</f>
        <v>Indie</v>
      </c>
      <c r="Q79" s="64" t="str">
        <f>IFERROR(__xludf.DUMMYFUNCTION("""COMPUTED_VALUE"""),"$, $$")</f>
        <v>$, $$</v>
      </c>
      <c r="R79" s="68" t="str">
        <f>IFERROR(__xludf.DUMMYFUNCTION("""COMPUTED_VALUE"""),"★★")</f>
        <v>★★</v>
      </c>
      <c r="S79" s="25" t="str">
        <f>IFERROR(__xludf.DUMMYFUNCTION("""COMPUTED_VALUE"""),"Platformer, Co-op, 2D Platformer, Arcade, Crafting, Action Roguelike, Shooter, Beat 'em up, Roguelite")</f>
        <v>Platformer, Co-op, 2D Platformer, Arcade, Crafting, Action Roguelike, Shooter, Beat 'em up, Roguelite</v>
      </c>
      <c r="T79" s="40" t="str">
        <f>IFERROR(__xludf.DUMMYFUNCTION("""COMPUTED_VALUE"""),"Teenage Mutant Ninja Turtles, Mercenary Kings")</f>
        <v>Teenage Mutant Ninja Turtles, Mercenary Kings</v>
      </c>
      <c r="U79" s="69" t="str">
        <f>IFERROR(__xludf.DUMMYFUNCTION("""COMPUTED_VALUE"""),"-")</f>
        <v>-</v>
      </c>
    </row>
    <row r="80">
      <c r="A80" s="49" t="str">
        <f>IFERROR(__xludf.DUMMYFUNCTION("""COMPUTED_VALUE"""),"Aerosoft GmbH")</f>
        <v>Aerosoft GmbH</v>
      </c>
      <c r="B80" s="40" t="str">
        <f>IFERROR(__xludf.DUMMYFUNCTION("""COMPUTED_VALUE"""),"Germany")</f>
        <v>Germany</v>
      </c>
      <c r="C80" s="52" t="str">
        <f>IFERROR(__xludf.DUMMYFUNCTION("""COMPUTED_VALUE"""),"aerosoft.com")</f>
        <v>aerosoft.com</v>
      </c>
      <c r="D80" s="40" t="str">
        <f>IFERROR(__xludf.DUMMYFUNCTION("""COMPUTED_VALUE"""),"-")</f>
        <v>-</v>
      </c>
      <c r="E80" s="40" t="str">
        <f>IFERROR(__xludf.DUMMYFUNCTION("""COMPUTED_VALUE"""),"Maarten.Janello@aerosoft.de")</f>
        <v>Maarten.Janello@aerosoft.de</v>
      </c>
      <c r="F80" s="56" t="str">
        <f>IFERROR(__xludf.DUMMYFUNCTION("""COMPUTED_VALUE"""),"Maarten Janello")</f>
        <v>Maarten Janello</v>
      </c>
      <c r="G80" s="59" t="str">
        <f>IFERROR(__xludf.DUMMYFUNCTION("""COMPUTED_VALUE"""),"https://store.steampowered.com/publisher/aerosoft")</f>
        <v>https://store.steampowered.com/publisher/aerosoft</v>
      </c>
      <c r="H80" s="61" t="str">
        <f>IFERROR(__xludf.DUMMYFUNCTION("""COMPUTED_VALUE"""),"https://gamalytic.com/publisher/Aerosoft%20GmbH")</f>
        <v>https://gamalytic.com/publisher/Aerosoft%20GmbH</v>
      </c>
      <c r="I80" s="62" t="str">
        <f>IFERROR(__xludf.DUMMYFUNCTION("""COMPUTED_VALUE"""),"40K")</f>
        <v>40K</v>
      </c>
      <c r="J80" s="63">
        <f>IFERROR(__xludf.DUMMYFUNCTION("""COMPUTED_VALUE"""),54.0)</f>
        <v>54</v>
      </c>
      <c r="K80" s="64" t="str">
        <f>IFERROR(__xludf.DUMMYFUNCTION("""COMPUTED_VALUE"""),"Apr 2014")</f>
        <v>Apr 2014</v>
      </c>
      <c r="L80" s="64" t="str">
        <f>IFERROR(__xludf.DUMMYFUNCTION("""COMPUTED_VALUE"""),"Sep 2026")</f>
        <v>Sep 2026</v>
      </c>
      <c r="M80" s="65">
        <f>IFERROR(__xludf.DUMMYFUNCTION("""COMPUTED_VALUE"""),6.0871455E7)</f>
        <v>60871455</v>
      </c>
      <c r="N80" s="65">
        <f>IFERROR(__xludf.DUMMYFUNCTION("""COMPUTED_VALUE"""),1127249.16666666)</f>
        <v>1127249.167</v>
      </c>
      <c r="O80" s="65">
        <f>IFERROR(__xludf.DUMMYFUNCTION("""COMPUTED_VALUE"""),270688.5)</f>
        <v>270688.5</v>
      </c>
      <c r="P80" s="66" t="str">
        <f>IFERROR(__xludf.DUMMYFUNCTION("""COMPUTED_VALUE"""),"AA")</f>
        <v>AA</v>
      </c>
      <c r="Q80" s="64" t="str">
        <f>IFERROR(__xludf.DUMMYFUNCTION("""COMPUTED_VALUE"""),"$$, $$$")</f>
        <v>$$, $$$</v>
      </c>
      <c r="R80" s="68" t="str">
        <f>IFERROR(__xludf.DUMMYFUNCTION("""COMPUTED_VALUE"""),"★★★")</f>
        <v>★★★</v>
      </c>
      <c r="S80" s="25" t="str">
        <f>IFERROR(__xludf.DUMMYFUNCTION("""COMPUTED_VALUE"""),"Driving, Automobile Sim, Open World, Management, Sandbox, Economy")</f>
        <v>Driving, Automobile Sim, Open World, Management, Sandbox, Economy</v>
      </c>
      <c r="T80" s="40" t="str">
        <f>IFERROR(__xludf.DUMMYFUNCTION("""COMPUTED_VALUE"""),"Fernbus Simulator, OMSI 2: Steam Edition, Truck &amp; Logistics Simulator, City Bus Manager")</f>
        <v>Fernbus Simulator, OMSI 2: Steam Edition, Truck &amp; Logistics Simulator, City Bus Manager</v>
      </c>
      <c r="U80" s="69" t="str">
        <f>IFERROR(__xludf.DUMMYFUNCTION("""COMPUTED_VALUE"""),"Heavily focused on the Simulator genres. they started with aerospace simulation tech for training etc before moving into games. Lots of job simulator titles that involve vehicles")</f>
        <v>Heavily focused on the Simulator genres. they started with aerospace simulation tech for training etc before moving into games. Lots of job simulator titles that involve vehicles</v>
      </c>
    </row>
    <row r="81">
      <c r="A81" s="49" t="str">
        <f>IFERROR(__xludf.DUMMYFUNCTION("""COMPUTED_VALUE"""),"tinyBuild")</f>
        <v>tinyBuild</v>
      </c>
      <c r="B81" s="40" t="str">
        <f>IFERROR(__xludf.DUMMYFUNCTION("""COMPUTED_VALUE"""),"USA")</f>
        <v>USA</v>
      </c>
      <c r="C81" s="52" t="str">
        <f>IFERROR(__xludf.DUMMYFUNCTION("""COMPUTED_VALUE"""),"https://www.tinybuild.com/")</f>
        <v>https://www.tinybuild.com/</v>
      </c>
      <c r="D81" s="55" t="str">
        <f>IFERROR(__xludf.DUMMYFUNCTION("""COMPUTED_VALUE"""),"https://www.tinybuild.com/how-to-pitch-your-game")</f>
        <v>https://www.tinybuild.com/how-to-pitch-your-game</v>
      </c>
      <c r="E81" s="40" t="str">
        <f>IFERROR(__xludf.DUMMYFUNCTION("""COMPUTED_VALUE"""),"pitches@tinybuild.com")</f>
        <v>pitches@tinybuild.com</v>
      </c>
      <c r="F81" s="56" t="str">
        <f>IFERROR(__xludf.DUMMYFUNCTION("""COMPUTED_VALUE"""),"Tom Brien")</f>
        <v>Tom Brien</v>
      </c>
      <c r="G81" s="59" t="str">
        <f>IFERROR(__xludf.DUMMYFUNCTION("""COMPUTED_VALUE"""),"https://store.steampowered.com/developer/tinybuild/")</f>
        <v>https://store.steampowered.com/developer/tinybuild/</v>
      </c>
      <c r="H81" s="61" t="str">
        <f>IFERROR(__xludf.DUMMYFUNCTION("""COMPUTED_VALUE"""),"https://gamalytic.com/publisher/tinyBuild")</f>
        <v>https://gamalytic.com/publisher/tinyBuild</v>
      </c>
      <c r="I81" s="62" t="str">
        <f>IFERROR(__xludf.DUMMYFUNCTION("""COMPUTED_VALUE"""),"196K")</f>
        <v>196K</v>
      </c>
      <c r="J81" s="63" t="str">
        <f>IFERROR(__xludf.DUMMYFUNCTION("""COMPUTED_VALUE"""),"115")</f>
        <v>115</v>
      </c>
      <c r="K81" s="64" t="str">
        <f>IFERROR(__xludf.DUMMYFUNCTION("""COMPUTED_VALUE"""),"Dec 2013")</f>
        <v>Dec 2013</v>
      </c>
      <c r="L81" s="64" t="str">
        <f>IFERROR(__xludf.DUMMYFUNCTION("""COMPUTED_VALUE"""),"Sep 2026")</f>
        <v>Sep 2026</v>
      </c>
      <c r="M81" s="65">
        <f>IFERROR(__xludf.DUMMYFUNCTION("""COMPUTED_VALUE"""),2.27788002E8)</f>
        <v>227788002</v>
      </c>
      <c r="N81" s="65">
        <f>IFERROR(__xludf.DUMMYFUNCTION("""COMPUTED_VALUE"""),1980765.2347826)</f>
        <v>1980765.235</v>
      </c>
      <c r="O81" s="65">
        <f>IFERROR(__xludf.DUMMYFUNCTION("""COMPUTED_VALUE"""),269070.0)</f>
        <v>269070</v>
      </c>
      <c r="P81" s="66" t="str">
        <f>IFERROR(__xludf.DUMMYFUNCTION("""COMPUTED_VALUE"""),"AA")</f>
        <v>AA</v>
      </c>
      <c r="Q81" s="64" t="str">
        <f>IFERROR(__xludf.DUMMYFUNCTION("""COMPUTED_VALUE"""),"$$, $$$")</f>
        <v>$$, $$$</v>
      </c>
      <c r="R81" s="68" t="str">
        <f>IFERROR(__xludf.DUMMYFUNCTION("""COMPUTED_VALUE"""),"★")</f>
        <v>★</v>
      </c>
      <c r="S81" s="25" t="str">
        <f>IFERROR(__xludf.DUMMYFUNCTION("""COMPUTED_VALUE"""),"Sandbox, Crafting, Management, Survival, Horror, PvP, Stealth, Roguelike, Base Building, Action-Adventure")</f>
        <v>Sandbox, Crafting, Management, Survival, Horror, PvP, Stealth, Roguelike, Base Building, Action-Adventure</v>
      </c>
      <c r="T81" s="40" t="str">
        <f>IFERROR(__xludf.DUMMYFUNCTION("""COMPUTED_VALUE"""),"Hello Neighbour, Speedrunners, Streets of Rogue, Graveyard Keeper, Potion Craft")</f>
        <v>Hello Neighbour, Speedrunners, Streets of Rogue, Graveyard Keeper, Potion Craft</v>
      </c>
      <c r="U81" s="69" t="str">
        <f>IFERROR(__xludf.DUMMYFUNCTION("""COMPUTED_VALUE"""),"They have high standards for games, and definitely make sure to read their pitch page before emailing them your pitch.")</f>
        <v>They have high standards for games, and definitely make sure to read their pitch page before emailing them your pitch.</v>
      </c>
    </row>
    <row r="82">
      <c r="A82" s="49" t="str">
        <f>IFERROR(__xludf.DUMMYFUNCTION("""COMPUTED_VALUE"""),"Kasedo Games")</f>
        <v>Kasedo Games</v>
      </c>
      <c r="B82" s="40" t="str">
        <f>IFERROR(__xludf.DUMMYFUNCTION("""COMPUTED_VALUE"""),"UK")</f>
        <v>UK</v>
      </c>
      <c r="C82" s="52" t="str">
        <f>IFERROR(__xludf.DUMMYFUNCTION("""COMPUTED_VALUE"""),"https://www.kasedogames.com/")</f>
        <v>https://www.kasedogames.com/</v>
      </c>
      <c r="D82" s="40" t="str">
        <f>IFERROR(__xludf.DUMMYFUNCTION("""COMPUTED_VALUE"""),"-")</f>
        <v>-</v>
      </c>
      <c r="E82" s="55" t="str">
        <f>IFERROR(__xludf.DUMMYFUNCTION("""COMPUTED_VALUE"""),"https://www.kasedogames.com/pitch-to-us")</f>
        <v>https://www.kasedogames.com/pitch-to-us</v>
      </c>
      <c r="F82" s="56" t="str">
        <f>IFERROR(__xludf.DUMMYFUNCTION("""COMPUTED_VALUE"""),"Timea Edvi")</f>
        <v>Timea Edvi</v>
      </c>
      <c r="G82" s="59" t="str">
        <f>IFERROR(__xludf.DUMMYFUNCTION("""COMPUTED_VALUE"""),"https://store.steampowered.com/publisher/Kasedo")</f>
        <v>https://store.steampowered.com/publisher/Kasedo</v>
      </c>
      <c r="H82" s="61" t="str">
        <f>IFERROR(__xludf.DUMMYFUNCTION("""COMPUTED_VALUE"""),"https://gamalytic.com/publisher/Kasedo%20Games")</f>
        <v>https://gamalytic.com/publisher/Kasedo%20Games</v>
      </c>
      <c r="I82" s="62" t="str">
        <f>IFERROR(__xludf.DUMMYFUNCTION("""COMPUTED_VALUE"""),"5K")</f>
        <v>5K</v>
      </c>
      <c r="J82" s="63">
        <f>IFERROR(__xludf.DUMMYFUNCTION("""COMPUTED_VALUE"""),17.0)</f>
        <v>17</v>
      </c>
      <c r="K82" s="64" t="str">
        <f>IFERROR(__xludf.DUMMYFUNCTION("""COMPUTED_VALUE"""),"Mar 2013")</f>
        <v>Mar 2013</v>
      </c>
      <c r="L82" s="64" t="str">
        <f>IFERROR(__xludf.DUMMYFUNCTION("""COMPUTED_VALUE"""),"May 2026")</f>
        <v>May 2026</v>
      </c>
      <c r="M82" s="65">
        <f>IFERROR(__xludf.DUMMYFUNCTION("""COMPUTED_VALUE"""),2.9379481E7)</f>
        <v>29379481</v>
      </c>
      <c r="N82" s="65">
        <f>IFERROR(__xludf.DUMMYFUNCTION("""COMPUTED_VALUE"""),1728204.76470588)</f>
        <v>1728204.765</v>
      </c>
      <c r="O82" s="65">
        <f>IFERROR(__xludf.DUMMYFUNCTION("""COMPUTED_VALUE"""),268204.0)</f>
        <v>268204</v>
      </c>
      <c r="P82" s="66" t="str">
        <f>IFERROR(__xludf.DUMMYFUNCTION("""COMPUTED_VALUE"""),"Indie")</f>
        <v>Indie</v>
      </c>
      <c r="Q82" s="64" t="str">
        <f>IFERROR(__xludf.DUMMYFUNCTION("""COMPUTED_VALUE"""),"$, $$")</f>
        <v>$, $$</v>
      </c>
      <c r="R82" s="68" t="str">
        <f>IFERROR(__xludf.DUMMYFUNCTION("""COMPUTED_VALUE"""),"★★★")</f>
        <v>★★★</v>
      </c>
      <c r="S82" s="25" t="str">
        <f>IFERROR(__xludf.DUMMYFUNCTION("""COMPUTED_VALUE"""),"Management, City Builder, Resource Management, Economy, Turn-Based Tactics, Turn-Based Combat, Base Building, Turn-Based Strategy, Survival, Sandbox")</f>
        <v>Management, City Builder, Resource Management, Economy, Turn-Based Tactics, Turn-Based Combat, Base Building, Turn-Based Strategy, Survival, Sandbox</v>
      </c>
      <c r="T82" s="40" t="str">
        <f>IFERROR(__xludf.DUMMYFUNCTION("""COMPUTED_VALUE"""),"Ixion, Project Highrise, Rise of Industry")</f>
        <v>Ixion, Project Highrise, Rise of Industry</v>
      </c>
      <c r="U82" s="69" t="str">
        <f>IFERROR(__xludf.DUMMYFUNCTION("""COMPUTED_VALUE"""),"They only do simulation and strategy games. Indie publishing label of Kalypso")</f>
        <v>They only do simulation and strategy games. Indie publishing label of Kalypso</v>
      </c>
    </row>
    <row r="83">
      <c r="A83" s="49" t="str">
        <f>IFERROR(__xludf.DUMMYFUNCTION("""COMPUTED_VALUE"""),"Yogscast Games")</f>
        <v>Yogscast Games</v>
      </c>
      <c r="B83" s="40" t="str">
        <f>IFERROR(__xludf.DUMMYFUNCTION("""COMPUTED_VALUE"""),"UK")</f>
        <v>UK</v>
      </c>
      <c r="C83" s="52" t="str">
        <f>IFERROR(__xludf.DUMMYFUNCTION("""COMPUTED_VALUE"""),"https://www.yogscast.games/")</f>
        <v>https://www.yogscast.games/</v>
      </c>
      <c r="D83" s="40" t="str">
        <f>IFERROR(__xludf.DUMMYFUNCTION("""COMPUTED_VALUE"""),"-")</f>
        <v>-</v>
      </c>
      <c r="E83" s="55" t="str">
        <f>IFERROR(__xludf.DUMMYFUNCTION("""COMPUTED_VALUE"""),"https://www.yogscast.games/")</f>
        <v>https://www.yogscast.games/</v>
      </c>
      <c r="F83" s="56" t="str">
        <f>IFERROR(__xludf.DUMMYFUNCTION("""COMPUTED_VALUE"""),"Simon Byron/Alex Turner")</f>
        <v>Simon Byron/Alex Turner</v>
      </c>
      <c r="G83" s="59" t="str">
        <f>IFERROR(__xludf.DUMMYFUNCTION("""COMPUTED_VALUE"""),"https://store.steampowered.com/developer/yogscastgames")</f>
        <v>https://store.steampowered.com/developer/yogscastgames</v>
      </c>
      <c r="H83" s="61" t="str">
        <f>IFERROR(__xludf.DUMMYFUNCTION("""COMPUTED_VALUE"""),"https://gamalytic.com/publisher/Yogscast%20Games")</f>
        <v>https://gamalytic.com/publisher/Yogscast%20Games</v>
      </c>
      <c r="I83" s="62" t="str">
        <f>IFERROR(__xludf.DUMMYFUNCTION("""COMPUTED_VALUE"""),"149K")</f>
        <v>149K</v>
      </c>
      <c r="J83" s="63">
        <f>IFERROR(__xludf.DUMMYFUNCTION("""COMPUTED_VALUE"""),28.0)</f>
        <v>28</v>
      </c>
      <c r="K83" s="64" t="str">
        <f>IFERROR(__xludf.DUMMYFUNCTION("""COMPUTED_VALUE"""),"May 2017")</f>
        <v>May 2017</v>
      </c>
      <c r="L83" s="64" t="str">
        <f>IFERROR(__xludf.DUMMYFUNCTION("""COMPUTED_VALUE"""),"Oct 2026")</f>
        <v>Oct 2026</v>
      </c>
      <c r="M83" s="65">
        <f>IFERROR(__xludf.DUMMYFUNCTION("""COMPUTED_VALUE"""),3.6836379E7)</f>
        <v>36836379</v>
      </c>
      <c r="N83" s="65">
        <f>IFERROR(__xludf.DUMMYFUNCTION("""COMPUTED_VALUE"""),1315584.96428571)</f>
        <v>1315584.964</v>
      </c>
      <c r="O83" s="65">
        <f>IFERROR(__xludf.DUMMYFUNCTION("""COMPUTED_VALUE"""),264403.0)</f>
        <v>264403</v>
      </c>
      <c r="P83" s="66" t="str">
        <f>IFERROR(__xludf.DUMMYFUNCTION("""COMPUTED_VALUE"""),"Indie")</f>
        <v>Indie</v>
      </c>
      <c r="Q83" s="64" t="str">
        <f>IFERROR(__xludf.DUMMYFUNCTION("""COMPUTED_VALUE"""),"$, $$")</f>
        <v>$, $$</v>
      </c>
      <c r="R83" s="68" t="str">
        <f>IFERROR(__xludf.DUMMYFUNCTION("""COMPUTED_VALUE"""),"★★★")</f>
        <v>★★★</v>
      </c>
      <c r="S83" s="25" t="str">
        <f>IFERROR(__xludf.DUMMYFUNCTION("""COMPUTED_VALUE"""),"Roguelite, Roguelike, Co-op, Management, Deckbuilding, Cooking, Card Game, Base Building, Procedural Generation")</f>
        <v>Roguelite, Roguelike, Co-op, Management, Deckbuilding, Cooking, Card Game, Base Building, Procedural Generation</v>
      </c>
      <c r="T83" s="40" t="str">
        <f>IFERROR(__xludf.DUMMYFUNCTION("""COMPUTED_VALUE"""),"PlateUp, Caveblazers, Aces &amp; Adventures")</f>
        <v>PlateUp, Caveblazers, Aces &amp; Adventures</v>
      </c>
      <c r="U83" s="69" t="str">
        <f>IFERROR(__xludf.DUMMYFUNCTION("""COMPUTED_VALUE"""),"We're currently at capacity and not looking to support any new titles in the short term (AS OF OCT 21 2025). The publishing arm of Yogscast. They have a big Steam following but have only recently started to publish indie games. They also run the TinyTeams"&amp;" festival on Steam. ")</f>
        <v>We're currently at capacity and not looking to support any new titles in the short term (AS OF OCT 21 2025). The publishing arm of Yogscast. They have a big Steam following but have only recently started to publish indie games. They also run the TinyTeams festival on Steam. </v>
      </c>
    </row>
    <row r="84">
      <c r="A84" s="49" t="str">
        <f>IFERROR(__xludf.DUMMYFUNCTION("""COMPUTED_VALUE"""),"Alibi Games")</f>
        <v>Alibi Games</v>
      </c>
      <c r="B84" s="40" t="str">
        <f>IFERROR(__xludf.DUMMYFUNCTION("""COMPUTED_VALUE"""),"UK")</f>
        <v>UK</v>
      </c>
      <c r="C84" s="52" t="str">
        <f>IFERROR(__xludf.DUMMYFUNCTION("""COMPUTED_VALUE"""),"alibi.games")</f>
        <v>alibi.games</v>
      </c>
      <c r="D84" s="40" t="str">
        <f>IFERROR(__xludf.DUMMYFUNCTION("""COMPUTED_VALUE"""),"-")</f>
        <v>-</v>
      </c>
      <c r="E84" s="55" t="str">
        <f>IFERROR(__xludf.DUMMYFUNCTION("""COMPUTED_VALUE"""),"https://www.alibi.games/submit")</f>
        <v>https://www.alibi.games/submit</v>
      </c>
      <c r="F84" s="56" t="str">
        <f>IFERROR(__xludf.DUMMYFUNCTION("""COMPUTED_VALUE"""),"Jarvis Crofts , James Willmott")</f>
        <v>Jarvis Crofts , James Willmott</v>
      </c>
      <c r="G84" s="59" t="str">
        <f>IFERROR(__xludf.DUMMYFUNCTION("""COMPUTED_VALUE"""),"https://store.steampowered.com/publisher/AlibiGames")</f>
        <v>https://store.steampowered.com/publisher/AlibiGames</v>
      </c>
      <c r="H84" s="61" t="str">
        <f>IFERROR(__xludf.DUMMYFUNCTION("""COMPUTED_VALUE"""),"https://gamalytic.com/publisher/Alibi%20Games")</f>
        <v>https://gamalytic.com/publisher/Alibi%20Games</v>
      </c>
      <c r="I84" s="62">
        <f>IFERROR(__xludf.DUMMYFUNCTION("""COMPUTED_VALUE"""),285.0)</f>
        <v>285</v>
      </c>
      <c r="J84" s="63">
        <f>IFERROR(__xludf.DUMMYFUNCTION("""COMPUTED_VALUE"""),6.0)</f>
        <v>6</v>
      </c>
      <c r="K84" s="64" t="str">
        <f>IFERROR(__xludf.DUMMYFUNCTION("""COMPUTED_VALUE"""),"Jun 2025")</f>
        <v>Jun 2025</v>
      </c>
      <c r="L84" s="64" t="str">
        <f>IFERROR(__xludf.DUMMYFUNCTION("""COMPUTED_VALUE"""),"Aug 2026")</f>
        <v>Aug 2026</v>
      </c>
      <c r="M84" s="65">
        <f>IFERROR(__xludf.DUMMYFUNCTION("""COMPUTED_VALUE"""),2461507.0)</f>
        <v>2461507</v>
      </c>
      <c r="N84" s="65">
        <f>IFERROR(__xludf.DUMMYFUNCTION("""COMPUTED_VALUE"""),410251.166666666)</f>
        <v>410251.1667</v>
      </c>
      <c r="O84" s="65">
        <f>IFERROR(__xludf.DUMMYFUNCTION("""COMPUTED_VALUE"""),249613.5)</f>
        <v>249613.5</v>
      </c>
      <c r="P84" s="66" t="str">
        <f>IFERROR(__xludf.DUMMYFUNCTION("""COMPUTED_VALUE"""),"Indie")</f>
        <v>Indie</v>
      </c>
      <c r="Q84" s="64" t="str">
        <f>IFERROR(__xludf.DUMMYFUNCTION("""COMPUTED_VALUE"""),"$, $$")</f>
        <v>$, $$</v>
      </c>
      <c r="R84" s="68" t="str">
        <f>IFERROR(__xludf.DUMMYFUNCTION("""COMPUTED_VALUE"""),"?")</f>
        <v>?</v>
      </c>
      <c r="S84" s="25" t="str">
        <f>IFERROR(__xludf.DUMMYFUNCTION("""COMPUTED_VALUE"""),"Auto Battler, Card Game, Psychological Horror, Asynchronous Multiplayer, Horror, PvP, Tactical RPG, Creature Collector, Roguelike")</f>
        <v>Auto Battler, Card Game, Psychological Horror, Asynchronous Multiplayer, Horror, PvP, Tactical RPG, Creature Collector, Roguelike</v>
      </c>
      <c r="T84" s="40" t="str">
        <f>IFERROR(__xludf.DUMMYFUNCTION("""COMPUTED_VALUE"""),"Become the Moon, Egging On, Holder of Place")</f>
        <v>Become the Moon, Egging On, Holder of Place</v>
      </c>
      <c r="U84" s="69" t="str">
        <f>IFERROR(__xludf.DUMMYFUNCTION("""COMPUTED_VALUE"""),"A new indie publisher based in London focused on funding and marketing system driven and mechanically deep games")</f>
        <v>A new indie publisher based in London focused on funding and marketing system driven and mechanically deep games</v>
      </c>
    </row>
    <row r="85">
      <c r="A85" s="49" t="str">
        <f>IFERROR(__xludf.DUMMYFUNCTION("""COMPUTED_VALUE"""),"Fellow Traveller")</f>
        <v>Fellow Traveller</v>
      </c>
      <c r="B85" s="40" t="str">
        <f>IFERROR(__xludf.DUMMYFUNCTION("""COMPUTED_VALUE"""),"Australia")</f>
        <v>Australia</v>
      </c>
      <c r="C85" s="52" t="str">
        <f>IFERROR(__xludf.DUMMYFUNCTION("""COMPUTED_VALUE"""),"https://www.fellowtraveller.games/")</f>
        <v>https://www.fellowtraveller.games/</v>
      </c>
      <c r="D85" s="55" t="str">
        <f>IFERROR(__xludf.DUMMYFUNCTION("""COMPUTED_VALUE"""),"https://www.fellowtraveller.games/developers")</f>
        <v>https://www.fellowtraveller.games/developers</v>
      </c>
      <c r="E85" s="40" t="str">
        <f>IFERROR(__xludf.DUMMYFUNCTION("""COMPUTED_VALUE"""),"developers@fellowtraveller.games")</f>
        <v>developers@fellowtraveller.games</v>
      </c>
      <c r="F85" s="56" t="str">
        <f>IFERROR(__xludf.DUMMYFUNCTION("""COMPUTED_VALUE"""),"Spencer Hayes, Christopher Wulf")</f>
        <v>Spencer Hayes, Christopher Wulf</v>
      </c>
      <c r="G85" s="59" t="str">
        <f>IFERROR(__xludf.DUMMYFUNCTION("""COMPUTED_VALUE"""),"https://store.steampowered.com/publisher/fellowtraveller")</f>
        <v>https://store.steampowered.com/publisher/fellowtraveller</v>
      </c>
      <c r="H85" s="61" t="str">
        <f>IFERROR(__xludf.DUMMYFUNCTION("""COMPUTED_VALUE"""),"https://gamalytic.com/publisher/Fellow%20Traveller")</f>
        <v>https://gamalytic.com/publisher/Fellow%20Traveller</v>
      </c>
      <c r="I85" s="62" t="str">
        <f>IFERROR(__xludf.DUMMYFUNCTION("""COMPUTED_VALUE"""),"85K")</f>
        <v>85K</v>
      </c>
      <c r="J85" s="63">
        <f>IFERROR(__xludf.DUMMYFUNCTION("""COMPUTED_VALUE"""),30.0)</f>
        <v>30</v>
      </c>
      <c r="K85" s="64" t="str">
        <f>IFERROR(__xludf.DUMMYFUNCTION("""COMPUTED_VALUE"""),"May 2015")</f>
        <v>May 2015</v>
      </c>
      <c r="L85" s="64" t="str">
        <f>IFERROR(__xludf.DUMMYFUNCTION("""COMPUTED_VALUE"""),"Oct 2026")</f>
        <v>Oct 2026</v>
      </c>
      <c r="M85" s="65">
        <f>IFERROR(__xludf.DUMMYFUNCTION("""COMPUTED_VALUE"""),1.9602049E7)</f>
        <v>19602049</v>
      </c>
      <c r="N85" s="65">
        <f>IFERROR(__xludf.DUMMYFUNCTION("""COMPUTED_VALUE"""),653401.633333333)</f>
        <v>653401.6333</v>
      </c>
      <c r="O85" s="65">
        <f>IFERROR(__xludf.DUMMYFUNCTION("""COMPUTED_VALUE"""),242846.0)</f>
        <v>242846</v>
      </c>
      <c r="P85" s="66" t="str">
        <f>IFERROR(__xludf.DUMMYFUNCTION("""COMPUTED_VALUE"""),"Indie")</f>
        <v>Indie</v>
      </c>
      <c r="Q85" s="64" t="str">
        <f>IFERROR(__xludf.DUMMYFUNCTION("""COMPUTED_VALUE"""),"$, $$")</f>
        <v>$, $$</v>
      </c>
      <c r="R85" s="68" t="str">
        <f>IFERROR(__xludf.DUMMYFUNCTION("""COMPUTED_VALUE"""),"★")</f>
        <v>★</v>
      </c>
      <c r="S85" s="25" t="str">
        <f>IFERROR(__xludf.DUMMYFUNCTION("""COMPUTED_VALUE"""),"Visual Novel, Interactive Fiction, Point &amp; Click, Dice, Puzzle, Hacking, Programming, Tabletop, Typing")</f>
        <v>Visual Novel, Interactive Fiction, Point &amp; Click, Dice, Puzzle, Hacking, Programming, Tabletop, Typing</v>
      </c>
      <c r="T85" s="40" t="str">
        <f>IFERROR(__xludf.DUMMYFUNCTION("""COMPUTED_VALUE"""),"Suzerain, Citizen Sleeper")</f>
        <v>Suzerain, Citizen Sleeper</v>
      </c>
      <c r="U85" s="69" t="str">
        <f>IFERROR(__xludf.DUMMYFUNCTION("""COMPUTED_VALUE"""),"They publish games with rich narratives. Host of the Steam featured narrative event Ludonarracon.")</f>
        <v>They publish games with rich narratives. Host of the Steam featured narrative event Ludonarracon.</v>
      </c>
    </row>
    <row r="86">
      <c r="A86" s="49" t="str">
        <f>IFERROR(__xludf.DUMMYFUNCTION("""COMPUTED_VALUE"""),"Serenity Forge")</f>
        <v>Serenity Forge</v>
      </c>
      <c r="B86" s="40" t="str">
        <f>IFERROR(__xludf.DUMMYFUNCTION("""COMPUTED_VALUE"""),"USA")</f>
        <v>USA</v>
      </c>
      <c r="C86" s="52" t="str">
        <f>IFERROR(__xludf.DUMMYFUNCTION("""COMPUTED_VALUE"""),"https://serenityforge.com/")</f>
        <v>https://serenityforge.com/</v>
      </c>
      <c r="D86" s="55" t="str">
        <f>IFERROR(__xludf.DUMMYFUNCTION("""COMPUTED_VALUE"""),"https://serenityforge.com/publishing")</f>
        <v>https://serenityforge.com/publishing</v>
      </c>
      <c r="E86" s="55" t="str">
        <f>IFERROR(__xludf.DUMMYFUNCTION("""COMPUTED_VALUE"""),"https://serenity-forge.notion.site/1d58d6801c1880e18722e6ce28c4bc88")</f>
        <v>https://serenity-forge.notion.site/1d58d6801c1880e18722e6ce28c4bc88</v>
      </c>
      <c r="F86" s="56" t="str">
        <f>IFERROR(__xludf.DUMMYFUNCTION("""COMPUTED_VALUE"""),"Zhenghua Yang (Z)")</f>
        <v>Zhenghua Yang (Z)</v>
      </c>
      <c r="G86" s="59" t="str">
        <f>IFERROR(__xludf.DUMMYFUNCTION("""COMPUTED_VALUE"""),"https://store.steampowered.com/publisher/serenityforge")</f>
        <v>https://store.steampowered.com/publisher/serenityforge</v>
      </c>
      <c r="H86" s="61" t="str">
        <f>IFERROR(__xludf.DUMMYFUNCTION("""COMPUTED_VALUE"""),"https://gamalytic.com/publisher/Serenity%20Forge")</f>
        <v>https://gamalytic.com/publisher/Serenity%20Forge</v>
      </c>
      <c r="I86" s="62" t="str">
        <f>IFERROR(__xludf.DUMMYFUNCTION("""COMPUTED_VALUE"""),"18K")</f>
        <v>18K</v>
      </c>
      <c r="J86" s="63">
        <f>IFERROR(__xludf.DUMMYFUNCTION("""COMPUTED_VALUE"""),36.0)</f>
        <v>36</v>
      </c>
      <c r="K86" s="64" t="str">
        <f>IFERROR(__xludf.DUMMYFUNCTION("""COMPUTED_VALUE"""),"Sep 2012")</f>
        <v>Sep 2012</v>
      </c>
      <c r="L86" s="64" t="str">
        <f>IFERROR(__xludf.DUMMYFUNCTION("""COMPUTED_VALUE"""),"Sep 2026")</f>
        <v>Sep 2026</v>
      </c>
      <c r="M86" s="65">
        <f>IFERROR(__xludf.DUMMYFUNCTION("""COMPUTED_VALUE"""),4.52081E7)</f>
        <v>45208100</v>
      </c>
      <c r="N86" s="65">
        <f>IFERROR(__xludf.DUMMYFUNCTION("""COMPUTED_VALUE"""),1255780.55555555)</f>
        <v>1255780.556</v>
      </c>
      <c r="O86" s="65">
        <f>IFERROR(__xludf.DUMMYFUNCTION("""COMPUTED_VALUE"""),235500.0)</f>
        <v>235500</v>
      </c>
      <c r="P86" s="66" t="str">
        <f>IFERROR(__xludf.DUMMYFUNCTION("""COMPUTED_VALUE"""),"Indie")</f>
        <v>Indie</v>
      </c>
      <c r="Q86" s="64" t="str">
        <f>IFERROR(__xludf.DUMMYFUNCTION("""COMPUTED_VALUE"""),"$, $$")</f>
        <v>$, $$</v>
      </c>
      <c r="R86" s="68" t="str">
        <f>IFERROR(__xludf.DUMMYFUNCTION("""COMPUTED_VALUE"""),"★")</f>
        <v>★</v>
      </c>
      <c r="S86" s="25" t="str">
        <f>IFERROR(__xludf.DUMMYFUNCTION("""COMPUTED_VALUE"""),"Psychological Horror, Visual Novel, Interactive Fiction, Walking Simulator, Horror, Point &amp; Click, Dating Sim, JRPG, Choose Your Own Adventure")</f>
        <v>Psychological Horror, Visual Novel, Interactive Fiction, Walking Simulator, Horror, Point &amp; Click, Dating Sim, JRPG, Choose Your Own Adventure</v>
      </c>
      <c r="T86" s="40" t="str">
        <f>IFERROR(__xludf.DUMMYFUNCTION("""COMPUTED_VALUE"""),"Doki Doki, Slay the Princess, NEEDY STREAMER OVERLOAD, LISA, Death's Gambit, Long Gone Days")</f>
        <v>Doki Doki, Slay the Princess, NEEDY STREAMER OVERLOAD, LISA, Death's Gambit, Long Gone Days</v>
      </c>
      <c r="U86" s="69" t="str">
        <f>IFERROR(__xludf.DUMMYFUNCTION("""COMPUTED_VALUE"""),"Developer &amp; publisher focused on meaningful, narrative-driven, and emotionally impactful games. Also physically publish and distribute games globally across all retail, including Walmart, Target, Best Buy, GameStop, Amazon, GAME, EB Games, etc.")</f>
        <v>Developer &amp; publisher focused on meaningful, narrative-driven, and emotionally impactful games. Also physically publish and distribute games globally across all retail, including Walmart, Target, Best Buy, GameStop, Amazon, GAME, EB Games, etc.</v>
      </c>
    </row>
    <row r="87">
      <c r="A87" s="49" t="str">
        <f>IFERROR(__xludf.DUMMYFUNCTION("""COMPUTED_VALUE"""),"Mooneye")</f>
        <v>Mooneye</v>
      </c>
      <c r="B87" s="40" t="str">
        <f>IFERROR(__xludf.DUMMYFUNCTION("""COMPUTED_VALUE"""),"Germany")</f>
        <v>Germany</v>
      </c>
      <c r="C87" s="52" t="str">
        <f>IFERROR(__xludf.DUMMYFUNCTION("""COMPUTED_VALUE"""),"https://www.mooneyestudios.com")</f>
        <v>https://www.mooneyestudios.com</v>
      </c>
      <c r="D87" s="40" t="str">
        <f>IFERROR(__xludf.DUMMYFUNCTION("""COMPUTED_VALUE"""),"https://www.mooneyestudios.com/publishing , https://www.mooneyestudios.com/news/lessonslearned/pitching-your-game-to-a-publisher/")</f>
        <v>https://www.mooneyestudios.com/publishing , https://www.mooneyestudios.com/news/lessonslearned/pitching-your-game-to-a-publisher/</v>
      </c>
      <c r="E87" s="40" t="str">
        <f>IFERROR(__xludf.DUMMYFUNCTION("""COMPUTED_VALUE"""),"publishing@mooneyestudios.com")</f>
        <v>publishing@mooneyestudios.com</v>
      </c>
      <c r="F87" s="56" t="str">
        <f>IFERROR(__xludf.DUMMYFUNCTION("""COMPUTED_VALUE"""),"Sinikka Compart")</f>
        <v>Sinikka Compart</v>
      </c>
      <c r="G87" s="59" t="str">
        <f>IFERROR(__xludf.DUMMYFUNCTION("""COMPUTED_VALUE"""),"https://store.steampowered.com/publisher/mooneye")</f>
        <v>https://store.steampowered.com/publisher/mooneye</v>
      </c>
      <c r="H87" s="61" t="str">
        <f>IFERROR(__xludf.DUMMYFUNCTION("""COMPUTED_VALUE"""),"https://gamalytic.com/publisher/Mooneye%20Studios")</f>
        <v>https://gamalytic.com/publisher/Mooneye%20Studios</v>
      </c>
      <c r="I87" s="62" t="str">
        <f>IFERROR(__xludf.DUMMYFUNCTION("""COMPUTED_VALUE"""),"3K")</f>
        <v>3K</v>
      </c>
      <c r="J87" s="63">
        <f>IFERROR(__xludf.DUMMYFUNCTION("""COMPUTED_VALUE"""),6.0)</f>
        <v>6</v>
      </c>
      <c r="K87" s="64" t="str">
        <f>IFERROR(__xludf.DUMMYFUNCTION("""COMPUTED_VALUE"""),"Aug 2021")</f>
        <v>Aug 2021</v>
      </c>
      <c r="L87" s="64" t="str">
        <f>IFERROR(__xludf.DUMMYFUNCTION("""COMPUTED_VALUE"""),"Jul 2026")</f>
        <v>Jul 2026</v>
      </c>
      <c r="M87" s="65">
        <f>IFERROR(__xludf.DUMMYFUNCTION("""COMPUTED_VALUE"""),4369464.0)</f>
        <v>4369464</v>
      </c>
      <c r="N87" s="65">
        <f>IFERROR(__xludf.DUMMYFUNCTION("""COMPUTED_VALUE"""),728244.0)</f>
        <v>728244</v>
      </c>
      <c r="O87" s="65">
        <f>IFERROR(__xludf.DUMMYFUNCTION("""COMPUTED_VALUE"""),219131.0)</f>
        <v>219131</v>
      </c>
      <c r="P87" s="66" t="str">
        <f>IFERROR(__xludf.DUMMYFUNCTION("""COMPUTED_VALUE"""),"Indie")</f>
        <v>Indie</v>
      </c>
      <c r="Q87" s="64" t="str">
        <f>IFERROR(__xludf.DUMMYFUNCTION("""COMPUTED_VALUE"""),"$, $$")</f>
        <v>$, $$</v>
      </c>
      <c r="R87" s="68" t="str">
        <f>IFERROR(__xludf.DUMMYFUNCTION("""COMPUTED_VALUE"""),"★")</f>
        <v>★</v>
      </c>
      <c r="S87" s="25" t="str">
        <f>IFERROR(__xludf.DUMMYFUNCTION("""COMPUTED_VALUE"""),"Walking Simulator, Open World")</f>
        <v>Walking Simulator, Open World</v>
      </c>
      <c r="T87" s="40" t="str">
        <f>IFERROR(__xludf.DUMMYFUNCTION("""COMPUTED_VALUE"""),"Lost Ember, Haven Park")</f>
        <v>Lost Ember, Haven Park</v>
      </c>
      <c r="U87" s="69" t="str">
        <f>IFERROR(__xludf.DUMMYFUNCTION("""COMPUTED_VALUE"""),"They publish casual and cozy games")</f>
        <v>They publish casual and cozy games</v>
      </c>
    </row>
    <row r="88">
      <c r="A88" s="49" t="str">
        <f>IFERROR(__xludf.DUMMYFUNCTION("""COMPUTED_VALUE"""),"Curve Games")</f>
        <v>Curve Games</v>
      </c>
      <c r="B88" s="40" t="str">
        <f>IFERROR(__xludf.DUMMYFUNCTION("""COMPUTED_VALUE"""),"UK")</f>
        <v>UK</v>
      </c>
      <c r="C88" s="52" t="str">
        <f>IFERROR(__xludf.DUMMYFUNCTION("""COMPUTED_VALUE"""),"https://curvegames.com/")</f>
        <v>https://curvegames.com/</v>
      </c>
      <c r="D88" s="40" t="str">
        <f>IFERROR(__xludf.DUMMYFUNCTION("""COMPUTED_VALUE"""),"-")</f>
        <v>-</v>
      </c>
      <c r="E88" s="55" t="str">
        <f>IFERROR(__xludf.DUMMYFUNCTION("""COMPUTED_VALUE"""),"https://curvegames.com/contact/im-a-developer/")</f>
        <v>https://curvegames.com/contact/im-a-developer/</v>
      </c>
      <c r="F88" s="56" t="str">
        <f>IFERROR(__xludf.DUMMYFUNCTION("""COMPUTED_VALUE"""),"Bradley Crooks")</f>
        <v>Bradley Crooks</v>
      </c>
      <c r="G88" s="59" t="str">
        <f>IFERROR(__xludf.DUMMYFUNCTION("""COMPUTED_VALUE"""),"https://store.steampowered.com/publisher/curvedigital")</f>
        <v>https://store.steampowered.com/publisher/curvedigital</v>
      </c>
      <c r="H88" s="61" t="str">
        <f>IFERROR(__xludf.DUMMYFUNCTION("""COMPUTED_VALUE"""),"https://gamalytic.com/publisher/Curve%20Games")</f>
        <v>https://gamalytic.com/publisher/Curve%20Games</v>
      </c>
      <c r="I88" s="62" t="str">
        <f>IFERROR(__xludf.DUMMYFUNCTION("""COMPUTED_VALUE"""),"62K")</f>
        <v>62K</v>
      </c>
      <c r="J88" s="63" t="str">
        <f>IFERROR(__xludf.DUMMYFUNCTION("""COMPUTED_VALUE"""),"45")</f>
        <v>45</v>
      </c>
      <c r="K88" s="64" t="str">
        <f>IFERROR(__xludf.DUMMYFUNCTION("""COMPUTED_VALUE"""),"Nov 2012")</f>
        <v>Nov 2012</v>
      </c>
      <c r="L88" s="64" t="str">
        <f>IFERROR(__xludf.DUMMYFUNCTION("""COMPUTED_VALUE"""),"Sep 2026")</f>
        <v>Sep 2026</v>
      </c>
      <c r="M88" s="65">
        <f>IFERROR(__xludf.DUMMYFUNCTION("""COMPUTED_VALUE"""),9.2337736E7)</f>
        <v>92337736</v>
      </c>
      <c r="N88" s="65">
        <f>IFERROR(__xludf.DUMMYFUNCTION("""COMPUTED_VALUE"""),2051949.68888888)</f>
        <v>2051949.689</v>
      </c>
      <c r="O88" s="65">
        <f>IFERROR(__xludf.DUMMYFUNCTION("""COMPUTED_VALUE"""),211450.0)</f>
        <v>211450</v>
      </c>
      <c r="P88" s="66" t="str">
        <f>IFERROR(__xludf.DUMMYFUNCTION("""COMPUTED_VALUE"""),"AA")</f>
        <v>AA</v>
      </c>
      <c r="Q88" s="64" t="str">
        <f>IFERROR(__xludf.DUMMYFUNCTION("""COMPUTED_VALUE"""),"$$, $$$")</f>
        <v>$$, $$$</v>
      </c>
      <c r="R88" s="68" t="str">
        <f>IFERROR(__xludf.DUMMYFUNCTION("""COMPUTED_VALUE"""),"★★★")</f>
        <v>★★★</v>
      </c>
      <c r="S88" s="25" t="str">
        <f>IFERROR(__xludf.DUMMYFUNCTION("""COMPUTED_VALUE"""),"Co-op, Open World, Puzzle, Sandbox, Roguelike, Puzzle Platformer, Turn-Based Combat, Turn-Based Strategy, Party-Based RPG")</f>
        <v>Co-op, Open World, Puzzle, Sandbox, Roguelike, Puzzle Platformer, Turn-Based Combat, Turn-Based Strategy, Party-Based RPG</v>
      </c>
      <c r="T88" s="40" t="str">
        <f>IFERROR(__xludf.DUMMYFUNCTION("""COMPUTED_VALUE"""),"Human Fall Flat, The Ascent, Fall for the King, Autonauts")</f>
        <v>Human Fall Flat, The Ascent, Fall for the King, Autonauts</v>
      </c>
      <c r="U88" s="69" t="str">
        <f>IFERROR(__xludf.DUMMYFUNCTION("""COMPUTED_VALUE"""),"They are now quite leaning on cute/casual art")</f>
        <v>They are now quite leaning on cute/casual art</v>
      </c>
    </row>
    <row r="89">
      <c r="A89" s="49" t="str">
        <f>IFERROR(__xludf.DUMMYFUNCTION("""COMPUTED_VALUE"""),"Shiro Unlimited")</f>
        <v>Shiro Unlimited</v>
      </c>
      <c r="B89" s="40" t="str">
        <f>IFERROR(__xludf.DUMMYFUNCTION("""COMPUTED_VALUE"""),"France")</f>
        <v>France</v>
      </c>
      <c r="C89" s="52" t="str">
        <f>IFERROR(__xludf.DUMMYFUNCTION("""COMPUTED_VALUE"""),"https://shiro-unlimited.com/")</f>
        <v>https://shiro-unlimited.com/</v>
      </c>
      <c r="D89" s="40" t="str">
        <f>IFERROR(__xludf.DUMMYFUNCTION("""COMPUTED_VALUE"""),"-")</f>
        <v>-</v>
      </c>
      <c r="E89" s="40" t="str">
        <f>IFERROR(__xludf.DUMMYFUNCTION("""COMPUTED_VALUE"""),"unlimited@shirogames.com")</f>
        <v>unlimited@shirogames.com</v>
      </c>
      <c r="F89" s="56" t="str">
        <f>IFERROR(__xludf.DUMMYFUNCTION("""COMPUTED_VALUE"""),"Adrien Dugue")</f>
        <v>Adrien Dugue</v>
      </c>
      <c r="G89" s="59" t="str">
        <f>IFERROR(__xludf.DUMMYFUNCTION("""COMPUTED_VALUE"""),"https://store.steampowered.com/publisher/shiro-unlimited")</f>
        <v>https://store.steampowered.com/publisher/shiro-unlimited</v>
      </c>
      <c r="H89" s="61" t="str">
        <f>IFERROR(__xludf.DUMMYFUNCTION("""COMPUTED_VALUE"""),"https://gamalytic.com/publisher/Shiro%20Unlimited")</f>
        <v>https://gamalytic.com/publisher/Shiro%20Unlimited</v>
      </c>
      <c r="I89" s="62" t="str">
        <f>IFERROR(__xludf.DUMMYFUNCTION("""COMPUTED_VALUE"""),"2K")</f>
        <v>2K</v>
      </c>
      <c r="J89" s="63">
        <f>IFERROR(__xludf.DUMMYFUNCTION("""COMPUTED_VALUE"""),3.0)</f>
        <v>3</v>
      </c>
      <c r="K89" s="64" t="str">
        <f>IFERROR(__xludf.DUMMYFUNCTION("""COMPUTED_VALUE"""),"May 2023")</f>
        <v>May 2023</v>
      </c>
      <c r="L89" s="64" t="str">
        <f>IFERROR(__xludf.DUMMYFUNCTION("""COMPUTED_VALUE"""),"Sep 2025")</f>
        <v>Sep 2025</v>
      </c>
      <c r="M89" s="65">
        <f>IFERROR(__xludf.DUMMYFUNCTION("""COMPUTED_VALUE"""),1259316.0)</f>
        <v>1259316</v>
      </c>
      <c r="N89" s="65">
        <f>IFERROR(__xludf.DUMMYFUNCTION("""COMPUTED_VALUE"""),419772.0)</f>
        <v>419772</v>
      </c>
      <c r="O89" s="65">
        <f>IFERROR(__xludf.DUMMYFUNCTION("""COMPUTED_VALUE"""),209959.0)</f>
        <v>209959</v>
      </c>
      <c r="P89" s="66" t="str">
        <f>IFERROR(__xludf.DUMMYFUNCTION("""COMPUTED_VALUE"""),"Indie")</f>
        <v>Indie</v>
      </c>
      <c r="Q89" s="64" t="str">
        <f>IFERROR(__xludf.DUMMYFUNCTION("""COMPUTED_VALUE"""),"$, $$")</f>
        <v>$, $$</v>
      </c>
      <c r="R89" s="68" t="str">
        <f>IFERROR(__xludf.DUMMYFUNCTION("""COMPUTED_VALUE"""),"?")</f>
        <v>?</v>
      </c>
      <c r="S89" s="25" t="str">
        <f>IFERROR(__xludf.DUMMYFUNCTION("""COMPUTED_VALUE"""),"Management, Base Building, Capitalism, Puzzle, Colony Sim, Crafting, Horror, Economy, Automation")</f>
        <v>Management, Base Building, Capitalism, Puzzle, Colony Sim, Crafting, Horror, Economy, Automation</v>
      </c>
      <c r="T89" s="40" t="str">
        <f>IFERROR(__xludf.DUMMYFUNCTION("""COMPUTED_VALUE"""),"Wartales, Northgard, Decarnation, Evoland")</f>
        <v>Wartales, Northgard, Decarnation, Evoland</v>
      </c>
      <c r="U89" s="69" t="str">
        <f>IFERROR(__xludf.DUMMYFUNCTION("""COMPUTED_VALUE"""),"Development studio with good track record, is both a publisher and can help with production consulting, understand well the developers since they're a also studio.")</f>
        <v>Development studio with good track record, is both a publisher and can help with production consulting, understand well the developers since they're a also studio.</v>
      </c>
    </row>
    <row r="90">
      <c r="A90" s="49" t="str">
        <f>IFERROR(__xludf.DUMMYFUNCTION("""COMPUTED_VALUE"""),"Slitherine")</f>
        <v>Slitherine</v>
      </c>
      <c r="B90" s="40" t="str">
        <f>IFERROR(__xludf.DUMMYFUNCTION("""COMPUTED_VALUE"""),"UK")</f>
        <v>UK</v>
      </c>
      <c r="C90" s="52" t="str">
        <f>IFERROR(__xludf.DUMMYFUNCTION("""COMPUTED_VALUE"""),"https://www.slitherine.com/")</f>
        <v>https://www.slitherine.com/</v>
      </c>
      <c r="D90" s="40" t="str">
        <f>IFERROR(__xludf.DUMMYFUNCTION("""COMPUTED_VALUE"""),"-")</f>
        <v>-</v>
      </c>
      <c r="E90" s="40" t="str">
        <f>IFERROR(__xludf.DUMMYFUNCTION("""COMPUTED_VALUE"""),"support@slitherine.co.uk")</f>
        <v>support@slitherine.co.uk</v>
      </c>
      <c r="F90" s="56" t="str">
        <f>IFERROR(__xludf.DUMMYFUNCTION("""COMPUTED_VALUE"""),"Alberto Casulini")</f>
        <v>Alberto Casulini</v>
      </c>
      <c r="G90" s="59" t="str">
        <f>IFERROR(__xludf.DUMMYFUNCTION("""COMPUTED_VALUE"""),"https://store.steampowered.com/publisher/Slitherine")</f>
        <v>https://store.steampowered.com/publisher/Slitherine</v>
      </c>
      <c r="H90" s="61" t="str">
        <f>IFERROR(__xludf.DUMMYFUNCTION("""COMPUTED_VALUE"""),"https://gamalytic.com/publisher/Slitherine%20Ltd.")</f>
        <v>https://gamalytic.com/publisher/Slitherine%20Ltd.</v>
      </c>
      <c r="I90" s="62" t="str">
        <f>IFERROR(__xludf.DUMMYFUNCTION("""COMPUTED_VALUE"""),"46K")</f>
        <v>46K</v>
      </c>
      <c r="J90" s="63">
        <f>IFERROR(__xludf.DUMMYFUNCTION("""COMPUTED_VALUE"""),79.0)</f>
        <v>79</v>
      </c>
      <c r="K90" s="64" t="str">
        <f>IFERROR(__xludf.DUMMYFUNCTION("""COMPUTED_VALUE"""),"Jun 2011")</f>
        <v>Jun 2011</v>
      </c>
      <c r="L90" s="64" t="str">
        <f>IFERROR(__xludf.DUMMYFUNCTION("""COMPUTED_VALUE"""),"Oct 2026")</f>
        <v>Oct 2026</v>
      </c>
      <c r="M90" s="65">
        <f>IFERROR(__xludf.DUMMYFUNCTION("""COMPUTED_VALUE"""),9.9926871E7)</f>
        <v>99926871</v>
      </c>
      <c r="N90" s="65">
        <f>IFERROR(__xludf.DUMMYFUNCTION("""COMPUTED_VALUE"""),1264897.10126582)</f>
        <v>1264897.101</v>
      </c>
      <c r="O90" s="65">
        <f>IFERROR(__xludf.DUMMYFUNCTION("""COMPUTED_VALUE"""),201259.0)</f>
        <v>201259</v>
      </c>
      <c r="P90" s="66" t="str">
        <f>IFERROR(__xludf.DUMMYFUNCTION("""COMPUTED_VALUE"""),"AA")</f>
        <v>AA</v>
      </c>
      <c r="Q90" s="64" t="str">
        <f>IFERROR(__xludf.DUMMYFUNCTION("""COMPUTED_VALUE"""),"$$, $$$")</f>
        <v>$$, $$$</v>
      </c>
      <c r="R90" s="68" t="str">
        <f>IFERROR(__xludf.DUMMYFUNCTION("""COMPUTED_VALUE"""),"★★")</f>
        <v>★★</v>
      </c>
      <c r="S90" s="25" t="str">
        <f>IFERROR(__xludf.DUMMYFUNCTION("""COMPUTED_VALUE"""),"Turn-Based Strategy, Wargame, Turn-Based Tactics, RTS, Grand Strategy, 4X, Real Time Tactics, PvP, Hex Grid, Turn-Based Combat")</f>
        <v>Turn-Based Strategy, Wargame, Turn-Based Tactics, RTS, Grand Strategy, 4X, Real Time Tactics, PvP, Hex Grid, Turn-Based Combat</v>
      </c>
      <c r="T90" s="40" t="str">
        <f>IFERROR(__xludf.DUMMYFUNCTION("""COMPUTED_VALUE"""),"Starship Troopers, Warhammer 40,000")</f>
        <v>Starship Troopers, Warhammer 40,000</v>
      </c>
      <c r="U90" s="69" t="str">
        <f>IFERROR(__xludf.DUMMYFUNCTION("""COMPUTED_VALUE"""),"They only do war/tactical/simulation//strategy games")</f>
        <v>They only do war/tactical/simulation//strategy games</v>
      </c>
    </row>
    <row r="91">
      <c r="A91" s="49" t="str">
        <f>IFERROR(__xludf.DUMMYFUNCTION("""COMPUTED_VALUE"""),"Nordcurrent Labs")</f>
        <v>Nordcurrent Labs</v>
      </c>
      <c r="B91" s="40" t="str">
        <f>IFERROR(__xludf.DUMMYFUNCTION("""COMPUTED_VALUE"""),"Lithuania")</f>
        <v>Lithuania</v>
      </c>
      <c r="C91" s="52" t="str">
        <f>IFERROR(__xludf.DUMMYFUNCTION("""COMPUTED_VALUE"""),"http://www.nordcurrent.com/")</f>
        <v>http://www.nordcurrent.com/</v>
      </c>
      <c r="D91" s="40" t="str">
        <f>IFERROR(__xludf.DUMMYFUNCTION("""COMPUTED_VALUE"""),"-")</f>
        <v>-</v>
      </c>
      <c r="E91" s="40" t="str">
        <f>IFERROR(__xludf.DUMMYFUNCTION("""COMPUTED_VALUE"""),"labs@nordcurrent.com")</f>
        <v>labs@nordcurrent.com</v>
      </c>
      <c r="F91" s="56" t="str">
        <f>IFERROR(__xludf.DUMMYFUNCTION("""COMPUTED_VALUE"""),"Arunas Mieliauskas")</f>
        <v>Arunas Mieliauskas</v>
      </c>
      <c r="G91" s="59" t="str">
        <f>IFERROR(__xludf.DUMMYFUNCTION("""COMPUTED_VALUE"""),"https://store.steampowered.com/publisher/NordcurrentLabs")</f>
        <v>https://store.steampowered.com/publisher/NordcurrentLabs</v>
      </c>
      <c r="H91" s="61" t="str">
        <f>IFERROR(__xludf.DUMMYFUNCTION("""COMPUTED_VALUE"""),"https://gamalytic.com/publisher/Nordcurrent%20Labs")</f>
        <v>https://gamalytic.com/publisher/Nordcurrent%20Labs</v>
      </c>
      <c r="I91" s="62">
        <f>IFERROR(__xludf.DUMMYFUNCTION("""COMPUTED_VALUE"""),846.0)</f>
        <v>846</v>
      </c>
      <c r="J91" s="63">
        <f>IFERROR(__xludf.DUMMYFUNCTION("""COMPUTED_VALUE"""),9.0)</f>
        <v>9</v>
      </c>
      <c r="K91" s="64" t="str">
        <f>IFERROR(__xludf.DUMMYFUNCTION("""COMPUTED_VALUE"""),"Jan 2021")</f>
        <v>Jan 2021</v>
      </c>
      <c r="L91" s="64" t="str">
        <f>IFERROR(__xludf.DUMMYFUNCTION("""COMPUTED_VALUE"""),"Aug 2026")</f>
        <v>Aug 2026</v>
      </c>
      <c r="M91" s="65">
        <f>IFERROR(__xludf.DUMMYFUNCTION("""COMPUTED_VALUE"""),2890450.0)</f>
        <v>2890450</v>
      </c>
      <c r="N91" s="65">
        <f>IFERROR(__xludf.DUMMYFUNCTION("""COMPUTED_VALUE"""),321161.111111111)</f>
        <v>321161.1111</v>
      </c>
      <c r="O91" s="65">
        <f>IFERROR(__xludf.DUMMYFUNCTION("""COMPUTED_VALUE"""),199765.0)</f>
        <v>199765</v>
      </c>
      <c r="P91" s="66" t="str">
        <f>IFERROR(__xludf.DUMMYFUNCTION("""COMPUTED_VALUE"""),"Indie")</f>
        <v>Indie</v>
      </c>
      <c r="Q91" s="64" t="str">
        <f>IFERROR(__xludf.DUMMYFUNCTION("""COMPUTED_VALUE"""),"$, $$")</f>
        <v>$, $$</v>
      </c>
      <c r="R91" s="68" t="str">
        <f>IFERROR(__xludf.DUMMYFUNCTION("""COMPUTED_VALUE"""),"★★")</f>
        <v>★★</v>
      </c>
      <c r="S91" s="25" t="str">
        <f>IFERROR(__xludf.DUMMYFUNCTION("""COMPUTED_VALUE"""),"Action-Adventure, Action RPG, Real Time Tactics, Stealth, Puzzle, Survival, Open World, Turn-Based Strategy, JRPG")</f>
        <v>Action-Adventure, Action RPG, Real Time Tactics, Stealth, Puzzle, Survival, Open World, Turn-Based Strategy, JRPG</v>
      </c>
      <c r="T91" s="40" t="str">
        <f>IFERROR(__xludf.DUMMYFUNCTION("""COMPUTED_VALUE"""),"Ocean's Heart, Decision: Red Daze")</f>
        <v>Ocean's Heart, Decision: Red Daze</v>
      </c>
      <c r="U91" s="69" t="str">
        <f>IFERROR(__xludf.DUMMYFUNCTION("""COMPUTED_VALUE"""),"They have been very successful in mobile. PC is not their strength.")</f>
        <v>They have been very successful in mobile. PC is not their strength.</v>
      </c>
    </row>
    <row r="92">
      <c r="A92" s="49" t="str">
        <f>IFERROR(__xludf.DUMMYFUNCTION("""COMPUTED_VALUE"""),"Iceberg Interactive")</f>
        <v>Iceberg Interactive</v>
      </c>
      <c r="B92" s="40" t="str">
        <f>IFERROR(__xludf.DUMMYFUNCTION("""COMPUTED_VALUE"""),"Netherlands")</f>
        <v>Netherlands</v>
      </c>
      <c r="C92" s="52" t="str">
        <f>IFERROR(__xludf.DUMMYFUNCTION("""COMPUTED_VALUE"""),"https://www.iceberg-games.com/")</f>
        <v>https://www.iceberg-games.com/</v>
      </c>
      <c r="D92" s="55" t="str">
        <f>IFERROR(__xludf.DUMMYFUNCTION("""COMPUTED_VALUE"""),"https://www.iceberg-games.com/fordevelopers/")</f>
        <v>https://www.iceberg-games.com/fordevelopers/</v>
      </c>
      <c r="E92" s="40" t="str">
        <f>IFERROR(__xludf.DUMMYFUNCTION("""COMPUTED_VALUE"""),"development@iceberg-games.com")</f>
        <v>development@iceberg-games.com</v>
      </c>
      <c r="F92" s="56" t="str">
        <f>IFERROR(__xludf.DUMMYFUNCTION("""COMPUTED_VALUE"""),"Raymond Snippe")</f>
        <v>Raymond Snippe</v>
      </c>
      <c r="G92" s="59" t="str">
        <f>IFERROR(__xludf.DUMMYFUNCTION("""COMPUTED_VALUE"""),"https://store.steampowered.com/publisher/iceberg")</f>
        <v>https://store.steampowered.com/publisher/iceberg</v>
      </c>
      <c r="H92" s="61" t="str">
        <f>IFERROR(__xludf.DUMMYFUNCTION("""COMPUTED_VALUE"""),"https://gamalytic.com/publisher/Iceberg%20Interactive")</f>
        <v>https://gamalytic.com/publisher/Iceberg%20Interactive</v>
      </c>
      <c r="I92" s="62" t="str">
        <f>IFERROR(__xludf.DUMMYFUNCTION("""COMPUTED_VALUE"""),"16K")</f>
        <v>16K</v>
      </c>
      <c r="J92" s="63">
        <f>IFERROR(__xludf.DUMMYFUNCTION("""COMPUTED_VALUE"""),61.0)</f>
        <v>61</v>
      </c>
      <c r="K92" s="64" t="str">
        <f>IFERROR(__xludf.DUMMYFUNCTION("""COMPUTED_VALUE"""),"Apr 2011")</f>
        <v>Apr 2011</v>
      </c>
      <c r="L92" s="64" t="str">
        <f>IFERROR(__xludf.DUMMYFUNCTION("""COMPUTED_VALUE"""),"Oct 2026")</f>
        <v>Oct 2026</v>
      </c>
      <c r="M92" s="65">
        <f>IFERROR(__xludf.DUMMYFUNCTION("""COMPUTED_VALUE"""),3.5312728E7)</f>
        <v>35312728</v>
      </c>
      <c r="N92" s="65">
        <f>IFERROR(__xludf.DUMMYFUNCTION("""COMPUTED_VALUE"""),578897.180327868)</f>
        <v>578897.1803</v>
      </c>
      <c r="O92" s="65">
        <f>IFERROR(__xludf.DUMMYFUNCTION("""COMPUTED_VALUE"""),190760.0)</f>
        <v>190760</v>
      </c>
      <c r="P92" s="66" t="str">
        <f>IFERROR(__xludf.DUMMYFUNCTION("""COMPUTED_VALUE"""),"Indie")</f>
        <v>Indie</v>
      </c>
      <c r="Q92" s="64" t="str">
        <f>IFERROR(__xludf.DUMMYFUNCTION("""COMPUTED_VALUE"""),"$, $$")</f>
        <v>$, $$</v>
      </c>
      <c r="R92" s="68" t="str">
        <f>IFERROR(__xludf.DUMMYFUNCTION("""COMPUTED_VALUE"""),"★★")</f>
        <v>★★</v>
      </c>
      <c r="S92" s="25" t="str">
        <f>IFERROR(__xludf.DUMMYFUNCTION("""COMPUTED_VALUE"""),"Puzzle, Management, Sandbox, 4X, Turn-Based Strategy, PvP, Economy, Point &amp; Click, Co-op, FPS")</f>
        <v>Puzzle, Management, Sandbox, 4X, Turn-Based Strategy, PvP, Economy, Point &amp; Click, Co-op, FPS</v>
      </c>
      <c r="T92" s="40" t="str">
        <f>IFERROR(__xludf.DUMMYFUNCTION("""COMPUTED_VALUE"""),"Blazing Sails, Railroad Corporation")</f>
        <v>Blazing Sails, Railroad Corporation</v>
      </c>
      <c r="U92" s="69" t="str">
        <f>IFERROR(__xludf.DUMMYFUNCTION("""COMPUTED_VALUE"""),"Around since 2009, mainly PC but occasional console. Do many genres.")</f>
        <v>Around since 2009, mainly PC but occasional console. Do many genres.</v>
      </c>
    </row>
    <row r="93">
      <c r="A93" s="49" t="str">
        <f>IFERROR(__xludf.DUMMYFUNCTION("""COMPUTED_VALUE"""),"Firesquid")</f>
        <v>Firesquid</v>
      </c>
      <c r="B93" s="40" t="str">
        <f>IFERROR(__xludf.DUMMYFUNCTION("""COMPUTED_VALUE"""),"France")</f>
        <v>France</v>
      </c>
      <c r="C93" s="52" t="str">
        <f>IFERROR(__xludf.DUMMYFUNCTION("""COMPUTED_VALUE"""),"https://www.firesquid.fr/")</f>
        <v>https://www.firesquid.fr/</v>
      </c>
      <c r="D93" s="55" t="str">
        <f>IFERROR(__xludf.DUMMYFUNCTION("""COMPUTED_VALUE"""),"https://www.firesquid.fr/publishing/")</f>
        <v>https://www.firesquid.fr/publishing/</v>
      </c>
      <c r="E93" s="55" t="str">
        <f>IFERROR(__xludf.DUMMYFUNCTION("""COMPUTED_VALUE"""),"https://forms.gle/KbsYdYxqyoKUjg7i9")</f>
        <v>https://forms.gle/KbsYdYxqyoKUjg7i9</v>
      </c>
      <c r="F93" s="56" t="str">
        <f>IFERROR(__xludf.DUMMYFUNCTION("""COMPUTED_VALUE"""),"Antoine Pham-minh, Simon Bachelier")</f>
        <v>Antoine Pham-minh, Simon Bachelier</v>
      </c>
      <c r="G93" s="59" t="str">
        <f>IFERROR(__xludf.DUMMYFUNCTION("""COMPUTED_VALUE"""),"https://store.steampowered.com/publisher/firesquid")</f>
        <v>https://store.steampowered.com/publisher/firesquid</v>
      </c>
      <c r="H93" s="61" t="str">
        <f>IFERROR(__xludf.DUMMYFUNCTION("""COMPUTED_VALUE"""),"https://gamalytic.com/publisher/Firesquid")</f>
        <v>https://gamalytic.com/publisher/Firesquid</v>
      </c>
      <c r="I93" s="62" t="str">
        <f>IFERROR(__xludf.DUMMYFUNCTION("""COMPUTED_VALUE"""),"6K")</f>
        <v>6K</v>
      </c>
      <c r="J93" s="63">
        <f>IFERROR(__xludf.DUMMYFUNCTION("""COMPUTED_VALUE"""),13.0)</f>
        <v>13</v>
      </c>
      <c r="K93" s="64" t="str">
        <f>IFERROR(__xludf.DUMMYFUNCTION("""COMPUTED_VALUE"""),"Mar 2024")</f>
        <v>Mar 2024</v>
      </c>
      <c r="L93" s="64" t="str">
        <f>IFERROR(__xludf.DUMMYFUNCTION("""COMPUTED_VALUE"""),"Sep 2026")</f>
        <v>Sep 2026</v>
      </c>
      <c r="M93" s="65">
        <f>IFERROR(__xludf.DUMMYFUNCTION("""COMPUTED_VALUE"""),3955854.0)</f>
        <v>3955854</v>
      </c>
      <c r="N93" s="65">
        <f>IFERROR(__xludf.DUMMYFUNCTION("""COMPUTED_VALUE"""),304296.461538461)</f>
        <v>304296.4615</v>
      </c>
      <c r="O93" s="65">
        <f>IFERROR(__xludf.DUMMYFUNCTION("""COMPUTED_VALUE"""),187052.0)</f>
        <v>187052</v>
      </c>
      <c r="P93" s="66" t="str">
        <f>IFERROR(__xludf.DUMMYFUNCTION("""COMPUTED_VALUE"""),"Indie")</f>
        <v>Indie</v>
      </c>
      <c r="Q93" s="64" t="str">
        <f>IFERROR(__xludf.DUMMYFUNCTION("""COMPUTED_VALUE"""),"$, $$")</f>
        <v>$, $$</v>
      </c>
      <c r="R93" s="68" t="str">
        <f>IFERROR(__xludf.DUMMYFUNCTION("""COMPUTED_VALUE"""),"★★★")</f>
        <v>★★★</v>
      </c>
      <c r="S93" s="25" t="str">
        <f>IFERROR(__xludf.DUMMYFUNCTION("""COMPUTED_VALUE"""),"Management, Resource Management, City Builder, God Game, Turn-Based Tactics, Colony Sim, Puzzle, Base Building, Turn-Based Strategy, Sandbox")</f>
        <v>Management, Resource Management, City Builder, God Game, Turn-Based Tactics, Colony Sim, Puzzle, Base Building, Turn-Based Strategy, Sandbox</v>
      </c>
      <c r="T93" s="40" t="str">
        <f>IFERROR(__xludf.DUMMYFUNCTION("""COMPUTED_VALUE"""),"Blade Prince, USC: Counterforce")</f>
        <v>Blade Prince, USC: Counterforce</v>
      </c>
      <c r="U93" s="69" t="str">
        <f>IFERROR(__xludf.DUMMYFUNCTION("""COMPUTED_VALUE"""),"Strategy game focused publisher. Co-Host of the featured Steam strategy convention TactiCon alongside fellow strategy publisher Hooded Horse.")</f>
        <v>Strategy game focused publisher. Co-Host of the featured Steam strategy convention TactiCon alongside fellow strategy publisher Hooded Horse.</v>
      </c>
    </row>
    <row r="94">
      <c r="A94" s="49" t="str">
        <f>IFERROR(__xludf.DUMMYFUNCTION("""COMPUTED_VALUE"""),"H2 Interactive")</f>
        <v>H2 Interactive</v>
      </c>
      <c r="B94" s="40" t="str">
        <f>IFERROR(__xludf.DUMMYFUNCTION("""COMPUTED_VALUE"""),"Korea")</f>
        <v>Korea</v>
      </c>
      <c r="C94" s="52" t="str">
        <f>IFERROR(__xludf.DUMMYFUNCTION("""COMPUTED_VALUE"""),"http://www.h2int.com/")</f>
        <v>http://www.h2int.com/</v>
      </c>
      <c r="D94" s="40" t="str">
        <f>IFERROR(__xludf.DUMMYFUNCTION("""COMPUTED_VALUE"""),"-")</f>
        <v>-</v>
      </c>
      <c r="E94" s="40" t="str">
        <f>IFERROR(__xludf.DUMMYFUNCTION("""COMPUTED_VALUE"""),"?")</f>
        <v>?</v>
      </c>
      <c r="F94" s="56" t="str">
        <f>IFERROR(__xludf.DUMMYFUNCTION("""COMPUTED_VALUE"""),"?")</f>
        <v>?</v>
      </c>
      <c r="G94" s="59" t="str">
        <f>IFERROR(__xludf.DUMMYFUNCTION("""COMPUTED_VALUE"""),"https://store.steampowered.com/publisher/h2interactive")</f>
        <v>https://store.steampowered.com/publisher/h2interactive</v>
      </c>
      <c r="H94" s="61" t="str">
        <f>IFERROR(__xludf.DUMMYFUNCTION("""COMPUTED_VALUE"""),"https://gamalytic.com/publisher/H2%20Interactive%20Co.,%20Ltd.")</f>
        <v>https://gamalytic.com/publisher/H2%20Interactive%20Co.,%20Ltd.</v>
      </c>
      <c r="I94" s="62" t="str">
        <f>IFERROR(__xludf.DUMMYFUNCTION("""COMPUTED_VALUE"""),"5K")</f>
        <v>5K</v>
      </c>
      <c r="J94" s="63">
        <f>IFERROR(__xludf.DUMMYFUNCTION("""COMPUTED_VALUE"""),12.0)</f>
        <v>12</v>
      </c>
      <c r="K94" s="64" t="str">
        <f>IFERROR(__xludf.DUMMYFUNCTION("""COMPUTED_VALUE"""),"Dec 2015")</f>
        <v>Dec 2015</v>
      </c>
      <c r="L94" s="64" t="str">
        <f>IFERROR(__xludf.DUMMYFUNCTION("""COMPUTED_VALUE"""),"Sep 2026")</f>
        <v>Sep 2026</v>
      </c>
      <c r="M94" s="65">
        <f>IFERROR(__xludf.DUMMYFUNCTION("""COMPUTED_VALUE"""),4.9273879E7)</f>
        <v>49273879</v>
      </c>
      <c r="N94" s="65">
        <f>IFERROR(__xludf.DUMMYFUNCTION("""COMPUTED_VALUE"""),4106156.58333333)</f>
        <v>4106156.583</v>
      </c>
      <c r="O94" s="65">
        <f>IFERROR(__xludf.DUMMYFUNCTION("""COMPUTED_VALUE"""),185295.5)</f>
        <v>185295.5</v>
      </c>
      <c r="P94" s="66" t="str">
        <f>IFERROR(__xludf.DUMMYFUNCTION("""COMPUTED_VALUE"""),"Indie")</f>
        <v>Indie</v>
      </c>
      <c r="Q94" s="64" t="str">
        <f>IFERROR(__xludf.DUMMYFUNCTION("""COMPUTED_VALUE"""),"$, $$")</f>
        <v>$, $$</v>
      </c>
      <c r="R94" s="68" t="str">
        <f>IFERROR(__xludf.DUMMYFUNCTION("""COMPUTED_VALUE"""),"★★")</f>
        <v>★★</v>
      </c>
      <c r="S94" s="25" t="str">
        <f>IFERROR(__xludf.DUMMYFUNCTION("""COMPUTED_VALUE"""),"Survival, Open World, Open World Survival Craft, Co-op, Crafting, Base Building")</f>
        <v>Survival, Open World, Open World Survival Craft, Co-op, Crafting, Base Building</v>
      </c>
      <c r="T94" s="40" t="str">
        <f>IFERROR(__xludf.DUMMYFUNCTION("""COMPUTED_VALUE"""),"BlazBlue, Re-Volt")</f>
        <v>BlazBlue, Re-Volt</v>
      </c>
      <c r="U94" s="69" t="str">
        <f>IFERROR(__xludf.DUMMYFUNCTION("""COMPUTED_VALUE"""),"Global publishing on Steam &amp; Co-publishing (All Asia, incl. Mainland China) on Steam &amp; Global publishing (specialized in Asia, excl. Mainland China) on PS4/PS5/Switch &amp; Direct Games (The 1st/biggest D2C PC key distribution channel in Korea)")</f>
        <v>Global publishing on Steam &amp; Co-publishing (All Asia, incl. Mainland China) on Steam &amp; Global publishing (specialized in Asia, excl. Mainland China) on PS4/PS5/Switch &amp; Direct Games (The 1st/biggest D2C PC key distribution channel in Korea)</v>
      </c>
    </row>
    <row r="95">
      <c r="A95" s="49" t="str">
        <f>IFERROR(__xludf.DUMMYFUNCTION("""COMPUTED_VALUE"""),"Pretty Soon")</f>
        <v>Pretty Soon</v>
      </c>
      <c r="B95" s="40" t="str">
        <f>IFERROR(__xludf.DUMMYFUNCTION("""COMPUTED_VALUE"""),"Poland")</f>
        <v>Poland</v>
      </c>
      <c r="C95" s="52" t="str">
        <f>IFERROR(__xludf.DUMMYFUNCTION("""COMPUTED_VALUE"""),"https://www.prettysoon.games/")</f>
        <v>https://www.prettysoon.games/</v>
      </c>
      <c r="D95" s="55" t="str">
        <f>IFERROR(__xludf.DUMMYFUNCTION("""COMPUTED_VALUE"""),"https://docs.google.com/presentation/d/1cPGGyCFQXaeOEAhcDcwL_16CHzMX0qru_YIumn7hhss/edit#slide=id.g31a65f9177f_0_0")</f>
        <v>https://docs.google.com/presentation/d/1cPGGyCFQXaeOEAhcDcwL_16CHzMX0qru_YIumn7hhss/edit#slide=id.g31a65f9177f_0_0</v>
      </c>
      <c r="E95" s="40" t="str">
        <f>IFERROR(__xludf.DUMMYFUNCTION("""COMPUTED_VALUE"""),"publishing@prettysoon.games")</f>
        <v>publishing@prettysoon.games</v>
      </c>
      <c r="F95" s="56" t="str">
        <f>IFERROR(__xludf.DUMMYFUNCTION("""COMPUTED_VALUE"""),"Kris Masternak")</f>
        <v>Kris Masternak</v>
      </c>
      <c r="G95" s="59" t="str">
        <f>IFERROR(__xludf.DUMMYFUNCTION("""COMPUTED_VALUE"""),"https://store.steampowered.com/publisher/prettysoon")</f>
        <v>https://store.steampowered.com/publisher/prettysoon</v>
      </c>
      <c r="H95" s="61" t="str">
        <f>IFERROR(__xludf.DUMMYFUNCTION("""COMPUTED_VALUE"""),"https://gamalytic.com/publisher/Pretty%20Soon")</f>
        <v>https://gamalytic.com/publisher/Pretty%20Soon</v>
      </c>
      <c r="I95" s="62" t="str">
        <f>IFERROR(__xludf.DUMMYFUNCTION("""COMPUTED_VALUE"""),"2K")</f>
        <v>2K</v>
      </c>
      <c r="J95" s="63">
        <f>IFERROR(__xludf.DUMMYFUNCTION("""COMPUTED_VALUE"""),20.0)</f>
        <v>20</v>
      </c>
      <c r="K95" s="64" t="str">
        <f>IFERROR(__xludf.DUMMYFUNCTION("""COMPUTED_VALUE"""),"Sep 2019")</f>
        <v>Sep 2019</v>
      </c>
      <c r="L95" s="64" t="str">
        <f>IFERROR(__xludf.DUMMYFUNCTION("""COMPUTED_VALUE"""),"Aug 2026")</f>
        <v>Aug 2026</v>
      </c>
      <c r="M95" s="65">
        <f>IFERROR(__xludf.DUMMYFUNCTION("""COMPUTED_VALUE"""),1.5512937E7)</f>
        <v>15512937</v>
      </c>
      <c r="N95" s="65">
        <f>IFERROR(__xludf.DUMMYFUNCTION("""COMPUTED_VALUE"""),775646.85)</f>
        <v>775646.85</v>
      </c>
      <c r="O95" s="65">
        <f>IFERROR(__xludf.DUMMYFUNCTION("""COMPUTED_VALUE"""),184970.0)</f>
        <v>184970</v>
      </c>
      <c r="P95" s="66" t="str">
        <f>IFERROR(__xludf.DUMMYFUNCTION("""COMPUTED_VALUE"""),"Indie")</f>
        <v>Indie</v>
      </c>
      <c r="Q95" s="64" t="str">
        <f>IFERROR(__xludf.DUMMYFUNCTION("""COMPUTED_VALUE"""),"$, $$")</f>
        <v>$, $$</v>
      </c>
      <c r="R95" s="68" t="str">
        <f>IFERROR(__xludf.DUMMYFUNCTION("""COMPUTED_VALUE"""),"?")</f>
        <v>?</v>
      </c>
      <c r="S95" s="25" t="str">
        <f>IFERROR(__xludf.DUMMYFUNCTION("""COMPUTED_VALUE"""),"Sandbox, Roguelike Deckbuilder, Deckbuilding, Roguelike, Automation, Crafting, Incremental, City Builder, Fishing, Management")</f>
        <v>Sandbox, Roguelike Deckbuilder, Deckbuilding, Roguelike, Automation, Crafting, Incremental, City Builder, Fishing, Management</v>
      </c>
      <c r="T95" s="40" t="str">
        <f>IFERROR(__xludf.DUMMYFUNCTION("""COMPUTED_VALUE"""),"Havendock, Backpack Hero, Werewolf")</f>
        <v>Havendock, Backpack Hero, Werewolf</v>
      </c>
      <c r="U95" s="69" t="str">
        <f>IFERROR(__xludf.DUMMYFUNCTION("""COMPUTED_VALUE"""),"Low budget publisher")</f>
        <v>Low budget publisher</v>
      </c>
    </row>
    <row r="96">
      <c r="A96" s="49" t="str">
        <f>IFERROR(__xludf.DUMMYFUNCTION("""COMPUTED_VALUE"""),"Goblinz Publishing")</f>
        <v>Goblinz Publishing</v>
      </c>
      <c r="B96" s="40" t="str">
        <f>IFERROR(__xludf.DUMMYFUNCTION("""COMPUTED_VALUE"""),"France")</f>
        <v>France</v>
      </c>
      <c r="C96" s="52" t="str">
        <f>IFERROR(__xludf.DUMMYFUNCTION("""COMPUTED_VALUE"""),"https://goblinzstudio.com/")</f>
        <v>https://goblinzstudio.com/</v>
      </c>
      <c r="D96" s="55" t="str">
        <f>IFERROR(__xludf.DUMMYFUNCTION("""COMPUTED_VALUE"""),"https://goblinzstudio.com/publishing/")</f>
        <v>https://goblinzstudio.com/publishing/</v>
      </c>
      <c r="E96" s="40" t="str">
        <f>IFERROR(__xludf.DUMMYFUNCTION("""COMPUTED_VALUE"""),"publishing@goblinzstudio.com")</f>
        <v>publishing@goblinzstudio.com</v>
      </c>
      <c r="F96" s="56" t="str">
        <f>IFERROR(__xludf.DUMMYFUNCTION("""COMPUTED_VALUE"""),"Johann Verbroucht")</f>
        <v>Johann Verbroucht</v>
      </c>
      <c r="G96" s="59" t="str">
        <f>IFERROR(__xludf.DUMMYFUNCTION("""COMPUTED_VALUE"""),"https://store.steampowered.com/dev/goblinz_publishing")</f>
        <v>https://store.steampowered.com/dev/goblinz_publishing</v>
      </c>
      <c r="H96" s="61" t="str">
        <f>IFERROR(__xludf.DUMMYFUNCTION("""COMPUTED_VALUE"""),"https://gamalytic.com/publisher/Goblinz%20Publishing")</f>
        <v>https://gamalytic.com/publisher/Goblinz%20Publishing</v>
      </c>
      <c r="I96" s="62" t="str">
        <f>IFERROR(__xludf.DUMMYFUNCTION("""COMPUTED_VALUE"""),"122K")</f>
        <v>122K</v>
      </c>
      <c r="J96" s="63">
        <f>IFERROR(__xludf.DUMMYFUNCTION("""COMPUTED_VALUE"""),52.0)</f>
        <v>52</v>
      </c>
      <c r="K96" s="64" t="str">
        <f>IFERROR(__xludf.DUMMYFUNCTION("""COMPUTED_VALUE"""),"Sep 2016")</f>
        <v>Sep 2016</v>
      </c>
      <c r="L96" s="64" t="str">
        <f>IFERROR(__xludf.DUMMYFUNCTION("""COMPUTED_VALUE"""),"Oct 2026")</f>
        <v>Oct 2026</v>
      </c>
      <c r="M96" s="65">
        <f>IFERROR(__xludf.DUMMYFUNCTION("""COMPUTED_VALUE"""),3.5257624E7)</f>
        <v>35257624</v>
      </c>
      <c r="N96" s="65">
        <f>IFERROR(__xludf.DUMMYFUNCTION("""COMPUTED_VALUE"""),678031.23076923)</f>
        <v>678031.2308</v>
      </c>
      <c r="O96" s="65">
        <f>IFERROR(__xludf.DUMMYFUNCTION("""COMPUTED_VALUE"""),180933.5)</f>
        <v>180933.5</v>
      </c>
      <c r="P96" s="66" t="str">
        <f>IFERROR(__xludf.DUMMYFUNCTION("""COMPUTED_VALUE"""),"Indie")</f>
        <v>Indie</v>
      </c>
      <c r="Q96" s="64" t="str">
        <f>IFERROR(__xludf.DUMMYFUNCTION("""COMPUTED_VALUE"""),"$, $$")</f>
        <v>$, $$</v>
      </c>
      <c r="R96" s="68" t="str">
        <f>IFERROR(__xludf.DUMMYFUNCTION("""COMPUTED_VALUE"""),"★★★")</f>
        <v>★★★</v>
      </c>
      <c r="S96" s="25" t="str">
        <f>IFERROR(__xludf.DUMMYFUNCTION("""COMPUTED_VALUE"""),"Roguelike, Turn-Based Strategy, Management, Dungeon Crawler, Roguelite, City Builder, Roguelike Deckbuilder, Deckbuilding, Turn-Based Tactics, Turn-Based Combat")</f>
        <v>Roguelike, Turn-Based Strategy, Management, Dungeon Crawler, Roguelite, City Builder, Roguelike Deckbuilder, Deckbuilding, Turn-Based Tactics, Turn-Based Combat</v>
      </c>
      <c r="T96" s="40" t="str">
        <f>IFERROR(__xludf.DUMMYFUNCTION("""COMPUTED_VALUE"""),"Terraformers, Hero's Hour, Legend of Keepers, Banners of Ruin, Synergy, Sandwalkers")</f>
        <v>Terraformers, Hero's Hour, Legend of Keepers, Banners of Ruin, Synergy, Sandwalkers</v>
      </c>
      <c r="U96" s="69" t="str">
        <f>IFERROR(__xludf.DUMMYFUNCTION("""COMPUTED_VALUE"""),"Developer &amp; Publisher specialized in Strategy, management and card-builder games.")</f>
        <v>Developer &amp; Publisher specialized in Strategy, management and card-builder games.</v>
      </c>
    </row>
    <row r="97">
      <c r="A97" s="49" t="str">
        <f>IFERROR(__xludf.DUMMYFUNCTION("""COMPUTED_VALUE"""),"Playtonic")</f>
        <v>Playtonic</v>
      </c>
      <c r="B97" s="40" t="str">
        <f>IFERROR(__xludf.DUMMYFUNCTION("""COMPUTED_VALUE"""),"UK")</f>
        <v>UK</v>
      </c>
      <c r="C97" s="52" t="str">
        <f>IFERROR(__xludf.DUMMYFUNCTION("""COMPUTED_VALUE"""),"https://www.playtonicgames.com/")</f>
        <v>https://www.playtonicgames.com/</v>
      </c>
      <c r="D97" s="40" t="str">
        <f>IFERROR(__xludf.DUMMYFUNCTION("""COMPUTED_VALUE"""),"-")</f>
        <v>-</v>
      </c>
      <c r="E97" s="40" t="str">
        <f>IFERROR(__xludf.DUMMYFUNCTION("""COMPUTED_VALUE"""),"oli.smith@playtonicgames.com")</f>
        <v>oli.smith@playtonicgames.com</v>
      </c>
      <c r="F97" s="56" t="str">
        <f>IFERROR(__xludf.DUMMYFUNCTION("""COMPUTED_VALUE"""),"Oliver Smith")</f>
        <v>Oliver Smith</v>
      </c>
      <c r="G97" s="59" t="str">
        <f>IFERROR(__xludf.DUMMYFUNCTION("""COMPUTED_VALUE"""),"https://store.steampowered.com/publisher/PlaytonicFriends")</f>
        <v>https://store.steampowered.com/publisher/PlaytonicFriends</v>
      </c>
      <c r="H97" s="61" t="str">
        <f>IFERROR(__xludf.DUMMYFUNCTION("""COMPUTED_VALUE"""),"https://gamalytic.com/publisher/Playtonic%20Friends")</f>
        <v>https://gamalytic.com/publisher/Playtonic%20Friends</v>
      </c>
      <c r="I97" s="62" t="str">
        <f>IFERROR(__xludf.DUMMYFUNCTION("""COMPUTED_VALUE"""),"4K")</f>
        <v>4K</v>
      </c>
      <c r="J97" s="63">
        <f>IFERROR(__xludf.DUMMYFUNCTION("""COMPUTED_VALUE"""),14.0)</f>
        <v>14</v>
      </c>
      <c r="K97" s="64" t="str">
        <f>IFERROR(__xludf.DUMMYFUNCTION("""COMPUTED_VALUE"""),"Apr 2017")</f>
        <v>Apr 2017</v>
      </c>
      <c r="L97" s="64" t="str">
        <f>IFERROR(__xludf.DUMMYFUNCTION("""COMPUTED_VALUE"""),"Oct 2025")</f>
        <v>Oct 2025</v>
      </c>
      <c r="M97" s="65">
        <f>IFERROR(__xludf.DUMMYFUNCTION("""COMPUTED_VALUE"""),1.0119346E7)</f>
        <v>10119346</v>
      </c>
      <c r="N97" s="65">
        <f>IFERROR(__xludf.DUMMYFUNCTION("""COMPUTED_VALUE"""),722810.428571428)</f>
        <v>722810.4286</v>
      </c>
      <c r="O97" s="65">
        <f>IFERROR(__xludf.DUMMYFUNCTION("""COMPUTED_VALUE"""),180428.5)</f>
        <v>180428.5</v>
      </c>
      <c r="P97" s="66" t="str">
        <f>IFERROR(__xludf.DUMMYFUNCTION("""COMPUTED_VALUE"""),"Indie")</f>
        <v>Indie</v>
      </c>
      <c r="Q97" s="64" t="str">
        <f>IFERROR(__xludf.DUMMYFUNCTION("""COMPUTED_VALUE"""),"$, $$")</f>
        <v>$, $$</v>
      </c>
      <c r="R97" s="68" t="str">
        <f>IFERROR(__xludf.DUMMYFUNCTION("""COMPUTED_VALUE"""),"★★★")</f>
        <v>★★★</v>
      </c>
      <c r="S97" s="25" t="str">
        <f>IFERROR(__xludf.DUMMYFUNCTION("""COMPUTED_VALUE"""),"Platformer, 3D Platformer, Collectathon, 2.5D, Puzzle, Arcade, Precision Platformer, Action-Adventure")</f>
        <v>Platformer, 3D Platformer, Collectathon, 2.5D, Puzzle, Arcade, Precision Platformer, Action-Adventure</v>
      </c>
      <c r="T97" s="40" t="str">
        <f>IFERROR(__xludf.DUMMYFUNCTION("""COMPUTED_VALUE"""),"Lil Gator Game, Demon Turf")</f>
        <v>Lil Gator Game, Demon Turf</v>
      </c>
      <c r="U97" s="69" t="str">
        <f>IFERROR(__xludf.DUMMYFUNCTION("""COMPUTED_VALUE"""),"A small and new publisher. Developers of Yooka Laylee")</f>
        <v>A small and new publisher. Developers of Yooka Laylee</v>
      </c>
    </row>
    <row r="98">
      <c r="A98" s="49" t="str">
        <f>IFERROR(__xludf.DUMMYFUNCTION("""COMPUTED_VALUE"""),"IndieArk")</f>
        <v>IndieArk</v>
      </c>
      <c r="B98" s="40" t="str">
        <f>IFERROR(__xludf.DUMMYFUNCTION("""COMPUTED_VALUE"""),"China")</f>
        <v>China</v>
      </c>
      <c r="C98" s="52" t="str">
        <f>IFERROR(__xludf.DUMMYFUNCTION("""COMPUTED_VALUE"""),"https://www.indieark.com/en/")</f>
        <v>https://www.indieark.com/en/</v>
      </c>
      <c r="D98" s="40" t="str">
        <f>IFERROR(__xludf.DUMMYFUNCTION("""COMPUTED_VALUE"""),"-")</f>
        <v>-</v>
      </c>
      <c r="E98" s="40" t="str">
        <f>IFERROR(__xludf.DUMMYFUNCTION("""COMPUTED_VALUE"""),"pitch@indieark.com")</f>
        <v>pitch@indieark.com</v>
      </c>
      <c r="F98" s="56" t="str">
        <f>IFERROR(__xludf.DUMMYFUNCTION("""COMPUTED_VALUE"""),"Kevin Ye")</f>
        <v>Kevin Ye</v>
      </c>
      <c r="G98" s="59" t="str">
        <f>IFERROR(__xludf.DUMMYFUNCTION("""COMPUTED_VALUE"""),"https://store.steampowered.com/publisher/IndieArk")</f>
        <v>https://store.steampowered.com/publisher/IndieArk</v>
      </c>
      <c r="H98" s="61" t="str">
        <f>IFERROR(__xludf.DUMMYFUNCTION("""COMPUTED_VALUE"""),"https://gamalytic.com/publisher/IndieArk")</f>
        <v>https://gamalytic.com/publisher/IndieArk</v>
      </c>
      <c r="I98" s="62" t="str">
        <f>IFERROR(__xludf.DUMMYFUNCTION("""COMPUTED_VALUE"""),"18K")</f>
        <v>18K</v>
      </c>
      <c r="J98" s="63">
        <f>IFERROR(__xludf.DUMMYFUNCTION("""COMPUTED_VALUE"""),64.0)</f>
        <v>64</v>
      </c>
      <c r="K98" s="64" t="str">
        <f>IFERROR(__xludf.DUMMYFUNCTION("""COMPUTED_VALUE"""),"Jul 2020")</f>
        <v>Jul 2020</v>
      </c>
      <c r="L98" s="64" t="str">
        <f>IFERROR(__xludf.DUMMYFUNCTION("""COMPUTED_VALUE"""),"Oct 2026")</f>
        <v>Oct 2026</v>
      </c>
      <c r="M98" s="65">
        <f>IFERROR(__xludf.DUMMYFUNCTION("""COMPUTED_VALUE"""),1.03694504E8)</f>
        <v>103694504</v>
      </c>
      <c r="N98" s="65">
        <f>IFERROR(__xludf.DUMMYFUNCTION("""COMPUTED_VALUE"""),1620226.625)</f>
        <v>1620226.625</v>
      </c>
      <c r="O98" s="65">
        <f>IFERROR(__xludf.DUMMYFUNCTION("""COMPUTED_VALUE"""),176521.5)</f>
        <v>176521.5</v>
      </c>
      <c r="P98" s="66" t="str">
        <f>IFERROR(__xludf.DUMMYFUNCTION("""COMPUTED_VALUE"""),"AA")</f>
        <v>AA</v>
      </c>
      <c r="Q98" s="64" t="str">
        <f>IFERROR(__xludf.DUMMYFUNCTION("""COMPUTED_VALUE"""),"$$, $$$")</f>
        <v>$$, $$$</v>
      </c>
      <c r="R98" s="68" t="str">
        <f>IFERROR(__xludf.DUMMYFUNCTION("""COMPUTED_VALUE"""),"★")</f>
        <v>★</v>
      </c>
      <c r="S98" s="25" t="str">
        <f>IFERROR(__xludf.DUMMYFUNCTION("""COMPUTED_VALUE"""),"Roguelike, Roguelite, Deckbuilding, Roguelike Deckbuilder, Management, Psychological Horror, Horror, Crafting, Sandbox, Auto Battler")</f>
        <v>Roguelike, Roguelite, Deckbuilding, Roguelike Deckbuilder, Management, Psychological Horror, Horror, Crafting, Sandbox, Auto Battler</v>
      </c>
      <c r="T98" s="40" t="str">
        <f>IFERROR(__xludf.DUMMYFUNCTION("""COMPUTED_VALUE"""),"MiSide,Peglin, Travellers Rest, Backpack Hero, Trials of Fire, Pile Up!")</f>
        <v>MiSide,Peglin, Travellers Rest, Backpack Hero, Trials of Fire, Pile Up!</v>
      </c>
      <c r="U98" s="69" t="str">
        <f>IFERROR(__xludf.DUMMYFUNCTION("""COMPUTED_VALUE"""),"Specialized in Asia. Does not seem to do much in terms of influencer reach and does not do much post-launch. Looks like the typical launch with Steam and repeat with another game approach.")</f>
        <v>Specialized in Asia. Does not seem to do much in terms of influencer reach and does not do much post-launch. Looks like the typical launch with Steam and repeat with another game approach.</v>
      </c>
    </row>
    <row r="99">
      <c r="A99" s="49" t="str">
        <f>IFERROR(__xludf.DUMMYFUNCTION("""COMPUTED_VALUE"""),"Top Hat Studios")</f>
        <v>Top Hat Studios</v>
      </c>
      <c r="B99" s="40" t="str">
        <f>IFERROR(__xludf.DUMMYFUNCTION("""COMPUTED_VALUE"""),"USA")</f>
        <v>USA</v>
      </c>
      <c r="C99" s="52" t="str">
        <f>IFERROR(__xludf.DUMMYFUNCTION("""COMPUTED_VALUE"""),"https://tophat.studio")</f>
        <v>https://tophat.studio</v>
      </c>
      <c r="D99" s="55" t="str">
        <f>IFERROR(__xludf.DUMMYFUNCTION("""COMPUTED_VALUE"""),"https://tophat.studio/publishing.html")</f>
        <v>https://tophat.studio/publishing.html</v>
      </c>
      <c r="E99" s="40" t="str">
        <f>IFERROR(__xludf.DUMMYFUNCTION("""COMPUTED_VALUE"""),"publishing@tophatentertainment.us")</f>
        <v>publishing@tophatentertainment.us</v>
      </c>
      <c r="F99" s="56" t="str">
        <f>IFERROR(__xludf.DUMMYFUNCTION("""COMPUTED_VALUE"""),"?")</f>
        <v>?</v>
      </c>
      <c r="G99" s="59" t="str">
        <f>IFERROR(__xludf.DUMMYFUNCTION("""COMPUTED_VALUE"""),"https://store.steampowered.com/publisher/tophatstudios/")</f>
        <v>https://store.steampowered.com/publisher/tophatstudios/</v>
      </c>
      <c r="H99" s="61" t="str">
        <f>IFERROR(__xludf.DUMMYFUNCTION("""COMPUTED_VALUE"""),"https://gamalytic.com/publisher/Top%20Hat%20Studios,%20Inc.")</f>
        <v>https://gamalytic.com/publisher/Top%20Hat%20Studios,%20Inc.</v>
      </c>
      <c r="I99" s="62" t="str">
        <f>IFERROR(__xludf.DUMMYFUNCTION("""COMPUTED_VALUE"""),"12K")</f>
        <v>12K</v>
      </c>
      <c r="J99" s="63">
        <f>IFERROR(__xludf.DUMMYFUNCTION("""COMPUTED_VALUE"""),21.0)</f>
        <v>21</v>
      </c>
      <c r="K99" s="64" t="str">
        <f>IFERROR(__xludf.DUMMYFUNCTION("""COMPUTED_VALUE"""),"Jan 2019")</f>
        <v>Jan 2019</v>
      </c>
      <c r="L99" s="64" t="str">
        <f>IFERROR(__xludf.DUMMYFUNCTION("""COMPUTED_VALUE"""),"May 2026")</f>
        <v>May 2026</v>
      </c>
      <c r="M99" s="65">
        <f>IFERROR(__xludf.DUMMYFUNCTION("""COMPUTED_VALUE"""),7661810.0)</f>
        <v>7661810</v>
      </c>
      <c r="N99" s="65">
        <f>IFERROR(__xludf.DUMMYFUNCTION("""COMPUTED_VALUE"""),364848.095238095)</f>
        <v>364848.0952</v>
      </c>
      <c r="O99" s="65">
        <f>IFERROR(__xludf.DUMMYFUNCTION("""COMPUTED_VALUE"""),161481.0)</f>
        <v>161481</v>
      </c>
      <c r="P99" s="66" t="str">
        <f>IFERROR(__xludf.DUMMYFUNCTION("""COMPUTED_VALUE"""),"Indie")</f>
        <v>Indie</v>
      </c>
      <c r="Q99" s="64" t="str">
        <f>IFERROR(__xludf.DUMMYFUNCTION("""COMPUTED_VALUE"""),"$, $$")</f>
        <v>$, $$</v>
      </c>
      <c r="R99" s="68" t="str">
        <f>IFERROR(__xludf.DUMMYFUNCTION("""COMPUTED_VALUE"""),"★")</f>
        <v>★</v>
      </c>
      <c r="S99" s="25" t="str">
        <f>IFERROR(__xludf.DUMMYFUNCTION("""COMPUTED_VALUE"""),"Action-Adventure, Platformer, Metroidvania, Survival Horror, Horror, Action RPG, Parkour, Dungeon Crawler, 2D Platformer, Creature Collector")</f>
        <v>Action-Adventure, Platformer, Metroidvania, Survival Horror, Horror, Action RPG, Parkour, Dungeon Crawler, 2D Platformer, Creature Collector</v>
      </c>
      <c r="T99" s="40" t="str">
        <f>IFERROR(__xludf.DUMMYFUNCTION("""COMPUTED_VALUE"""),"Frogun, The Citadel")</f>
        <v>Frogun, The Citadel</v>
      </c>
      <c r="U99" s="69" t="str">
        <f>IFERROR(__xludf.DUMMYFUNCTION("""COMPUTED_VALUE"""),"They've published a lot of games that were crowdfunded on Kickstarter. Publishing a lot of games so they may not have enough to focus on you.")</f>
        <v>They've published a lot of games that were crowdfunded on Kickstarter. Publishing a lot of games so they may not have enough to focus on you.</v>
      </c>
    </row>
    <row r="100">
      <c r="A100" s="49" t="str">
        <f>IFERROR(__xludf.DUMMYFUNCTION("""COMPUTED_VALUE"""),"Super Rare Originals")</f>
        <v>Super Rare Originals</v>
      </c>
      <c r="B100" s="40" t="str">
        <f>IFERROR(__xludf.DUMMYFUNCTION("""COMPUTED_VALUE"""),"UK")</f>
        <v>UK</v>
      </c>
      <c r="C100" s="52" t="str">
        <f>IFERROR(__xludf.DUMMYFUNCTION("""COMPUTED_VALUE"""),"https://www.superrareoriginals.com/")</f>
        <v>https://www.superrareoriginals.com/</v>
      </c>
      <c r="D100" s="40" t="str">
        <f>IFERROR(__xludf.DUMMYFUNCTION("""COMPUTED_VALUE"""),"-")</f>
        <v>-</v>
      </c>
      <c r="E100" s="55" t="str">
        <f>IFERROR(__xludf.DUMMYFUNCTION("""COMPUTED_VALUE"""),"publishmygame@superraregames.com")</f>
        <v>publishmygame@superraregames.com</v>
      </c>
      <c r="F100" s="56" t="str">
        <f>IFERROR(__xludf.DUMMYFUNCTION("""COMPUTED_VALUE"""),"George Perkins")</f>
        <v>George Perkins</v>
      </c>
      <c r="G100" s="59" t="str">
        <f>IFERROR(__xludf.DUMMYFUNCTION("""COMPUTED_VALUE"""),"https://store.steampowered.com/publisher/SUPERRAREGAMES")</f>
        <v>https://store.steampowered.com/publisher/SUPERRAREGAMES</v>
      </c>
      <c r="H100" s="61" t="str">
        <f>IFERROR(__xludf.DUMMYFUNCTION("""COMPUTED_VALUE"""),"https://gamalytic.com/publisher/Super%20Rare%20Originals")</f>
        <v>https://gamalytic.com/publisher/Super%20Rare%20Originals</v>
      </c>
      <c r="I100" s="62">
        <f>IFERROR(__xludf.DUMMYFUNCTION("""COMPUTED_VALUE"""),262.0)</f>
        <v>262</v>
      </c>
      <c r="J100" s="63">
        <f>IFERROR(__xludf.DUMMYFUNCTION("""COMPUTED_VALUE"""),15.0)</f>
        <v>15</v>
      </c>
      <c r="K100" s="64" t="str">
        <f>IFERROR(__xludf.DUMMYFUNCTION("""COMPUTED_VALUE"""),"Feb 2022")</f>
        <v>Feb 2022</v>
      </c>
      <c r="L100" s="64" t="str">
        <f>IFERROR(__xludf.DUMMYFUNCTION("""COMPUTED_VALUE"""),"Jul 2026")</f>
        <v>Jul 2026</v>
      </c>
      <c r="M100" s="65">
        <f>IFERROR(__xludf.DUMMYFUNCTION("""COMPUTED_VALUE"""),4514475.0)</f>
        <v>4514475</v>
      </c>
      <c r="N100" s="65">
        <f>IFERROR(__xludf.DUMMYFUNCTION("""COMPUTED_VALUE"""),300965.0)</f>
        <v>300965</v>
      </c>
      <c r="O100" s="65">
        <f>IFERROR(__xludf.DUMMYFUNCTION("""COMPUTED_VALUE"""),147377.0)</f>
        <v>147377</v>
      </c>
      <c r="P100" s="66" t="str">
        <f>IFERROR(__xludf.DUMMYFUNCTION("""COMPUTED_VALUE"""),"Indie")</f>
        <v>Indie</v>
      </c>
      <c r="Q100" s="64" t="str">
        <f>IFERROR(__xludf.DUMMYFUNCTION("""COMPUTED_VALUE"""),"$, $$")</f>
        <v>$, $$</v>
      </c>
      <c r="R100" s="68" t="str">
        <f>IFERROR(__xludf.DUMMYFUNCTION("""COMPUTED_VALUE"""),"★★★")</f>
        <v>★★★</v>
      </c>
      <c r="S100" s="25" t="str">
        <f>IFERROR(__xludf.DUMMYFUNCTION("""COMPUTED_VALUE"""),"Action Roguelike, Top-Down Shooter, Roguelite, Platformer, Shooter, Bullet Hell, Collectathon, Open World, 3D Platformer")</f>
        <v>Action Roguelike, Top-Down Shooter, Roguelite, Platformer, Shooter, Bullet Hell, Collectathon, Open World, 3D Platformer</v>
      </c>
      <c r="T100" s="40" t="str">
        <f>IFERROR(__xludf.DUMMYFUNCTION("""COMPUTED_VALUE"""),"Otxo, Old Ruin")</f>
        <v>Otxo, Old Ruin</v>
      </c>
      <c r="U100" s="69" t="str">
        <f>IFERROR(__xludf.DUMMYFUNCTION("""COMPUTED_VALUE"""),"The new indie publishing arm of Super Rare Games")</f>
        <v>The new indie publishing arm of Super Rare Games</v>
      </c>
    </row>
    <row r="101">
      <c r="A101" s="49" t="str">
        <f>IFERROR(__xludf.DUMMYFUNCTION("""COMPUTED_VALUE"""),"Dangen Entertainment")</f>
        <v>Dangen Entertainment</v>
      </c>
      <c r="B101" s="40" t="str">
        <f>IFERROR(__xludf.DUMMYFUNCTION("""COMPUTED_VALUE"""),"Japan")</f>
        <v>Japan</v>
      </c>
      <c r="C101" s="52" t="str">
        <f>IFERROR(__xludf.DUMMYFUNCTION("""COMPUTED_VALUE"""),"https://dangenentertainment.com/")</f>
        <v>https://dangenentertainment.com/</v>
      </c>
      <c r="D101" s="55" t="str">
        <f>IFERROR(__xludf.DUMMYFUNCTION("""COMPUTED_VALUE"""),"https://pitch.dangenentertainment.com/?_xm=13900.283328865470775310")</f>
        <v>https://pitch.dangenentertainment.com/?_xm=13900.283328865470775310</v>
      </c>
      <c r="E101" s="40" t="str">
        <f>IFERROR(__xludf.DUMMYFUNCTION("""COMPUTED_VALUE"""),"contact@dangenentertainment.com")</f>
        <v>contact@dangenentertainment.com</v>
      </c>
      <c r="F101" s="56" t="str">
        <f>IFERROR(__xludf.DUMMYFUNCTION("""COMPUTED_VALUE"""),"Dan Stern")</f>
        <v>Dan Stern</v>
      </c>
      <c r="G101" s="59" t="str">
        <f>IFERROR(__xludf.DUMMYFUNCTION("""COMPUTED_VALUE"""),"https://store.steampowered.com/publisher/dangen")</f>
        <v>https://store.steampowered.com/publisher/dangen</v>
      </c>
      <c r="H101" s="61" t="str">
        <f>IFERROR(__xludf.DUMMYFUNCTION("""COMPUTED_VALUE"""),"https://gamalytic.com/publisher/DANGEN%20Entertainment")</f>
        <v>https://gamalytic.com/publisher/DANGEN%20Entertainment</v>
      </c>
      <c r="I101" s="62" t="str">
        <f>IFERROR(__xludf.DUMMYFUNCTION("""COMPUTED_VALUE"""),"26K")</f>
        <v>26K</v>
      </c>
      <c r="J101" s="63">
        <f>IFERROR(__xludf.DUMMYFUNCTION("""COMPUTED_VALUE"""),35.0)</f>
        <v>35</v>
      </c>
      <c r="K101" s="64" t="str">
        <f>IFERROR(__xludf.DUMMYFUNCTION("""COMPUTED_VALUE"""),"Feb 2016")</f>
        <v>Feb 2016</v>
      </c>
      <c r="L101" s="64" t="str">
        <f>IFERROR(__xludf.DUMMYFUNCTION("""COMPUTED_VALUE"""),"Sep 2026")</f>
        <v>Sep 2026</v>
      </c>
      <c r="M101" s="65">
        <f>IFERROR(__xludf.DUMMYFUNCTION("""COMPUTED_VALUE"""),1.9381747E7)</f>
        <v>19381747</v>
      </c>
      <c r="N101" s="65">
        <f>IFERROR(__xludf.DUMMYFUNCTION("""COMPUTED_VALUE"""),553764.2)</f>
        <v>553764.2</v>
      </c>
      <c r="O101" s="65">
        <f>IFERROR(__xludf.DUMMYFUNCTION("""COMPUTED_VALUE"""),146125.0)</f>
        <v>146125</v>
      </c>
      <c r="P101" s="66" t="str">
        <f>IFERROR(__xludf.DUMMYFUNCTION("""COMPUTED_VALUE"""),"Indie")</f>
        <v>Indie</v>
      </c>
      <c r="Q101" s="64" t="str">
        <f>IFERROR(__xludf.DUMMYFUNCTION("""COMPUTED_VALUE"""),"$, $$")</f>
        <v>$, $$</v>
      </c>
      <c r="R101" s="68" t="str">
        <f>IFERROR(__xludf.DUMMYFUNCTION("""COMPUTED_VALUE"""),"★★")</f>
        <v>★★</v>
      </c>
      <c r="S101" s="25" t="str">
        <f>IFERROR(__xludf.DUMMYFUNCTION("""COMPUTED_VALUE"""),"Metroidvania, Action RPG, JRPG, Puzzle, Platformer, Party-Based RPG, Roguelite, Hack and Slash, Turn-Based Combat, Horror")</f>
        <v>Metroidvania, Action RPG, JRPG, Puzzle, Platformer, Party-Based RPG, Roguelite, Hack and Slash, Turn-Based Combat, Horror</v>
      </c>
      <c r="T101" s="40" t="str">
        <f>IFERROR(__xludf.DUMMYFUNCTION("""COMPUTED_VALUE"""),"Bug Fables, Lost Ruins")</f>
        <v>Bug Fables, Lost Ruins</v>
      </c>
      <c r="U101" s="69" t="str">
        <f>IFERROR(__xludf.DUMMYFUNCTION("""COMPUTED_VALUE"""),"They also offer grant funding to indie devs. Check their website. (Note from visitor: 500k usd budget is waaaaay to much for them but they assesed the pitch and would love to sign if the budget was about 2x/3x less)")</f>
        <v>They also offer grant funding to indie devs. Check their website. (Note from visitor: 500k usd budget is waaaaay to much for them but they assesed the pitch and would love to sign if the budget was about 2x/3x less)</v>
      </c>
    </row>
    <row r="102">
      <c r="A102" s="49" t="str">
        <f>IFERROR(__xludf.DUMMYFUNCTION("""COMPUTED_VALUE"""),"Games Operators")</f>
        <v>Games Operators</v>
      </c>
      <c r="B102" s="40" t="str">
        <f>IFERROR(__xludf.DUMMYFUNCTION("""COMPUTED_VALUE"""),"Poland")</f>
        <v>Poland</v>
      </c>
      <c r="C102" s="52" t="str">
        <f>IFERROR(__xludf.DUMMYFUNCTION("""COMPUTED_VALUE"""),"http://www.gameops.pl/en/about-us/")</f>
        <v>http://www.gameops.pl/en/about-us/</v>
      </c>
      <c r="D102" s="40" t="str">
        <f>IFERROR(__xludf.DUMMYFUNCTION("""COMPUTED_VALUE"""),"-")</f>
        <v>-</v>
      </c>
      <c r="E102" s="40" t="str">
        <f>IFERROR(__xludf.DUMMYFUNCTION("""COMPUTED_VALUE"""),"producers@gameops.pl")</f>
        <v>producers@gameops.pl</v>
      </c>
      <c r="F102" s="56" t="str">
        <f>IFERROR(__xludf.DUMMYFUNCTION("""COMPUTED_VALUE"""),"Konrad Chmielewski")</f>
        <v>Konrad Chmielewski</v>
      </c>
      <c r="G102" s="59" t="str">
        <f>IFERROR(__xludf.DUMMYFUNCTION("""COMPUTED_VALUE"""),"https://store.steampowered.com/publisher/gameops")</f>
        <v>https://store.steampowered.com/publisher/gameops</v>
      </c>
      <c r="H102" s="61" t="str">
        <f>IFERROR(__xludf.DUMMYFUNCTION("""COMPUTED_VALUE"""),"https://gamalytic.com/publisher/Games%20Operators")</f>
        <v>https://gamalytic.com/publisher/Games%20Operators</v>
      </c>
      <c r="I102" s="62" t="str">
        <f>IFERROR(__xludf.DUMMYFUNCTION("""COMPUTED_VALUE"""),"531K")</f>
        <v>531K</v>
      </c>
      <c r="J102" s="63">
        <f>IFERROR(__xludf.DUMMYFUNCTION("""COMPUTED_VALUE"""),27.0)</f>
        <v>27</v>
      </c>
      <c r="K102" s="64" t="str">
        <f>IFERROR(__xludf.DUMMYFUNCTION("""COMPUTED_VALUE"""),"Feb 2017")</f>
        <v>Feb 2017</v>
      </c>
      <c r="L102" s="64" t="str">
        <f>IFERROR(__xludf.DUMMYFUNCTION("""COMPUTED_VALUE"""),"Sep 2026")</f>
        <v>Sep 2026</v>
      </c>
      <c r="M102" s="65">
        <f>IFERROR(__xludf.DUMMYFUNCTION("""COMPUTED_VALUE"""),3.2036981E7)</f>
        <v>32036981</v>
      </c>
      <c r="N102" s="65">
        <f>IFERROR(__xludf.DUMMYFUNCTION("""COMPUTED_VALUE"""),1186554.85185185)</f>
        <v>1186554.852</v>
      </c>
      <c r="O102" s="65">
        <f>IFERROR(__xludf.DUMMYFUNCTION("""COMPUTED_VALUE"""),144629.0)</f>
        <v>144629</v>
      </c>
      <c r="P102" s="66" t="str">
        <f>IFERROR(__xludf.DUMMYFUNCTION("""COMPUTED_VALUE"""),"Indie")</f>
        <v>Indie</v>
      </c>
      <c r="Q102" s="64" t="str">
        <f>IFERROR(__xludf.DUMMYFUNCTION("""COMPUTED_VALUE"""),"$, $$")</f>
        <v>$, $$</v>
      </c>
      <c r="R102" s="68" t="str">
        <f>IFERROR(__xludf.DUMMYFUNCTION("""COMPUTED_VALUE"""),"★★★")</f>
        <v>★★★</v>
      </c>
      <c r="S102" s="25" t="str">
        <f>IFERROR(__xludf.DUMMYFUNCTION("""COMPUTED_VALUE"""),"Management, Sandbox, Base Building, City Builder, Survival, RTS, Time Management, Open World, Real Time Tactics")</f>
        <v>Management, Sandbox, Base Building, City Builder, Survival, RTS, Time Management, Open World, Real Time Tactics</v>
      </c>
      <c r="T102" s="40" t="str">
        <f>IFERROR(__xludf.DUMMYFUNCTION("""COMPUTED_VALUE"""),"911 operator, Radio commander")</f>
        <v>911 operator, Radio commander</v>
      </c>
      <c r="U102" s="69" t="str">
        <f>IFERROR(__xludf.DUMMYFUNCTION("""COMPUTED_VALUE"""),"They've done plenty of simulation and strategy games. Affiliated with the publisher Playway.")</f>
        <v>They've done plenty of simulation and strategy games. Affiliated with the publisher Playway.</v>
      </c>
    </row>
    <row r="103">
      <c r="A103" s="49" t="str">
        <f>IFERROR(__xludf.DUMMYFUNCTION("""COMPUTED_VALUE"""),"Wales Interactive")</f>
        <v>Wales Interactive</v>
      </c>
      <c r="B103" s="40" t="str">
        <f>IFERROR(__xludf.DUMMYFUNCTION("""COMPUTED_VALUE"""),"UK")</f>
        <v>UK</v>
      </c>
      <c r="C103" s="52" t="str">
        <f>IFERROR(__xludf.DUMMYFUNCTION("""COMPUTED_VALUE"""),"https://www.walesinteractive.com/")</f>
        <v>https://www.walesinteractive.com/</v>
      </c>
      <c r="D103" s="40" t="str">
        <f>IFERROR(__xludf.DUMMYFUNCTION("""COMPUTED_VALUE"""),"-")</f>
        <v>-</v>
      </c>
      <c r="E103" s="55" t="str">
        <f>IFERROR(__xludf.DUMMYFUNCTION("""COMPUTED_VALUE"""),"https://www.walesinteractive.com/contact")</f>
        <v>https://www.walesinteractive.com/contact</v>
      </c>
      <c r="F103" s="56" t="str">
        <f>IFERROR(__xludf.DUMMYFUNCTION("""COMPUTED_VALUE"""),"David Banner")</f>
        <v>David Banner</v>
      </c>
      <c r="G103" s="59" t="str">
        <f>IFERROR(__xludf.DUMMYFUNCTION("""COMPUTED_VALUE"""),"https://store.steampowered.com/publisher/WalesInteractive")</f>
        <v>https://store.steampowered.com/publisher/WalesInteractive</v>
      </c>
      <c r="H103" s="61" t="str">
        <f>IFERROR(__xludf.DUMMYFUNCTION("""COMPUTED_VALUE"""),"https://gamalytic.com/publisher/Wales%20Interactive")</f>
        <v>https://gamalytic.com/publisher/Wales%20Interactive</v>
      </c>
      <c r="I103" s="62" t="str">
        <f>IFERROR(__xludf.DUMMYFUNCTION("""COMPUTED_VALUE"""),"23K")</f>
        <v>23K</v>
      </c>
      <c r="J103" s="63">
        <f>IFERROR(__xludf.DUMMYFUNCTION("""COMPUTED_VALUE"""),30.0)</f>
        <v>30</v>
      </c>
      <c r="K103" s="64" t="str">
        <f>IFERROR(__xludf.DUMMYFUNCTION("""COMPUTED_VALUE"""),"Oct 2013")</f>
        <v>Oct 2013</v>
      </c>
      <c r="L103" s="64" t="str">
        <f>IFERROR(__xludf.DUMMYFUNCTION("""COMPUTED_VALUE"""),"Jul 2026")</f>
        <v>Jul 2026</v>
      </c>
      <c r="M103" s="65">
        <f>IFERROR(__xludf.DUMMYFUNCTION("""COMPUTED_VALUE"""),8656831.0)</f>
        <v>8656831</v>
      </c>
      <c r="N103" s="65">
        <f>IFERROR(__xludf.DUMMYFUNCTION("""COMPUTED_VALUE"""),288561.033333333)</f>
        <v>288561.0333</v>
      </c>
      <c r="O103" s="65">
        <f>IFERROR(__xludf.DUMMYFUNCTION("""COMPUTED_VALUE"""),125708.5)</f>
        <v>125708.5</v>
      </c>
      <c r="P103" s="66" t="str">
        <f>IFERROR(__xludf.DUMMYFUNCTION("""COMPUTED_VALUE"""),"Indie")</f>
        <v>Indie</v>
      </c>
      <c r="Q103" s="64" t="str">
        <f>IFERROR(__xludf.DUMMYFUNCTION("""COMPUTED_VALUE"""),"$, $$")</f>
        <v>$, $$</v>
      </c>
      <c r="R103" s="68" t="str">
        <f>IFERROR(__xludf.DUMMYFUNCTION("""COMPUTED_VALUE"""),"?")</f>
        <v>?</v>
      </c>
      <c r="S103" s="25" t="str">
        <f>IFERROR(__xludf.DUMMYFUNCTION("""COMPUTED_VALUE"""),"Choose Your Own Adventure, Interactive Fiction, Horror, Psychological Horror, Visual Novel")</f>
        <v>Choose Your Own Adventure, Interactive Fiction, Horror, Psychological Horror, Visual Novel</v>
      </c>
      <c r="T103" s="40" t="str">
        <f>IFERROR(__xludf.DUMMYFUNCTION("""COMPUTED_VALUE"""),"Maid of Sker, Late Shift, Sker Ritual, The Complex, Five Dates, The Bunker")</f>
        <v>Maid of Sker, Late Shift, Sker Ritual, The Complex, Five Dates, The Bunker</v>
      </c>
      <c r="U103" s="69" t="str">
        <f>IFERROR(__xludf.DUMMYFUNCTION("""COMPUTED_VALUE"""),"This is an indie Developer and Publisher. They specialize in survival horror, narrative games and interactive movies.")</f>
        <v>This is an indie Developer and Publisher. They specialize in survival horror, narrative games and interactive movies.</v>
      </c>
    </row>
    <row r="104">
      <c r="A104" s="49" t="str">
        <f>IFERROR(__xludf.DUMMYFUNCTION("""COMPUTED_VALUE"""),"Deck13")</f>
        <v>Deck13</v>
      </c>
      <c r="B104" s="40" t="str">
        <f>IFERROR(__xludf.DUMMYFUNCTION("""COMPUTED_VALUE"""),"Germany")</f>
        <v>Germany</v>
      </c>
      <c r="C104" s="52" t="str">
        <f>IFERROR(__xludf.DUMMYFUNCTION("""COMPUTED_VALUE"""),"https://spotlight.deck13.com/")</f>
        <v>https://spotlight.deck13.com/</v>
      </c>
      <c r="D104" s="40" t="str">
        <f>IFERROR(__xludf.DUMMYFUNCTION("""COMPUTED_VALUE"""),"- ")</f>
        <v>- </v>
      </c>
      <c r="E104" s="55" t="str">
        <f>IFERROR(__xludf.DUMMYFUNCTION("""COMPUTED_VALUE"""),"https://spotlight.deck13.com/contact-us/")</f>
        <v>https://spotlight.deck13.com/contact-us/</v>
      </c>
      <c r="F104" s="56" t="str">
        <f>IFERROR(__xludf.DUMMYFUNCTION("""COMPUTED_VALUE"""),"Phil Pradel")</f>
        <v>Phil Pradel</v>
      </c>
      <c r="G104" s="59" t="str">
        <f>IFERROR(__xludf.DUMMYFUNCTION("""COMPUTED_VALUE"""),"https://store.steampowered.com/publisher/DECK13")</f>
        <v>https://store.steampowered.com/publisher/DECK13</v>
      </c>
      <c r="H104" s="61" t="str">
        <f>IFERROR(__xludf.DUMMYFUNCTION("""COMPUTED_VALUE"""),"https://gamalytic.com/publisher/Deck13")</f>
        <v>https://gamalytic.com/publisher/Deck13</v>
      </c>
      <c r="I104" s="62" t="str">
        <f>IFERROR(__xludf.DUMMYFUNCTION("""COMPUTED_VALUE"""),"7K")</f>
        <v>7K</v>
      </c>
      <c r="J104" s="63">
        <f>IFERROR(__xludf.DUMMYFUNCTION("""COMPUTED_VALUE"""),18.0)</f>
        <v>18</v>
      </c>
      <c r="K104" s="64" t="str">
        <f>IFERROR(__xludf.DUMMYFUNCTION("""COMPUTED_VALUE"""),"Jan 2015")</f>
        <v>Jan 2015</v>
      </c>
      <c r="L104" s="64" t="str">
        <f>IFERROR(__xludf.DUMMYFUNCTION("""COMPUTED_VALUE"""),"Oct 2025")</f>
        <v>Oct 2025</v>
      </c>
      <c r="M104" s="65">
        <f>IFERROR(__xludf.DUMMYFUNCTION("""COMPUTED_VALUE"""),2.2515125E7)</f>
        <v>22515125</v>
      </c>
      <c r="N104" s="65">
        <f>IFERROR(__xludf.DUMMYFUNCTION("""COMPUTED_VALUE"""),1250840.27777777)</f>
        <v>1250840.278</v>
      </c>
      <c r="O104" s="65">
        <f>IFERROR(__xludf.DUMMYFUNCTION("""COMPUTED_VALUE"""),121321.0)</f>
        <v>121321</v>
      </c>
      <c r="P104" s="66" t="str">
        <f>IFERROR(__xludf.DUMMYFUNCTION("""COMPUTED_VALUE"""),"Indie")</f>
        <v>Indie</v>
      </c>
      <c r="Q104" s="64" t="str">
        <f>IFERROR(__xludf.DUMMYFUNCTION("""COMPUTED_VALUE"""),"$, $$")</f>
        <v>$, $$</v>
      </c>
      <c r="R104" s="68" t="str">
        <f>IFERROR(__xludf.DUMMYFUNCTION("""COMPUTED_VALUE"""),"★★★")</f>
        <v>★★★</v>
      </c>
      <c r="S104" s="25" t="str">
        <f>IFERROR(__xludf.DUMMYFUNCTION("""COMPUTED_VALUE"""),"Action RPG, Puzzle, Turn-Based Combat, JRPG, Open World, Souls-like, City Builder")</f>
        <v>Action RPG, Puzzle, Turn-Based Combat, JRPG, Open World, Souls-like, City Builder</v>
      </c>
      <c r="T104" s="40" t="str">
        <f>IFERROR(__xludf.DUMMYFUNCTION("""COMPUTED_VALUE"""),"The Surge, Crosscode")</f>
        <v>The Surge, Crosscode</v>
      </c>
      <c r="U104" s="69" t="str">
        <f>IFERROR(__xludf.DUMMYFUNCTION("""COMPUTED_VALUE"""),"The publishing arm of Deck13 Interactive. Sep 2025: ""Currently we‘re full and not taking any additional Projects""")</f>
        <v>The publishing arm of Deck13 Interactive. Sep 2025: "Currently we‘re full and not taking any additional Projects"</v>
      </c>
    </row>
    <row r="105">
      <c r="A105" s="49" t="str">
        <f>IFERROR(__xludf.DUMMYFUNCTION("""COMPUTED_VALUE"""),"Exothermic")</f>
        <v>Exothermic</v>
      </c>
      <c r="B105" s="40" t="str">
        <f>IFERROR(__xludf.DUMMYFUNCTION("""COMPUTED_VALUE"""),"USA")</f>
        <v>USA</v>
      </c>
      <c r="C105" s="52" t="str">
        <f>IFERROR(__xludf.DUMMYFUNCTION("""COMPUTED_VALUE"""),"https://exothermic.co/")</f>
        <v>https://exothermic.co/</v>
      </c>
      <c r="D105" s="40"/>
      <c r="E105" s="40"/>
      <c r="F105" s="56" t="str">
        <f>IFERROR(__xludf.DUMMYFUNCTION("""COMPUTED_VALUE"""),"Megan Carriker")</f>
        <v>Megan Carriker</v>
      </c>
      <c r="G105" s="59" t="str">
        <f>IFERROR(__xludf.DUMMYFUNCTION("""COMPUTED_VALUE"""),"https://store.steampowered.com/publisher/Exothermic")</f>
        <v>https://store.steampowered.com/publisher/Exothermic</v>
      </c>
      <c r="H105" s="61" t="str">
        <f>IFERROR(__xludf.DUMMYFUNCTION("""COMPUTED_VALUE"""),"https://gamalytic.com/publisher/Exothermic")</f>
        <v>https://gamalytic.com/publisher/Exothermic</v>
      </c>
      <c r="I105" s="62">
        <f>IFERROR(__xludf.DUMMYFUNCTION("""COMPUTED_VALUE"""),85.0)</f>
        <v>85</v>
      </c>
      <c r="J105" s="63">
        <f>IFERROR(__xludf.DUMMYFUNCTION("""COMPUTED_VALUE"""),6.0)</f>
        <v>6</v>
      </c>
      <c r="K105" s="64" t="str">
        <f>IFERROR(__xludf.DUMMYFUNCTION("""COMPUTED_VALUE"""),"Jun 2024")</f>
        <v>Jun 2024</v>
      </c>
      <c r="L105" s="64" t="str">
        <f>IFERROR(__xludf.DUMMYFUNCTION("""COMPUTED_VALUE"""),"May 2026")</f>
        <v>May 2026</v>
      </c>
      <c r="M105" s="65">
        <f>IFERROR(__xludf.DUMMYFUNCTION("""COMPUTED_VALUE"""),1164606.0)</f>
        <v>1164606</v>
      </c>
      <c r="N105" s="65">
        <f>IFERROR(__xludf.DUMMYFUNCTION("""COMPUTED_VALUE"""),194101.0)</f>
        <v>194101</v>
      </c>
      <c r="O105" s="65">
        <f>IFERROR(__xludf.DUMMYFUNCTION("""COMPUTED_VALUE"""),121246.0)</f>
        <v>121246</v>
      </c>
      <c r="P105" s="66" t="str">
        <f>IFERROR(__xludf.DUMMYFUNCTION("""COMPUTED_VALUE"""),"Indie")</f>
        <v>Indie</v>
      </c>
      <c r="Q105" s="64" t="str">
        <f>IFERROR(__xludf.DUMMYFUNCTION("""COMPUTED_VALUE"""),"$, $$")</f>
        <v>$, $$</v>
      </c>
      <c r="R105" s="68"/>
      <c r="S105" s="25" t="str">
        <f>IFERROR(__xludf.DUMMYFUNCTION("""COMPUTED_VALUE"""),"Sci-fi")</f>
        <v>Sci-fi</v>
      </c>
      <c r="T105" s="40"/>
      <c r="U105" s="69" t="str">
        <f>IFERROR(__xludf.DUMMYFUNCTION("""COMPUTED_VALUE"""),"They support sci-fi games and gamers")</f>
        <v>They support sci-fi games and gamers</v>
      </c>
    </row>
    <row r="106">
      <c r="A106" s="49" t="str">
        <f>IFERROR(__xludf.DUMMYFUNCTION("""COMPUTED_VALUE"""),"Armor Games Studio")</f>
        <v>Armor Games Studio</v>
      </c>
      <c r="B106" s="40" t="str">
        <f>IFERROR(__xludf.DUMMYFUNCTION("""COMPUTED_VALUE"""),"USA")</f>
        <v>USA</v>
      </c>
      <c r="C106" s="52" t="str">
        <f>IFERROR(__xludf.DUMMYFUNCTION("""COMPUTED_VALUE"""),"https://armorgamesstudios.com")</f>
        <v>https://armorgamesstudios.com</v>
      </c>
      <c r="D106" s="55" t="str">
        <f>IFERROR(__xludf.DUMMYFUNCTION("""COMPUTED_VALUE"""),"https://armorgamesstudios.com/publishing")</f>
        <v>https://armorgamesstudios.com/publishing</v>
      </c>
      <c r="E106" s="40" t="str">
        <f>IFERROR(__xludf.DUMMYFUNCTION("""COMPUTED_VALUE"""),"pitch@armorgames.com")</f>
        <v>pitch@armorgames.com</v>
      </c>
      <c r="F106" s="56" t="str">
        <f>IFERROR(__xludf.DUMMYFUNCTION("""COMPUTED_VALUE"""),"?")</f>
        <v>?</v>
      </c>
      <c r="G106" s="59" t="str">
        <f>IFERROR(__xludf.DUMMYFUNCTION("""COMPUTED_VALUE"""),"https://store.steampowered.com/publisher/armorgamesstudios")</f>
        <v>https://store.steampowered.com/publisher/armorgamesstudios</v>
      </c>
      <c r="H106" s="61" t="str">
        <f>IFERROR(__xludf.DUMMYFUNCTION("""COMPUTED_VALUE"""),"https://gamalytic.com/publisher/Armor%20Games%20Studios")</f>
        <v>https://gamalytic.com/publisher/Armor%20Games%20Studios</v>
      </c>
      <c r="I106" s="62" t="str">
        <f>IFERROR(__xludf.DUMMYFUNCTION("""COMPUTED_VALUE"""),"28K")</f>
        <v>28K</v>
      </c>
      <c r="J106" s="63">
        <f>IFERROR(__xludf.DUMMYFUNCTION("""COMPUTED_VALUE"""),50.0)</f>
        <v>50</v>
      </c>
      <c r="K106" s="64" t="str">
        <f>IFERROR(__xludf.DUMMYFUNCTION("""COMPUTED_VALUE"""),"Apr 2015")</f>
        <v>Apr 2015</v>
      </c>
      <c r="L106" s="64" t="str">
        <f>IFERROR(__xludf.DUMMYFUNCTION("""COMPUTED_VALUE"""),"Oct 2026")</f>
        <v>Oct 2026</v>
      </c>
      <c r="M106" s="65">
        <f>IFERROR(__xludf.DUMMYFUNCTION("""COMPUTED_VALUE"""),2.6463116E7)</f>
        <v>26463116</v>
      </c>
      <c r="N106" s="65">
        <f>IFERROR(__xludf.DUMMYFUNCTION("""COMPUTED_VALUE"""),529262.32)</f>
        <v>529262.32</v>
      </c>
      <c r="O106" s="65">
        <f>IFERROR(__xludf.DUMMYFUNCTION("""COMPUTED_VALUE"""),121163.5)</f>
        <v>121163.5</v>
      </c>
      <c r="P106" s="66" t="str">
        <f>IFERROR(__xludf.DUMMYFUNCTION("""COMPUTED_VALUE"""),"Indie")</f>
        <v>Indie</v>
      </c>
      <c r="Q106" s="64" t="str">
        <f>IFERROR(__xludf.DUMMYFUNCTION("""COMPUTED_VALUE"""),"$, $$")</f>
        <v>$, $$</v>
      </c>
      <c r="R106" s="68" t="str">
        <f>IFERROR(__xludf.DUMMYFUNCTION("""COMPUTED_VALUE"""),"★★")</f>
        <v>★★</v>
      </c>
      <c r="S106" s="25" t="str">
        <f>IFERROR(__xludf.DUMMYFUNCTION("""COMPUTED_VALUE"""),"Survival, Platformer, Turn-Based Combat, Puzzle, Crafting, Tower Defense, Economy, Point &amp; Click, Life Sim, Roguelite")</f>
        <v>Survival, Platformer, Turn-Based Combat, Puzzle, Crafting, Tower Defense, Economy, Point &amp; Click, Life Sim, Roguelite</v>
      </c>
      <c r="T106" s="40" t="str">
        <f>IFERROR(__xludf.DUMMYFUNCTION("""COMPUTED_VALUE"""),"Bear &amp; Breakfast, The Last Stand")</f>
        <v>Bear &amp; Breakfast, The Last Stand</v>
      </c>
      <c r="U106" s="69" t="str">
        <f>IFERROR(__xludf.DUMMYFUNCTION("""COMPUTED_VALUE"""),"The high end of their budget range is $300k")</f>
        <v>The high end of their budget range is $300k</v>
      </c>
    </row>
    <row r="107">
      <c r="A107" s="49" t="str">
        <f>IFERROR(__xludf.DUMMYFUNCTION("""COMPUTED_VALUE"""),"Maximum Entertainment")</f>
        <v>Maximum Entertainment</v>
      </c>
      <c r="B107" s="40" t="str">
        <f>IFERROR(__xludf.DUMMYFUNCTION("""COMPUTED_VALUE"""),"USA")</f>
        <v>USA</v>
      </c>
      <c r="C107" s="52" t="str">
        <f>IFERROR(__xludf.DUMMYFUNCTION("""COMPUTED_VALUE"""),"https://maximument.com/")</f>
        <v>https://maximument.com/</v>
      </c>
      <c r="D107" s="40" t="str">
        <f>IFERROR(__xludf.DUMMYFUNCTION("""COMPUTED_VALUE"""),"-")</f>
        <v>-</v>
      </c>
      <c r="E107" s="55" t="str">
        <f>IFERROR(__xludf.DUMMYFUNCTION("""COMPUTED_VALUE"""),"https://maximument.com/publishing/")</f>
        <v>https://maximument.com/publishing/</v>
      </c>
      <c r="F107" s="56" t="str">
        <f>IFERROR(__xludf.DUMMYFUNCTION("""COMPUTED_VALUE"""),"Thierry Genre")</f>
        <v>Thierry Genre</v>
      </c>
      <c r="G107" s="59" t="str">
        <f>IFERROR(__xludf.DUMMYFUNCTION("""COMPUTED_VALUE"""),"https://store.steampowered.com/developer/maximumentertainment")</f>
        <v>https://store.steampowered.com/developer/maximumentertainment</v>
      </c>
      <c r="H107" s="61" t="str">
        <f>IFERROR(__xludf.DUMMYFUNCTION("""COMPUTED_VALUE"""),"https://gamalytic.com/publisher/Maximum%20Entertainment")</f>
        <v>https://gamalytic.com/publisher/Maximum%20Entertainment</v>
      </c>
      <c r="I107" s="62" t="str">
        <f>IFERROR(__xludf.DUMMYFUNCTION("""COMPUTED_VALUE"""),"11K")</f>
        <v>11K</v>
      </c>
      <c r="J107" s="63">
        <f>IFERROR(__xludf.DUMMYFUNCTION("""COMPUTED_VALUE"""),39.0)</f>
        <v>39</v>
      </c>
      <c r="K107" s="64" t="str">
        <f>IFERROR(__xludf.DUMMYFUNCTION("""COMPUTED_VALUE"""),"Sep 2018")</f>
        <v>Sep 2018</v>
      </c>
      <c r="L107" s="64" t="str">
        <f>IFERROR(__xludf.DUMMYFUNCTION("""COMPUTED_VALUE"""),"Jul 2026")</f>
        <v>Jul 2026</v>
      </c>
      <c r="M107" s="65">
        <f>IFERROR(__xludf.DUMMYFUNCTION("""COMPUTED_VALUE"""),1.8990335E7)</f>
        <v>18990335</v>
      </c>
      <c r="N107" s="65">
        <f>IFERROR(__xludf.DUMMYFUNCTION("""COMPUTED_VALUE"""),486931.666666666)</f>
        <v>486931.6667</v>
      </c>
      <c r="O107" s="65">
        <f>IFERROR(__xludf.DUMMYFUNCTION("""COMPUTED_VALUE"""),116736.0)</f>
        <v>116736</v>
      </c>
      <c r="P107" s="66" t="str">
        <f>IFERROR(__xludf.DUMMYFUNCTION("""COMPUTED_VALUE"""),"Indie")</f>
        <v>Indie</v>
      </c>
      <c r="Q107" s="64" t="str">
        <f>IFERROR(__xludf.DUMMYFUNCTION("""COMPUTED_VALUE"""),"$, $$")</f>
        <v>$, $$</v>
      </c>
      <c r="R107" s="68" t="str">
        <f>IFERROR(__xludf.DUMMYFUNCTION("""COMPUTED_VALUE"""),"★★★")</f>
        <v>★★★</v>
      </c>
      <c r="S107" s="25" t="str">
        <f>IFERROR(__xludf.DUMMYFUNCTION("""COMPUTED_VALUE"""),"Puzzle, Hack and Slash, Action-Adventure, 2D Platformer, Co-op, Platformer, Action RPG, Shooter, Metroidvania")</f>
        <v>Puzzle, Hack and Slash, Action-Adventure, 2D Platformer, Co-op, Platformer, Action RPG, Shooter, Metroidvania</v>
      </c>
      <c r="T107" s="40" t="str">
        <f>IFERROR(__xludf.DUMMYFUNCTION("""COMPUTED_VALUE"""),"Super Animal Royale, Afterimage")</f>
        <v>Super Animal Royale, Afterimage</v>
      </c>
      <c r="U107" s="69" t="str">
        <f>IFERROR(__xludf.DUMMYFUNCTION("""COMPUTED_VALUE"""),"Modus and Maximum Games are essentially the same company under different branding.")</f>
        <v>Modus and Maximum Games are essentially the same company under different branding.</v>
      </c>
    </row>
    <row r="108">
      <c r="A108" s="49" t="str">
        <f>IFERROR(__xludf.DUMMYFUNCTION("""COMPUTED_VALUE"""),"Blumhouse Games")</f>
        <v>Blumhouse Games</v>
      </c>
      <c r="B108" s="40" t="str">
        <f>IFERROR(__xludf.DUMMYFUNCTION("""COMPUTED_VALUE"""),"USA")</f>
        <v>USA</v>
      </c>
      <c r="C108" s="52" t="str">
        <f>IFERROR(__xludf.DUMMYFUNCTION("""COMPUTED_VALUE"""),"https://www.blumhouse.com/games")</f>
        <v>https://www.blumhouse.com/games</v>
      </c>
      <c r="D108" s="40"/>
      <c r="E108" s="40"/>
      <c r="F108" s="56"/>
      <c r="G108" s="59" t="str">
        <f>IFERROR(__xludf.DUMMYFUNCTION("""COMPUTED_VALUE"""),"https://store.steampowered.com/publisher/blumhousegames")</f>
        <v>https://store.steampowered.com/publisher/blumhousegames</v>
      </c>
      <c r="H108" s="61" t="str">
        <f>IFERROR(__xludf.DUMMYFUNCTION("""COMPUTED_VALUE"""),"https://gamalytic.com/publisher/Blumhouse%20Games")</f>
        <v>https://gamalytic.com/publisher/Blumhouse%20Games</v>
      </c>
      <c r="I108" s="62" t="str">
        <f>IFERROR(__xludf.DUMMYFUNCTION("""COMPUTED_VALUE"""),"9K")</f>
        <v>9K</v>
      </c>
      <c r="J108" s="63">
        <f>IFERROR(__xludf.DUMMYFUNCTION("""COMPUTED_VALUE"""),5.0)</f>
        <v>5</v>
      </c>
      <c r="K108" s="64" t="str">
        <f>IFERROR(__xludf.DUMMYFUNCTION("""COMPUTED_VALUE"""),"Sep 2023")</f>
        <v>Sep 2023</v>
      </c>
      <c r="L108" s="64" t="str">
        <f>IFERROR(__xludf.DUMMYFUNCTION("""COMPUTED_VALUE"""),"Feb 2026")</f>
        <v>Feb 2026</v>
      </c>
      <c r="M108" s="65">
        <f>IFERROR(__xludf.DUMMYFUNCTION("""COMPUTED_VALUE"""),1740218.0)</f>
        <v>1740218</v>
      </c>
      <c r="N108" s="65">
        <f>IFERROR(__xludf.DUMMYFUNCTION("""COMPUTED_VALUE"""),348043.6)</f>
        <v>348043.6</v>
      </c>
      <c r="O108" s="65">
        <f>IFERROR(__xludf.DUMMYFUNCTION("""COMPUTED_VALUE"""),116328.0)</f>
        <v>116328</v>
      </c>
      <c r="P108" s="66" t="str">
        <f>IFERROR(__xludf.DUMMYFUNCTION("""COMPUTED_VALUE"""),"Indie")</f>
        <v>Indie</v>
      </c>
      <c r="Q108" s="64" t="str">
        <f>IFERROR(__xludf.DUMMYFUNCTION("""COMPUTED_VALUE"""),"$, $$")</f>
        <v>$, $$</v>
      </c>
      <c r="R108" s="68"/>
      <c r="S108" s="25" t="str">
        <f>IFERROR(__xludf.DUMMYFUNCTION("""COMPUTED_VALUE"""),"Horror, FPS, Puzzle, Action-Adventure, Shooter, Survival Horror, Psychological Horror, Stealth")</f>
        <v>Horror, FPS, Puzzle, Action-Adventure, Shooter, Survival Horror, Psychological Horror, Stealth</v>
      </c>
      <c r="T108" s="40"/>
      <c r="U108" s="69" t="str">
        <f>IFERROR(__xludf.DUMMYFUNCTION("""COMPUTED_VALUE"""),"Looking for your new favorite horror game? Blumhouse Games slate is packed with every flavor of scares.")</f>
        <v>Looking for your new favorite horror game? Blumhouse Games slate is packed with every flavor of scares.</v>
      </c>
    </row>
    <row r="109">
      <c r="A109" s="49" t="str">
        <f>IFERROR(__xludf.DUMMYFUNCTION("""COMPUTED_VALUE"""),"PLAYISM")</f>
        <v>PLAYISM</v>
      </c>
      <c r="B109" s="40" t="str">
        <f>IFERROR(__xludf.DUMMYFUNCTION("""COMPUTED_VALUE"""),"Japan")</f>
        <v>Japan</v>
      </c>
      <c r="C109" s="52" t="str">
        <f>IFERROR(__xludf.DUMMYFUNCTION("""COMPUTED_VALUE"""),"https://playism.com/en/")</f>
        <v>https://playism.com/en/</v>
      </c>
      <c r="D109" s="40" t="str">
        <f>IFERROR(__xludf.DUMMYFUNCTION("""COMPUTED_VALUE"""),"-")</f>
        <v>-</v>
      </c>
      <c r="E109" s="55" t="str">
        <f>IFERROR(__xludf.DUMMYFUNCTION("""COMPUTED_VALUE"""),"https://playism.com/en/contact/")</f>
        <v>https://playism.com/en/contact/</v>
      </c>
      <c r="F109" s="56" t="str">
        <f>IFERROR(__xludf.DUMMYFUNCTION("""COMPUTED_VALUE"""),"-")</f>
        <v>-</v>
      </c>
      <c r="G109" s="59" t="str">
        <f>IFERROR(__xludf.DUMMYFUNCTION("""COMPUTED_VALUE"""),"https://store.steampowered.com/publisher/Playism")</f>
        <v>https://store.steampowered.com/publisher/Playism</v>
      </c>
      <c r="H109" s="61" t="str">
        <f>IFERROR(__xludf.DUMMYFUNCTION("""COMPUTED_VALUE"""),"https://gamalytic.com/publisher/PLAYISM")</f>
        <v>https://gamalytic.com/publisher/PLAYISM</v>
      </c>
      <c r="I109" s="62" t="str">
        <f>IFERROR(__xludf.DUMMYFUNCTION("""COMPUTED_VALUE"""),"115K")</f>
        <v>115K</v>
      </c>
      <c r="J109" s="63" t="str">
        <f>IFERROR(__xludf.DUMMYFUNCTION("""COMPUTED_VALUE"""),"130")</f>
        <v>130</v>
      </c>
      <c r="K109" s="64" t="str">
        <f>IFERROR(__xludf.DUMMYFUNCTION("""COMPUTED_VALUE"""),"Sep 2012")</f>
        <v>Sep 2012</v>
      </c>
      <c r="L109" s="64" t="str">
        <f>IFERROR(__xludf.DUMMYFUNCTION("""COMPUTED_VALUE"""),"Jul 2026")</f>
        <v>Jul 2026</v>
      </c>
      <c r="M109" s="65">
        <f>IFERROR(__xludf.DUMMYFUNCTION("""COMPUTED_VALUE"""),8.4191238E7)</f>
        <v>84191238</v>
      </c>
      <c r="N109" s="65">
        <f>IFERROR(__xludf.DUMMYFUNCTION("""COMPUTED_VALUE"""),647624.907692307)</f>
        <v>647624.9077</v>
      </c>
      <c r="O109" s="65">
        <f>IFERROR(__xludf.DUMMYFUNCTION("""COMPUTED_VALUE"""),115223.5)</f>
        <v>115223.5</v>
      </c>
      <c r="P109" s="66" t="str">
        <f>IFERROR(__xludf.DUMMYFUNCTION("""COMPUTED_VALUE"""),"AA")</f>
        <v>AA</v>
      </c>
      <c r="Q109" s="64" t="str">
        <f>IFERROR(__xludf.DUMMYFUNCTION("""COMPUTED_VALUE"""),"$$, $$$")</f>
        <v>$$, $$$</v>
      </c>
      <c r="R109" s="68" t="str">
        <f>IFERROR(__xludf.DUMMYFUNCTION("""COMPUTED_VALUE"""),"★★★")</f>
        <v>★★★</v>
      </c>
      <c r="S109" s="25" t="str">
        <f>IFERROR(__xludf.DUMMYFUNCTION("""COMPUTED_VALUE"""),"Visual Novel, Puzzle, Horror, Psychological Horror, Shooter, Hack and Slash, Platformer, FPS, Metroidvania")</f>
        <v>Visual Novel, Puzzle, Horror, Psychological Horror, Shooter, Hack and Slash, Platformer, FPS, Metroidvania</v>
      </c>
      <c r="T109" s="40" t="str">
        <f>IFERROR(__xludf.DUMMYFUNCTION("""COMPUTED_VALUE"""),"Bright Memory: Infinite, VA-11 Hall-A: Cyberpunk Bartender Action, SIGNALIS, WORLD OF HORROR")</f>
        <v>Bright Memory: Infinite, VA-11 Hall-A: Cyberpunk Bartender Action, SIGNALIS, WORLD OF HORROR</v>
      </c>
      <c r="U109" s="69" t="str">
        <f>IFERROR(__xludf.DUMMYFUNCTION("""COMPUTED_VALUE"""),"Japan's biggest indie publisher, focused on introducing indies to the Asian market, and helping Asian developers reach worldwide audiences. Part of AGM (oldest Japanese localization company), AUTOMATON (major gaming media site), and Graph PR (Asia PR and "&amp;"marketing brand)")</f>
        <v>Japan's biggest indie publisher, focused on introducing indies to the Asian market, and helping Asian developers reach worldwide audiences. Part of AGM (oldest Japanese localization company), AUTOMATON (major gaming media site), and Graph PR (Asia PR and marketing brand)</v>
      </c>
    </row>
    <row r="110">
      <c r="A110" s="49" t="str">
        <f>IFERROR(__xludf.DUMMYFUNCTION("""COMPUTED_VALUE"""),"Neverland Entertainment")</f>
        <v>Neverland Entertainment</v>
      </c>
      <c r="B110" s="40" t="str">
        <f>IFERROR(__xludf.DUMMYFUNCTION("""COMPUTED_VALUE"""),"China")</f>
        <v>China</v>
      </c>
      <c r="C110" s="52" t="str">
        <f>IFERROR(__xludf.DUMMYFUNCTION("""COMPUTED_VALUE"""),"https://www.nlentmt.com/")</f>
        <v>https://www.nlentmt.com/</v>
      </c>
      <c r="D110" s="40" t="str">
        <f>IFERROR(__xludf.DUMMYFUNCTION("""COMPUTED_VALUE"""),"-")</f>
        <v>-</v>
      </c>
      <c r="E110" s="40" t="str">
        <f>IFERROR(__xludf.DUMMYFUNCTION("""COMPUTED_VALUE"""),"?")</f>
        <v>?</v>
      </c>
      <c r="F110" s="56" t="str">
        <f>IFERROR(__xludf.DUMMYFUNCTION("""COMPUTED_VALUE"""),"?")</f>
        <v>?</v>
      </c>
      <c r="G110" s="59" t="str">
        <f>IFERROR(__xludf.DUMMYFUNCTION("""COMPUTED_VALUE"""),"https://store.steampowered.com/publisher/Neverland")</f>
        <v>https://store.steampowered.com/publisher/Neverland</v>
      </c>
      <c r="H110" s="61" t="str">
        <f>IFERROR(__xludf.DUMMYFUNCTION("""COMPUTED_VALUE"""),"https://gamalytic.com/publisher/Neverland%20Entertainment")</f>
        <v>https://gamalytic.com/publisher/Neverland%20Entertainment</v>
      </c>
      <c r="I110" s="62" t="str">
        <f>IFERROR(__xludf.DUMMYFUNCTION("""COMPUTED_VALUE"""),"2K")</f>
        <v>2K</v>
      </c>
      <c r="J110" s="63">
        <f>IFERROR(__xludf.DUMMYFUNCTION("""COMPUTED_VALUE"""),15.0)</f>
        <v>15</v>
      </c>
      <c r="K110" s="64" t="str">
        <f>IFERROR(__xludf.DUMMYFUNCTION("""COMPUTED_VALUE"""),"Jul 2022")</f>
        <v>Jul 2022</v>
      </c>
      <c r="L110" s="64" t="str">
        <f>IFERROR(__xludf.DUMMYFUNCTION("""COMPUTED_VALUE"""),"Aug 2026")</f>
        <v>Aug 2026</v>
      </c>
      <c r="M110" s="65">
        <f>IFERROR(__xludf.DUMMYFUNCTION("""COMPUTED_VALUE"""),1.9025591E7)</f>
        <v>19025591</v>
      </c>
      <c r="N110" s="65">
        <f>IFERROR(__xludf.DUMMYFUNCTION("""COMPUTED_VALUE"""),1268372.73333333)</f>
        <v>1268372.733</v>
      </c>
      <c r="O110" s="65">
        <f>IFERROR(__xludf.DUMMYFUNCTION("""COMPUTED_VALUE"""),114971.0)</f>
        <v>114971</v>
      </c>
      <c r="P110" s="66" t="str">
        <f>IFERROR(__xludf.DUMMYFUNCTION("""COMPUTED_VALUE"""),"Indie")</f>
        <v>Indie</v>
      </c>
      <c r="Q110" s="64" t="str">
        <f>IFERROR(__xludf.DUMMYFUNCTION("""COMPUTED_VALUE"""),"$, $$")</f>
        <v>$, $$</v>
      </c>
      <c r="R110" s="68" t="str">
        <f>IFERROR(__xludf.DUMMYFUNCTION("""COMPUTED_VALUE"""),"★★★")</f>
        <v>★★★</v>
      </c>
      <c r="S110" s="25" t="str">
        <f>IFERROR(__xludf.DUMMYFUNCTION("""COMPUTED_VALUE"""),"Psychological Horror, Metroidvania, Action-Adventure, Bullet Hell, Puzzle, Visual Novel, 2D Platformer, Platformer, Escape Room, Typing")</f>
        <v>Psychological Horror, Metroidvania, Action-Adventure, Bullet Hell, Puzzle, Visual Novel, 2D Platformer, Platformer, Escape Room, Typing</v>
      </c>
      <c r="T110" s="40" t="str">
        <f>IFERROR(__xludf.DUMMYFUNCTION("""COMPUTED_VALUE"""),"Astral Party, TEVI, Copycat")</f>
        <v>Astral Party, TEVI, Copycat</v>
      </c>
      <c r="U110" s="69" t="str">
        <f>IFERROR(__xludf.DUMMYFUNCTION("""COMPUTED_VALUE"""),"Neverland Entertainment is a production company focus on high quality game produce and publishing for global market. Covering PC, Console and mobile platform, we have different studios to work on different game titles with different categories of game pla"&amp;"y and experience.")</f>
        <v>Neverland Entertainment is a production company focus on high quality game produce and publishing for global market. Covering PC, Console and mobile platform, we have different studios to work on different game titles with different categories of game play and experience.</v>
      </c>
    </row>
    <row r="111">
      <c r="A111" s="49" t="str">
        <f>IFERROR(__xludf.DUMMYFUNCTION("""COMPUTED_VALUE"""),"DreadXP")</f>
        <v>DreadXP</v>
      </c>
      <c r="B111" s="40" t="str">
        <f>IFERROR(__xludf.DUMMYFUNCTION("""COMPUTED_VALUE"""),"USA")</f>
        <v>USA</v>
      </c>
      <c r="C111" s="52" t="str">
        <f>IFERROR(__xludf.DUMMYFUNCTION("""COMPUTED_VALUE"""),"https://www.dreadxp.com/")</f>
        <v>https://www.dreadxp.com/</v>
      </c>
      <c r="D111" s="40" t="str">
        <f>IFERROR(__xludf.DUMMYFUNCTION("""COMPUTED_VALUE"""),"-")</f>
        <v>-</v>
      </c>
      <c r="E111" s="40" t="str">
        <f>IFERROR(__xludf.DUMMYFUNCTION("""COMPUTED_VALUE"""),"pitches@dreadxp.com")</f>
        <v>pitches@dreadxp.com</v>
      </c>
      <c r="F111" s="56" t="str">
        <f>IFERROR(__xludf.DUMMYFUNCTION("""COMPUTED_VALUE"""),"Henry Hoare")</f>
        <v>Henry Hoare</v>
      </c>
      <c r="G111" s="59" t="str">
        <f>IFERROR(__xludf.DUMMYFUNCTION("""COMPUTED_VALUE"""),"https://store.steampowered.com/publisher/DreadXP")</f>
        <v>https://store.steampowered.com/publisher/DreadXP</v>
      </c>
      <c r="H111" s="61" t="str">
        <f>IFERROR(__xludf.DUMMYFUNCTION("""COMPUTED_VALUE"""),"https://gamalytic.com/publisher/DreadXP")</f>
        <v>https://gamalytic.com/publisher/DreadXP</v>
      </c>
      <c r="I111" s="62" t="str">
        <f>IFERROR(__xludf.DUMMYFUNCTION("""COMPUTED_VALUE"""),"16K")</f>
        <v>16K</v>
      </c>
      <c r="J111" s="63">
        <f>IFERROR(__xludf.DUMMYFUNCTION("""COMPUTED_VALUE"""),30.0)</f>
        <v>30</v>
      </c>
      <c r="K111" s="64" t="str">
        <f>IFERROR(__xludf.DUMMYFUNCTION("""COMPUTED_VALUE"""),"May 2020")</f>
        <v>May 2020</v>
      </c>
      <c r="L111" s="64" t="str">
        <f>IFERROR(__xludf.DUMMYFUNCTION("""COMPUTED_VALUE"""),"Sep 2026")</f>
        <v>Sep 2026</v>
      </c>
      <c r="M111" s="65">
        <f>IFERROR(__xludf.DUMMYFUNCTION("""COMPUTED_VALUE"""),2.2366841E7)</f>
        <v>22366841</v>
      </c>
      <c r="N111" s="65">
        <f>IFERROR(__xludf.DUMMYFUNCTION("""COMPUTED_VALUE"""),745561.366666666)</f>
        <v>745561.3667</v>
      </c>
      <c r="O111" s="65">
        <f>IFERROR(__xludf.DUMMYFUNCTION("""COMPUTED_VALUE"""),104445.5)</f>
        <v>104445.5</v>
      </c>
      <c r="P111" s="66" t="str">
        <f>IFERROR(__xludf.DUMMYFUNCTION("""COMPUTED_VALUE"""),"Indie")</f>
        <v>Indie</v>
      </c>
      <c r="Q111" s="64" t="str">
        <f>IFERROR(__xludf.DUMMYFUNCTION("""COMPUTED_VALUE"""),"$, $$")</f>
        <v>$, $$</v>
      </c>
      <c r="R111" s="68" t="str">
        <f>IFERROR(__xludf.DUMMYFUNCTION("""COMPUTED_VALUE"""),"★")</f>
        <v>★</v>
      </c>
      <c r="S111" s="25" t="str">
        <f>IFERROR(__xludf.DUMMYFUNCTION("""COMPUTED_VALUE"""),"Horror, Survival Horror, Puzzle, Psychological Horror, FPS")</f>
        <v>Horror, Survival Horror, Puzzle, Psychological Horror, FPS</v>
      </c>
      <c r="T111" s="40" t="str">
        <f>IFERROR(__xludf.DUMMYFUNCTION("""COMPUTED_VALUE"""),"Sucker For Love: First Date, Mortuary Assistant, Amanda ojd Adventurer")</f>
        <v>Sucker For Love: First Date, Mortuary Assistant, Amanda ojd Adventurer</v>
      </c>
      <c r="U111" s="69" t="str">
        <f>IFERROR(__xludf.DUMMYFUNCTION("""COMPUTED_VALUE"""),"Publishes indie horror games. Developer run publisher - majority of staff are game developers themselves. Got started in 2020 with a recurring series of anthology games (Dread X Collection) where they pay developers to create game-jam-style game around a "&amp;"central theme. Good way to get foot in the door and get paid.")</f>
        <v>Publishes indie horror games. Developer run publisher - majority of staff are game developers themselves. Got started in 2020 with a recurring series of anthology games (Dread X Collection) where they pay developers to create game-jam-style game around a central theme. Good way to get foot in the door and get paid.</v>
      </c>
    </row>
    <row r="112">
      <c r="A112" s="49" t="str">
        <f>IFERROR(__xludf.DUMMYFUNCTION("""COMPUTED_VALUE"""),"Ancient Forge")</f>
        <v>Ancient Forge</v>
      </c>
      <c r="B112" s="40" t="str">
        <f>IFERROR(__xludf.DUMMYFUNCTION("""COMPUTED_VALUE"""),"Poland")</f>
        <v>Poland</v>
      </c>
      <c r="C112" s="52" t="str">
        <f>IFERROR(__xludf.DUMMYFUNCTION("""COMPUTED_VALUE"""),"https://ancientforgestudio.com/")</f>
        <v>https://ancientforgestudio.com/</v>
      </c>
      <c r="D112" s="40" t="str">
        <f>IFERROR(__xludf.DUMMYFUNCTION("""COMPUTED_VALUE"""),"-")</f>
        <v>-</v>
      </c>
      <c r="E112" s="40" t="str">
        <f>IFERROR(__xludf.DUMMYFUNCTION("""COMPUTED_VALUE"""),"contact@ancientforgestudio.com")</f>
        <v>contact@ancientforgestudio.com</v>
      </c>
      <c r="F112" s="56" t="str">
        <f>IFERROR(__xludf.DUMMYFUNCTION("""COMPUTED_VALUE"""),"Dushan Chaciej")</f>
        <v>Dushan Chaciej</v>
      </c>
      <c r="G112" s="59" t="str">
        <f>IFERROR(__xludf.DUMMYFUNCTION("""COMPUTED_VALUE"""),"https://store.steampowered.com/developer/ancientforge")</f>
        <v>https://store.steampowered.com/developer/ancientforge</v>
      </c>
      <c r="H112" s="61" t="str">
        <f>IFERROR(__xludf.DUMMYFUNCTION("""COMPUTED_VALUE"""),"https://gamalytic.com/publisher/Ancient%20Forge")</f>
        <v>https://gamalytic.com/publisher/Ancient%20Forge</v>
      </c>
      <c r="I112" s="62" t="str">
        <f>IFERROR(__xludf.DUMMYFUNCTION("""COMPUTED_VALUE"""),"1K")</f>
        <v>1K</v>
      </c>
      <c r="J112" s="63">
        <f>IFERROR(__xludf.DUMMYFUNCTION("""COMPUTED_VALUE"""),1.0)</f>
        <v>1</v>
      </c>
      <c r="K112" s="64" t="str">
        <f>IFERROR(__xludf.DUMMYFUNCTION("""COMPUTED_VALUE"""),"Dec 2024")</f>
        <v>Dec 2024</v>
      </c>
      <c r="L112" s="64" t="str">
        <f>IFERROR(__xludf.DUMMYFUNCTION("""COMPUTED_VALUE"""),"Dec 2024")</f>
        <v>Dec 2024</v>
      </c>
      <c r="M112" s="65">
        <f>IFERROR(__xludf.DUMMYFUNCTION("""COMPUTED_VALUE"""),104114.0)</f>
        <v>104114</v>
      </c>
      <c r="N112" s="65">
        <f>IFERROR(__xludf.DUMMYFUNCTION("""COMPUTED_VALUE"""),104114.0)</f>
        <v>104114</v>
      </c>
      <c r="O112" s="65">
        <f>IFERROR(__xludf.DUMMYFUNCTION("""COMPUTED_VALUE"""),104114.0)</f>
        <v>104114</v>
      </c>
      <c r="P112" s="66" t="str">
        <f>IFERROR(__xludf.DUMMYFUNCTION("""COMPUTED_VALUE"""),"Indie")</f>
        <v>Indie</v>
      </c>
      <c r="Q112" s="64" t="str">
        <f>IFERROR(__xludf.DUMMYFUNCTION("""COMPUTED_VALUE"""),"$")</f>
        <v>$</v>
      </c>
      <c r="R112" s="68" t="str">
        <f>IFERROR(__xludf.DUMMYFUNCTION("""COMPUTED_VALUE"""),"?")</f>
        <v>?</v>
      </c>
      <c r="S112" s="25" t="str">
        <f>IFERROR(__xludf.DUMMYFUNCTION("""COMPUTED_VALUE"""),"Tactical RPG, Turn-Based Tactics, Sandbox, PvP, Strategy RPG, Party-Based RPG, Turn-Based Strategy")</f>
        <v>Tactical RPG, Turn-Based Tactics, Sandbox, PvP, Strategy RPG, Party-Based RPG, Turn-Based Strategy</v>
      </c>
      <c r="T112" s="40" t="str">
        <f>IFERROR(__xludf.DUMMYFUNCTION("""COMPUTED_VALUE"""),"The Tenants")</f>
        <v>The Tenants</v>
      </c>
      <c r="U112" s="69" t="str">
        <f>IFERROR(__xludf.DUMMYFUNCTION("""COMPUTED_VALUE"""),"-")</f>
        <v>-</v>
      </c>
    </row>
    <row r="113">
      <c r="A113" s="49" t="str">
        <f>IFERROR(__xludf.DUMMYFUNCTION("""COMPUTED_VALUE"""),"CubeGame")</f>
        <v>CubeGame</v>
      </c>
      <c r="B113" s="40" t="str">
        <f>IFERROR(__xludf.DUMMYFUNCTION("""COMPUTED_VALUE"""),"China")</f>
        <v>China</v>
      </c>
      <c r="C113" s="52" t="str">
        <f>IFERROR(__xludf.DUMMYFUNCTION("""COMPUTED_VALUE"""),"https://5icube.com/index.html")</f>
        <v>https://5icube.com/index.html</v>
      </c>
      <c r="D113" s="40" t="str">
        <f>IFERROR(__xludf.DUMMYFUNCTION("""COMPUTED_VALUE"""),"-")</f>
        <v>-</v>
      </c>
      <c r="E113" s="55" t="str">
        <f>IFERROR(__xludf.DUMMYFUNCTION("""COMPUTED_VALUE"""),"publishing@5icube.com")</f>
        <v>publishing@5icube.com</v>
      </c>
      <c r="F113" s="56" t="str">
        <f>IFERROR(__xludf.DUMMYFUNCTION("""COMPUTED_VALUE"""),"Ziya Wei")</f>
        <v>Ziya Wei</v>
      </c>
      <c r="G113" s="59" t="str">
        <f>IFERROR(__xludf.DUMMYFUNCTION("""COMPUTED_VALUE"""),"https://store.steampowered.com/developer/CubeGame")</f>
        <v>https://store.steampowered.com/developer/CubeGame</v>
      </c>
      <c r="H113" s="61" t="str">
        <f>IFERROR(__xludf.DUMMYFUNCTION("""COMPUTED_VALUE"""),"https://gamalytic.com/publisher/%E6%96%B9%E5%9D%97%E6%B8%B8%E6%88%8F%20(CubeGame)")</f>
        <v>https://gamalytic.com/publisher/%E6%96%B9%E5%9D%97%E6%B8%B8%E6%88%8F%20(CubeGame)</v>
      </c>
      <c r="I113" s="62" t="str">
        <f>IFERROR(__xludf.DUMMYFUNCTION("""COMPUTED_VALUE"""),"27K")</f>
        <v>27K</v>
      </c>
      <c r="J113" s="63">
        <f>IFERROR(__xludf.DUMMYFUNCTION("""COMPUTED_VALUE"""),36.0)</f>
        <v>36</v>
      </c>
      <c r="K113" s="64" t="str">
        <f>IFERROR(__xludf.DUMMYFUNCTION("""COMPUTED_VALUE"""),"Feb 2016")</f>
        <v>Feb 2016</v>
      </c>
      <c r="L113" s="64" t="str">
        <f>IFERROR(__xludf.DUMMYFUNCTION("""COMPUTED_VALUE"""),"Jan 2026")</f>
        <v>Jan 2026</v>
      </c>
      <c r="M113" s="65">
        <f>IFERROR(__xludf.DUMMYFUNCTION("""COMPUTED_VALUE"""),2.93393866E8)</f>
        <v>293393866</v>
      </c>
      <c r="N113" s="65">
        <f>IFERROR(__xludf.DUMMYFUNCTION("""COMPUTED_VALUE"""),8149829.61111111)</f>
        <v>8149829.611</v>
      </c>
      <c r="O113" s="65">
        <f>IFERROR(__xludf.DUMMYFUNCTION("""COMPUTED_VALUE"""),100667.0)</f>
        <v>100667</v>
      </c>
      <c r="P113" s="66" t="str">
        <f>IFERROR(__xludf.DUMMYFUNCTION("""COMPUTED_VALUE"""),"AA")</f>
        <v>AA</v>
      </c>
      <c r="Q113" s="64" t="str">
        <f>IFERROR(__xludf.DUMMYFUNCTION("""COMPUTED_VALUE"""),"$$, $$$")</f>
        <v>$$, $$$</v>
      </c>
      <c r="R113" s="68" t="str">
        <f>IFERROR(__xludf.DUMMYFUNCTION("""COMPUTED_VALUE"""),"★★★")</f>
        <v>★★★</v>
      </c>
      <c r="S113" s="25" t="str">
        <f>IFERROR(__xludf.DUMMYFUNCTION("""COMPUTED_VALUE"""),"Souls-like, Open World, Stealth, Martial Arts")</f>
        <v>Souls-like, Open World, Stealth, Martial Arts</v>
      </c>
      <c r="T113" s="40" t="str">
        <f>IFERROR(__xludf.DUMMYFUNCTION("""COMPUTED_VALUE"""),"Sekiro: Shadows Die Twice, Sword and Fairy 7, The Swordsmen X")</f>
        <v>Sekiro: Shadows Die Twice, Sword and Fairy 7, The Swordsmen X</v>
      </c>
      <c r="U113" s="69" t="str">
        <f>IFERROR(__xludf.DUMMYFUNCTION("""COMPUTED_VALUE"""),"They help games with funding, QA testing, localization, porting, marketing, licensing, and distribution inside mainland China.")</f>
        <v>They help games with funding, QA testing, localization, porting, marketing, licensing, and distribution inside mainland China.</v>
      </c>
    </row>
    <row r="114">
      <c r="A114" s="49" t="str">
        <f>IFERROR(__xludf.DUMMYFUNCTION("""COMPUTED_VALUE"""),"Headup")</f>
        <v>Headup</v>
      </c>
      <c r="B114" s="40" t="str">
        <f>IFERROR(__xludf.DUMMYFUNCTION("""COMPUTED_VALUE"""),"Germany")</f>
        <v>Germany</v>
      </c>
      <c r="C114" s="52" t="str">
        <f>IFERROR(__xludf.DUMMYFUNCTION("""COMPUTED_VALUE"""),"https://twitter.com/HeadupGames")</f>
        <v>https://twitter.com/HeadupGames</v>
      </c>
      <c r="D114" s="40" t="str">
        <f>IFERROR(__xludf.DUMMYFUNCTION("""COMPUTED_VALUE"""),"-")</f>
        <v>-</v>
      </c>
      <c r="E114" s="40" t="str">
        <f>IFERROR(__xludf.DUMMYFUNCTION("""COMPUTED_VALUE"""),"info@headupgames.com")</f>
        <v>info@headupgames.com</v>
      </c>
      <c r="F114" s="56" t="str">
        <f>IFERROR(__xludf.DUMMYFUNCTION("""COMPUTED_VALUE"""),"Julia Kenny")</f>
        <v>Julia Kenny</v>
      </c>
      <c r="G114" s="59" t="str">
        <f>IFERROR(__xludf.DUMMYFUNCTION("""COMPUTED_VALUE"""),"https://store.steampowered.com/publisher/Headup")</f>
        <v>https://store.steampowered.com/publisher/Headup</v>
      </c>
      <c r="H114" s="61" t="str">
        <f>IFERROR(__xludf.DUMMYFUNCTION("""COMPUTED_VALUE"""),"https://gamalytic.com/publisher/Headup%20Publishing")</f>
        <v>https://gamalytic.com/publisher/Headup%20Publishing</v>
      </c>
      <c r="I114" s="62" t="str">
        <f>IFERROR(__xludf.DUMMYFUNCTION("""COMPUTED_VALUE"""),"28K")</f>
        <v>28K</v>
      </c>
      <c r="J114" s="63">
        <f>IFERROR(__xludf.DUMMYFUNCTION("""COMPUTED_VALUE"""),72.0)</f>
        <v>72</v>
      </c>
      <c r="K114" s="64" t="str">
        <f>IFERROR(__xludf.DUMMYFUNCTION("""COMPUTED_VALUE"""),"Sep 2013")</f>
        <v>Sep 2013</v>
      </c>
      <c r="L114" s="64" t="str">
        <f>IFERROR(__xludf.DUMMYFUNCTION("""COMPUTED_VALUE"""),"Oct 2026")</f>
        <v>Oct 2026</v>
      </c>
      <c r="M114" s="65">
        <f>IFERROR(__xludf.DUMMYFUNCTION("""COMPUTED_VALUE"""),2.4232954E7)</f>
        <v>24232954</v>
      </c>
      <c r="N114" s="65">
        <f>IFERROR(__xludf.DUMMYFUNCTION("""COMPUTED_VALUE"""),336568.805555555)</f>
        <v>336568.8056</v>
      </c>
      <c r="O114" s="65">
        <f>IFERROR(__xludf.DUMMYFUNCTION("""COMPUTED_VALUE"""),99961.0)</f>
        <v>99961</v>
      </c>
      <c r="P114" s="66" t="str">
        <f>IFERROR(__xludf.DUMMYFUNCTION("""COMPUTED_VALUE"""),"Indie")</f>
        <v>Indie</v>
      </c>
      <c r="Q114" s="64" t="str">
        <f>IFERROR(__xludf.DUMMYFUNCTION("""COMPUTED_VALUE"""),"$, $$")</f>
        <v>$, $$</v>
      </c>
      <c r="R114" s="68" t="str">
        <f>IFERROR(__xludf.DUMMYFUNCTION("""COMPUTED_VALUE"""),"?")</f>
        <v>?</v>
      </c>
      <c r="S114" s="25" t="str">
        <f>IFERROR(__xludf.DUMMYFUNCTION("""COMPUTED_VALUE"""),"Puzzle, Logic, Survival, Crafting, Sandbox, Co-op, 3D Platformer, Action-Adventure, Roguelike")</f>
        <v>Puzzle, Logic, Survival, Crafting, Sandbox, Co-op, 3D Platformer, Action-Adventure, Roguelike</v>
      </c>
      <c r="T114" s="40" t="str">
        <f>IFERROR(__xludf.DUMMYFUNCTION("""COMPUTED_VALUE"""),"Bridge Constructor Portal, Pumpkin Jack, Dead Age, Tinkertown")</f>
        <v>Bridge Constructor Portal, Pumpkin Jack, Dead Age, Tinkertown</v>
      </c>
      <c r="U114" s="69" t="str">
        <f>IFERROR(__xludf.DUMMYFUNCTION("""COMPUTED_VALUE"""),"Looking for physics, sandbox or social games. Owned by Thunderful, but running a separate indie-focused publishing unit. Bad revenue share (50/50 split) for marketing only deals. They only do minimal marketing most of the time. They will do in-house conso"&amp;"le porting at ""no extra cost"" (50/50 split) if they think the title fits. Their revenue breakdown is rather intransparent.")</f>
        <v>Looking for physics, sandbox or social games. Owned by Thunderful, but running a separate indie-focused publishing unit. Bad revenue share (50/50 split) for marketing only deals. They only do minimal marketing most of the time. They will do in-house console porting at "no extra cost" (50/50 split) if they think the title fits. Their revenue breakdown is rather intransparent.</v>
      </c>
    </row>
    <row r="115">
      <c r="A115" s="49" t="str">
        <f>IFERROR(__xludf.DUMMYFUNCTION("""COMPUTED_VALUE"""),"Gamirror Games")</f>
        <v>Gamirror Games</v>
      </c>
      <c r="B115" s="40" t="str">
        <f>IFERROR(__xludf.DUMMYFUNCTION("""COMPUTED_VALUE"""),"China")</f>
        <v>China</v>
      </c>
      <c r="C115" s="52" t="str">
        <f>IFERROR(__xludf.DUMMYFUNCTION("""COMPUTED_VALUE"""),"https://www.gamirrorgames.com/")</f>
        <v>https://www.gamirrorgames.com/</v>
      </c>
      <c r="D115" s="40" t="str">
        <f>IFERROR(__xludf.DUMMYFUNCTION("""COMPUTED_VALUE"""),"-")</f>
        <v>-</v>
      </c>
      <c r="E115" s="55" t="str">
        <f>IFERROR(__xludf.DUMMYFUNCTION("""COMPUTED_VALUE"""),"https://www.gamirrorgames.com/contact")</f>
        <v>https://www.gamirrorgames.com/contact</v>
      </c>
      <c r="F115" s="56" t="str">
        <f>IFERROR(__xludf.DUMMYFUNCTION("""COMPUTED_VALUE"""),"Uzuki Tachibana")</f>
        <v>Uzuki Tachibana</v>
      </c>
      <c r="G115" s="59" t="str">
        <f>IFERROR(__xludf.DUMMYFUNCTION("""COMPUTED_VALUE"""),"https://store.steampowered.com/publisher/gamirrorgames")</f>
        <v>https://store.steampowered.com/publisher/gamirrorgames</v>
      </c>
      <c r="H115" s="61" t="str">
        <f>IFERROR(__xludf.DUMMYFUNCTION("""COMPUTED_VALUE"""),"https://gamalytic.com/publisher/Gamera%20Games")</f>
        <v>https://gamalytic.com/publisher/Gamera%20Games</v>
      </c>
      <c r="I115" s="62" t="str">
        <f>IFERROR(__xludf.DUMMYFUNCTION("""COMPUTED_VALUE"""),"50K")</f>
        <v>50K</v>
      </c>
      <c r="J115" s="63">
        <f>IFERROR(__xludf.DUMMYFUNCTION("""COMPUTED_VALUE"""),111.0)</f>
        <v>111</v>
      </c>
      <c r="K115" s="64" t="str">
        <f>IFERROR(__xludf.DUMMYFUNCTION("""COMPUTED_VALUE"""),"Jun 2017")</f>
        <v>Jun 2017</v>
      </c>
      <c r="L115" s="64" t="str">
        <f>IFERROR(__xludf.DUMMYFUNCTION("""COMPUTED_VALUE"""),"Oct 2026")</f>
        <v>Oct 2026</v>
      </c>
      <c r="M115" s="65">
        <f>IFERROR(__xludf.DUMMYFUNCTION("""COMPUTED_VALUE"""),1.51145954E8)</f>
        <v>151145954</v>
      </c>
      <c r="N115" s="65">
        <f>IFERROR(__xludf.DUMMYFUNCTION("""COMPUTED_VALUE"""),1361675.26126126)</f>
        <v>1361675.261</v>
      </c>
      <c r="O115" s="65">
        <f>IFERROR(__xludf.DUMMYFUNCTION("""COMPUTED_VALUE"""),95669.0)</f>
        <v>95669</v>
      </c>
      <c r="P115" s="66" t="str">
        <f>IFERROR(__xludf.DUMMYFUNCTION("""COMPUTED_VALUE"""),"AA")</f>
        <v>AA</v>
      </c>
      <c r="Q115" s="64" t="str">
        <f>IFERROR(__xludf.DUMMYFUNCTION("""COMPUTED_VALUE"""),"$$, $$$")</f>
        <v>$$, $$$</v>
      </c>
      <c r="R115" s="68" t="str">
        <f>IFERROR(__xludf.DUMMYFUNCTION("""COMPUTED_VALUE"""),"★")</f>
        <v>★</v>
      </c>
      <c r="S115" s="25" t="str">
        <f>IFERROR(__xludf.DUMMYFUNCTION("""COMPUTED_VALUE"""),"Horror, Psychological Horror, Puzzle, Dating Sim, Roguelite")</f>
        <v>Horror, Psychological Horror, Puzzle, Dating Sim, Roguelite</v>
      </c>
      <c r="T115" s="40" t="str">
        <f>IFERROR(__xludf.DUMMYFUNCTION("""COMPUTED_VALUE"""),"Dyson Sphere Program, Volcano Princess, Homicipher, Iconoclasts(China), TMNT Shredder's Revenge(China), RiME(China)")</f>
        <v>Dyson Sphere Program, Volcano Princess, Homicipher, Iconoclasts(China), TMNT Shredder's Revenge(China), RiME(China)</v>
      </c>
      <c r="U115" s="69" t="str">
        <f>IFERROR(__xludf.DUMMYFUNCTION("""COMPUTED_VALUE"""),"They are known for Dyson Sphere Program, but have published games in different genres. Previously known as Gamera Games, rebranding with the name of Gamirror Games.")</f>
        <v>They are known for Dyson Sphere Program, but have published games in different genres. Previously known as Gamera Games, rebranding with the name of Gamirror Games.</v>
      </c>
    </row>
    <row r="116">
      <c r="A116" s="49" t="str">
        <f>IFERROR(__xludf.DUMMYFUNCTION("""COMPUTED_VALUE"""),"Silver Lining Interactive")</f>
        <v>Silver Lining Interactive</v>
      </c>
      <c r="B116" s="40" t="str">
        <f>IFERROR(__xludf.DUMMYFUNCTION("""COMPUTED_VALUE"""),"UK")</f>
        <v>UK</v>
      </c>
      <c r="C116" s="52" t="str">
        <f>IFERROR(__xludf.DUMMYFUNCTION("""COMPUTED_VALUE"""),"https://www.silverliningint.com/")</f>
        <v>https://www.silverliningint.com/</v>
      </c>
      <c r="D116" s="55" t="str">
        <f>IFERROR(__xludf.DUMMYFUNCTION("""COMPUTED_VALUE"""),"https://www.silverliningint.com/pitch-your-game")</f>
        <v>https://www.silverliningint.com/pitch-your-game</v>
      </c>
      <c r="E116" s="55" t="str">
        <f>IFERROR(__xludf.DUMMYFUNCTION("""COMPUTED_VALUE"""),"submissions@silverliningint.com")</f>
        <v>submissions@silverliningint.com</v>
      </c>
      <c r="F116" s="56" t="str">
        <f>IFERROR(__xludf.DUMMYFUNCTION("""COMPUTED_VALUE"""),"Thomas Griffiths")</f>
        <v>Thomas Griffiths</v>
      </c>
      <c r="G116" s="59" t="str">
        <f>IFERROR(__xludf.DUMMYFUNCTION("""COMPUTED_VALUE"""),"https://store.steampowered.com/curator/45287187")</f>
        <v>https://store.steampowered.com/curator/45287187</v>
      </c>
      <c r="H116" s="61" t="str">
        <f>IFERROR(__xludf.DUMMYFUNCTION("""COMPUTED_VALUE"""),"https://gamalytic.com/publisher/Silver%20Lining%20Interactive")</f>
        <v>https://gamalytic.com/publisher/Silver%20Lining%20Interactive</v>
      </c>
      <c r="I116" s="62" t="str">
        <f>IFERROR(__xludf.DUMMYFUNCTION("""COMPUTED_VALUE"""),"1K")</f>
        <v>1K</v>
      </c>
      <c r="J116" s="63">
        <f>IFERROR(__xludf.DUMMYFUNCTION("""COMPUTED_VALUE"""),33.0)</f>
        <v>33</v>
      </c>
      <c r="K116" s="64" t="str">
        <f>IFERROR(__xludf.DUMMYFUNCTION("""COMPUTED_VALUE"""),"Apr 2015")</f>
        <v>Apr 2015</v>
      </c>
      <c r="L116" s="64" t="str">
        <f>IFERROR(__xludf.DUMMYFUNCTION("""COMPUTED_VALUE"""),"Oct 2026")</f>
        <v>Oct 2026</v>
      </c>
      <c r="M116" s="65">
        <f>IFERROR(__xludf.DUMMYFUNCTION("""COMPUTED_VALUE"""),9133537.0)</f>
        <v>9133537</v>
      </c>
      <c r="N116" s="65">
        <f>IFERROR(__xludf.DUMMYFUNCTION("""COMPUTED_VALUE"""),276773.848484848)</f>
        <v>276773.8485</v>
      </c>
      <c r="O116" s="65">
        <f>IFERROR(__xludf.DUMMYFUNCTION("""COMPUTED_VALUE"""),89006.0)</f>
        <v>89006</v>
      </c>
      <c r="P116" s="66" t="str">
        <f>IFERROR(__xludf.DUMMYFUNCTION("""COMPUTED_VALUE"""),"Indie")</f>
        <v>Indie</v>
      </c>
      <c r="Q116" s="64" t="str">
        <f>IFERROR(__xludf.DUMMYFUNCTION("""COMPUTED_VALUE"""),"$")</f>
        <v>$</v>
      </c>
      <c r="R116" s="68" t="str">
        <f>IFERROR(__xludf.DUMMYFUNCTION("""COMPUTED_VALUE"""),"?")</f>
        <v>?</v>
      </c>
      <c r="S116" s="25" t="str">
        <f>IFERROR(__xludf.DUMMYFUNCTION("""COMPUTED_VALUE"""),"Puzzle, Platformer, Management, Walking Simulator, Puzzle Platformer, Capitalism, 3D Platformer, Souls-like, Economy, Action Roguelike")</f>
        <v>Puzzle, Platformer, Management, Walking Simulator, Puzzle Platformer, Capitalism, 3D Platformer, Souls-like, Economy, Action Roguelike</v>
      </c>
      <c r="T116" s="40" t="str">
        <f>IFERROR(__xludf.DUMMYFUNCTION("""COMPUTED_VALUE"""),"Caravan Sandwitch, Metal Slug Tactics, ")</f>
        <v>Caravan Sandwitch, Metal Slug Tactics, </v>
      </c>
      <c r="U116" s="69" t="str">
        <f>IFERROR(__xludf.DUMMYFUNCTION("""COMPUTED_VALUE"""),"New publisher by previous Merge Games Director and team. Recently they acquired most of the merge games catalogue.")</f>
        <v>New publisher by previous Merge Games Director and team. Recently they acquired most of the merge games catalogue.</v>
      </c>
    </row>
    <row r="117">
      <c r="A117" s="49" t="str">
        <f>IFERROR(__xludf.DUMMYFUNCTION("""COMPUTED_VALUE"""),"Aquila interactive")</f>
        <v>Aquila interactive</v>
      </c>
      <c r="B117" s="40" t="str">
        <f>IFERROR(__xludf.DUMMYFUNCTION("""COMPUTED_VALUE"""),"UK")</f>
        <v>UK</v>
      </c>
      <c r="C117" s="52" t="str">
        <f>IFERROR(__xludf.DUMMYFUNCTION("""COMPUTED_VALUE"""),"https://aquilainteractive.io/")</f>
        <v>https://aquilainteractive.io/</v>
      </c>
      <c r="D117" s="40"/>
      <c r="E117" s="40"/>
      <c r="F117" s="56" t="str">
        <f>IFERROR(__xludf.DUMMYFUNCTION("""COMPUTED_VALUE"""),"Vilius Lampickas")</f>
        <v>Vilius Lampickas</v>
      </c>
      <c r="G117" s="59" t="str">
        <f>IFERROR(__xludf.DUMMYFUNCTION("""COMPUTED_VALUE"""),"https://store.steampowered.com/publisher/AquilaInteractive")</f>
        <v>https://store.steampowered.com/publisher/AquilaInteractive</v>
      </c>
      <c r="H117" s="61" t="str">
        <f>IFERROR(__xludf.DUMMYFUNCTION("""COMPUTED_VALUE"""),"https://gamalytic.com/publisher/Aquila%20Interactive")</f>
        <v>https://gamalytic.com/publisher/Aquila%20Interactive</v>
      </c>
      <c r="I117" s="62">
        <f>IFERROR(__xludf.DUMMYFUNCTION("""COMPUTED_VALUE"""),292.0)</f>
        <v>292</v>
      </c>
      <c r="J117" s="63">
        <f>IFERROR(__xludf.DUMMYFUNCTION("""COMPUTED_VALUE"""),1.0)</f>
        <v>1</v>
      </c>
      <c r="K117" s="64" t="str">
        <f>IFERROR(__xludf.DUMMYFUNCTION("""COMPUTED_VALUE"""),"Sep 2025")</f>
        <v>Sep 2025</v>
      </c>
      <c r="L117" s="64" t="str">
        <f>IFERROR(__xludf.DUMMYFUNCTION("""COMPUTED_VALUE"""),"Sep 2025")</f>
        <v>Sep 2025</v>
      </c>
      <c r="M117" s="65">
        <f>IFERROR(__xludf.DUMMYFUNCTION("""COMPUTED_VALUE"""),85940.0)</f>
        <v>85940</v>
      </c>
      <c r="N117" s="65">
        <f>IFERROR(__xludf.DUMMYFUNCTION("""COMPUTED_VALUE"""),85940.0)</f>
        <v>85940</v>
      </c>
      <c r="O117" s="65">
        <f>IFERROR(__xludf.DUMMYFUNCTION("""COMPUTED_VALUE"""),85940.0)</f>
        <v>85940</v>
      </c>
      <c r="P117" s="66" t="str">
        <f>IFERROR(__xludf.DUMMYFUNCTION("""COMPUTED_VALUE"""),"Indie")</f>
        <v>Indie</v>
      </c>
      <c r="Q117" s="64" t="str">
        <f>IFERROR(__xludf.DUMMYFUNCTION("""COMPUTED_VALUE"""),"$")</f>
        <v>$</v>
      </c>
      <c r="R117" s="68"/>
      <c r="S117" s="25" t="str">
        <f>IFERROR(__xludf.DUMMYFUNCTION("""COMPUTED_VALUE"""),"Management, Economy, Capitalism, City Builder, Resource Management, Tower Defense, Roguelite")</f>
        <v>Management, Economy, Capitalism, City Builder, Resource Management, Tower Defense, Roguelite</v>
      </c>
      <c r="T117" s="40"/>
      <c r="U117" s="69" t="str">
        <f>IFERROR(__xludf.DUMMYFUNCTION("""COMPUTED_VALUE"""),"Focus on strategy, management, tactical games")</f>
        <v>Focus on strategy, management, tactical games</v>
      </c>
    </row>
    <row r="118">
      <c r="A118" s="49" t="str">
        <f>IFERROR(__xludf.DUMMYFUNCTION("""COMPUTED_VALUE"""),"Dear Villagers")</f>
        <v>Dear Villagers</v>
      </c>
      <c r="B118" s="40" t="str">
        <f>IFERROR(__xludf.DUMMYFUNCTION("""COMPUTED_VALUE"""),"France")</f>
        <v>France</v>
      </c>
      <c r="C118" s="52" t="str">
        <f>IFERROR(__xludf.DUMMYFUNCTION("""COMPUTED_VALUE"""),"https://dearvillagers.com/")</f>
        <v>https://dearvillagers.com/</v>
      </c>
      <c r="D118" s="40" t="str">
        <f>IFERROR(__xludf.DUMMYFUNCTION("""COMPUTED_VALUE"""),"-")</f>
        <v>-</v>
      </c>
      <c r="E118" s="55" t="str">
        <f>IFERROR(__xludf.DUMMYFUNCTION("""COMPUTED_VALUE"""),"https://dearvillagers.com/pitch-your-game-form/")</f>
        <v>https://dearvillagers.com/pitch-your-game-form/</v>
      </c>
      <c r="F118" s="56" t="str">
        <f>IFERROR(__xludf.DUMMYFUNCTION("""COMPUTED_VALUE"""),"Gwenaëlle Wozniak, Stanislas Jun Peyrat")</f>
        <v>Gwenaëlle Wozniak, Stanislas Jun Peyrat</v>
      </c>
      <c r="G118" s="59" t="str">
        <f>IFERROR(__xludf.DUMMYFUNCTION("""COMPUTED_VALUE"""),"https://store.steampowered.com/publisher/Dear-Villagers")</f>
        <v>https://store.steampowered.com/publisher/Dear-Villagers</v>
      </c>
      <c r="H118" s="61" t="str">
        <f>IFERROR(__xludf.DUMMYFUNCTION("""COMPUTED_VALUE"""),"https://gamalytic.com/publisher/Dear%20Villagers")</f>
        <v>https://gamalytic.com/publisher/Dear%20Villagers</v>
      </c>
      <c r="I118" s="62" t="str">
        <f>IFERROR(__xludf.DUMMYFUNCTION("""COMPUTED_VALUE"""),"19K")</f>
        <v>19K</v>
      </c>
      <c r="J118" s="63" t="str">
        <f>IFERROR(__xludf.DUMMYFUNCTION("""COMPUTED_VALUE"""),"75")</f>
        <v>75</v>
      </c>
      <c r="K118" s="64" t="str">
        <f>IFERROR(__xludf.DUMMYFUNCTION("""COMPUTED_VALUE"""),"Mar 2016")</f>
        <v>Mar 2016</v>
      </c>
      <c r="L118" s="64" t="str">
        <f>IFERROR(__xludf.DUMMYFUNCTION("""COMPUTED_VALUE"""),"Aug 2026")</f>
        <v>Aug 2026</v>
      </c>
      <c r="M118" s="65">
        <f>IFERROR(__xludf.DUMMYFUNCTION("""COMPUTED_VALUE"""),3.8498238E7)</f>
        <v>38498238</v>
      </c>
      <c r="N118" s="65">
        <f>IFERROR(__xludf.DUMMYFUNCTION("""COMPUTED_VALUE"""),513309.84)</f>
        <v>513309.84</v>
      </c>
      <c r="O118" s="65">
        <f>IFERROR(__xludf.DUMMYFUNCTION("""COMPUTED_VALUE"""),81784.0)</f>
        <v>81784</v>
      </c>
      <c r="P118" s="66" t="str">
        <f>IFERROR(__xludf.DUMMYFUNCTION("""COMPUTED_VALUE"""),"Indie")</f>
        <v>Indie</v>
      </c>
      <c r="Q118" s="64" t="str">
        <f>IFERROR(__xludf.DUMMYFUNCTION("""COMPUTED_VALUE"""),"$")</f>
        <v>$</v>
      </c>
      <c r="R118" s="68" t="str">
        <f>IFERROR(__xludf.DUMMYFUNCTION("""COMPUTED_VALUE"""),"★★")</f>
        <v>★★</v>
      </c>
      <c r="S118" s="25" t="str">
        <f>IFERROR(__xludf.DUMMYFUNCTION("""COMPUTED_VALUE"""),"Action-Adventure, Platformer, Roguelite, Sandbox, Dungeon Crawler, 2D Platformer, Turn-Based Tactics, Puzzle, Visual Novel")</f>
        <v>Action-Adventure, Platformer, Roguelite, Sandbox, Dungeon Crawler, 2D Platformer, Turn-Based Tactics, Puzzle, Visual Novel</v>
      </c>
      <c r="T118" s="40" t="str">
        <f>IFERROR(__xludf.DUMMYFUNCTION("""COMPUTED_VALUE"""),"Fabledom, Forgotten City, Dungeon of Naheulbeuk, Edge of Eternity")</f>
        <v>Fabledom, Forgotten City, Dungeon of Naheulbeuk, Edge of Eternity</v>
      </c>
      <c r="U118" s="69" t="str">
        <f>IFERROR(__xludf.DUMMYFUNCTION("""COMPUTED_VALUE"""),"Publishing label from Plug In Digital with a focus on memorable single player experiences")</f>
        <v>Publishing label from Plug In Digital with a focus on memorable single player experiences</v>
      </c>
    </row>
    <row r="119">
      <c r="A119" s="49" t="str">
        <f>IFERROR(__xludf.DUMMYFUNCTION("""COMPUTED_VALUE"""),"Wired Productions")</f>
        <v>Wired Productions</v>
      </c>
      <c r="B119" s="40" t="str">
        <f>IFERROR(__xludf.DUMMYFUNCTION("""COMPUTED_VALUE"""),"UK")</f>
        <v>UK</v>
      </c>
      <c r="C119" s="52" t="str">
        <f>IFERROR(__xludf.DUMMYFUNCTION("""COMPUTED_VALUE"""),"https://wiredproductions.com/")</f>
        <v>https://wiredproductions.com/</v>
      </c>
      <c r="D119" s="40" t="str">
        <f>IFERROR(__xludf.DUMMYFUNCTION("""COMPUTED_VALUE"""),"-")</f>
        <v>-</v>
      </c>
      <c r="E119" s="55" t="str">
        <f>IFERROR(__xludf.DUMMYFUNCTION("""COMPUTED_VALUE"""),"https://wiredproductions.com/contact/")</f>
        <v>https://wiredproductions.com/contact/</v>
      </c>
      <c r="F119" s="56" t="str">
        <f>IFERROR(__xludf.DUMMYFUNCTION("""COMPUTED_VALUE"""),"Kevin Leathers")</f>
        <v>Kevin Leathers</v>
      </c>
      <c r="G119" s="59" t="str">
        <f>IFERROR(__xludf.DUMMYFUNCTION("""COMPUTED_VALUE"""),"https://store.steampowered.com/publisher/WIRED")</f>
        <v>https://store.steampowered.com/publisher/WIRED</v>
      </c>
      <c r="H119" s="61" t="str">
        <f>IFERROR(__xludf.DUMMYFUNCTION("""COMPUTED_VALUE"""),"https://gamalytic.com/publisher/Wired%20Productions")</f>
        <v>https://gamalytic.com/publisher/Wired%20Productions</v>
      </c>
      <c r="I119" s="62" t="str">
        <f>IFERROR(__xludf.DUMMYFUNCTION("""COMPUTED_VALUE"""),"19K")</f>
        <v>19K</v>
      </c>
      <c r="J119" s="63">
        <f>IFERROR(__xludf.DUMMYFUNCTION("""COMPUTED_VALUE"""),32.0)</f>
        <v>32</v>
      </c>
      <c r="K119" s="64" t="str">
        <f>IFERROR(__xludf.DUMMYFUNCTION("""COMPUTED_VALUE"""),"Dec 2014")</f>
        <v>Dec 2014</v>
      </c>
      <c r="L119" s="64" t="str">
        <f>IFERROR(__xludf.DUMMYFUNCTION("""COMPUTED_VALUE"""),"Sep 2026")</f>
        <v>Sep 2026</v>
      </c>
      <c r="M119" s="65">
        <f>IFERROR(__xludf.DUMMYFUNCTION("""COMPUTED_VALUE"""),1.6758722E7)</f>
        <v>16758722</v>
      </c>
      <c r="N119" s="65">
        <f>IFERROR(__xludf.DUMMYFUNCTION("""COMPUTED_VALUE"""),523710.0625)</f>
        <v>523710.0625</v>
      </c>
      <c r="O119" s="65">
        <f>IFERROR(__xludf.DUMMYFUNCTION("""COMPUTED_VALUE"""),74496.0)</f>
        <v>74496</v>
      </c>
      <c r="P119" s="66" t="str">
        <f>IFERROR(__xludf.DUMMYFUNCTION("""COMPUTED_VALUE"""),"Indie")</f>
        <v>Indie</v>
      </c>
      <c r="Q119" s="64" t="str">
        <f>IFERROR(__xludf.DUMMYFUNCTION("""COMPUTED_VALUE"""),"$")</f>
        <v>$</v>
      </c>
      <c r="R119" s="68" t="str">
        <f>IFERROR(__xludf.DUMMYFUNCTION("""COMPUTED_VALUE"""),"★★")</f>
        <v>★★</v>
      </c>
      <c r="S119" s="25" t="str">
        <f>IFERROR(__xludf.DUMMYFUNCTION("""COMPUTED_VALUE"""),"Horror, Psychological Horror, Arcade, Management, Sandbox, Walking Simulator, City Builder, Driving, Automobile Sim")</f>
        <v>Horror, Psychological Horror, Arcade, Management, Sandbox, Walking Simulator, City Builder, Driving, Automobile Sim</v>
      </c>
      <c r="T119" s="40" t="str">
        <f>IFERROR(__xludf.DUMMYFUNCTION("""COMPUTED_VALUE"""),"Deliver us the Moon, GRIP, Martha Is Dead, KARMA: The Dark World, Arcade Paradise")</f>
        <v>Deliver us the Moon, GRIP, Martha Is Dead, KARMA: The Dark World, Arcade Paradise</v>
      </c>
      <c r="U119" s="69" t="str">
        <f>IFERROR(__xludf.DUMMYFUNCTION("""COMPUTED_VALUE"""),"With a focus on  mature / horror story-driven, music based themes or gameplay and PC management titles. Their maximum is £500K")</f>
        <v>With a focus on  mature / horror story-driven, music based themes or gameplay and PC management titles. Their maximum is £500K</v>
      </c>
    </row>
    <row r="120">
      <c r="A120" s="49" t="str">
        <f>IFERROR(__xludf.DUMMYFUNCTION("""COMPUTED_VALUE"""),"Herocraft")</f>
        <v>Herocraft</v>
      </c>
      <c r="B120" s="40" t="str">
        <f>IFERROR(__xludf.DUMMYFUNCTION("""COMPUTED_VALUE"""),"Russia")</f>
        <v>Russia</v>
      </c>
      <c r="C120" s="52" t="str">
        <f>IFERROR(__xludf.DUMMYFUNCTION("""COMPUTED_VALUE"""),"https://www.herocraft.com/")</f>
        <v>https://www.herocraft.com/</v>
      </c>
      <c r="D120" s="40" t="str">
        <f>IFERROR(__xludf.DUMMYFUNCTION("""COMPUTED_VALUE"""),"-")</f>
        <v>-</v>
      </c>
      <c r="E120" s="55" t="str">
        <f>IFERROR(__xludf.DUMMYFUNCTION("""COMPUTED_VALUE"""),"https://www.herocraft.com/release/pc/")</f>
        <v>https://www.herocraft.com/release/pc/</v>
      </c>
      <c r="F120" s="56" t="str">
        <f>IFERROR(__xludf.DUMMYFUNCTION("""COMPUTED_VALUE"""),"Vasiliy Tedeev")</f>
        <v>Vasiliy Tedeev</v>
      </c>
      <c r="G120" s="59" t="str">
        <f>IFERROR(__xludf.DUMMYFUNCTION("""COMPUTED_VALUE"""),"https://store.steampowered.com/publisher/HeroCraft_PC")</f>
        <v>https://store.steampowered.com/publisher/HeroCraft_PC</v>
      </c>
      <c r="H120" s="61" t="str">
        <f>IFERROR(__xludf.DUMMYFUNCTION("""COMPUTED_VALUE"""),"https://gamalytic.com/publisher/HeroCraft%20PC")</f>
        <v>https://gamalytic.com/publisher/HeroCraft%20PC</v>
      </c>
      <c r="I120" s="62" t="str">
        <f>IFERROR(__xludf.DUMMYFUNCTION("""COMPUTED_VALUE"""),"3K")</f>
        <v>3K</v>
      </c>
      <c r="J120" s="63">
        <f>IFERROR(__xludf.DUMMYFUNCTION("""COMPUTED_VALUE"""),21.0)</f>
        <v>21</v>
      </c>
      <c r="K120" s="64" t="str">
        <f>IFERROR(__xludf.DUMMYFUNCTION("""COMPUTED_VALUE"""),"Apr 2014")</f>
        <v>Apr 2014</v>
      </c>
      <c r="L120" s="64" t="str">
        <f>IFERROR(__xludf.DUMMYFUNCTION("""COMPUTED_VALUE"""),"Sep 2026")</f>
        <v>Sep 2026</v>
      </c>
      <c r="M120" s="65">
        <f>IFERROR(__xludf.DUMMYFUNCTION("""COMPUTED_VALUE"""),5146526.0)</f>
        <v>5146526</v>
      </c>
      <c r="N120" s="65">
        <f>IFERROR(__xludf.DUMMYFUNCTION("""COMPUTED_VALUE"""),245072.666666666)</f>
        <v>245072.6667</v>
      </c>
      <c r="O120" s="65">
        <f>IFERROR(__xludf.DUMMYFUNCTION("""COMPUTED_VALUE"""),71979.0)</f>
        <v>71979</v>
      </c>
      <c r="P120" s="66" t="str">
        <f>IFERROR(__xludf.DUMMYFUNCTION("""COMPUTED_VALUE"""),"Indie")</f>
        <v>Indie</v>
      </c>
      <c r="Q120" s="64" t="str">
        <f>IFERROR(__xludf.DUMMYFUNCTION("""COMPUTED_VALUE"""),"$")</f>
        <v>$</v>
      </c>
      <c r="R120" s="68" t="str">
        <f>IFERROR(__xludf.DUMMYFUNCTION("""COMPUTED_VALUE"""),"★★★")</f>
        <v>★★★</v>
      </c>
      <c r="S120" s="25" t="str">
        <f>IFERROR(__xludf.DUMMYFUNCTION("""COMPUTED_VALUE"""),"Management, Action RPG, Open World, Base Building, Colony Sim, Turn-Based Strategy, Football (Soccer), Crafting, Point &amp; Click, Co-op")</f>
        <v>Management, Action RPG, Open World, Base Building, Colony Sim, Turn-Based Strategy, Football (Soccer), Crafting, Point &amp; Click, Co-op</v>
      </c>
      <c r="T120" s="40" t="str">
        <f>IFERROR(__xludf.DUMMYFUNCTION("""COMPUTED_VALUE"""),"Tempest, Anvil Saga")</f>
        <v>Tempest, Anvil Saga</v>
      </c>
      <c r="U120" s="69" t="str">
        <f>IFERROR(__xludf.DUMMYFUNCTION("""COMPUTED_VALUE"""),"-")</f>
        <v>-</v>
      </c>
    </row>
    <row r="121">
      <c r="A121" s="49" t="str">
        <f>IFERROR(__xludf.DUMMYFUNCTION("""COMPUTED_VALUE"""),"Double Eleven")</f>
        <v>Double Eleven</v>
      </c>
      <c r="B121" s="40" t="str">
        <f>IFERROR(__xludf.DUMMYFUNCTION("""COMPUTED_VALUE"""),"UK")</f>
        <v>UK</v>
      </c>
      <c r="C121" s="52" t="str">
        <f>IFERROR(__xludf.DUMMYFUNCTION("""COMPUTED_VALUE"""),"https://double11.com")</f>
        <v>https://double11.com</v>
      </c>
      <c r="D121" s="40" t="str">
        <f>IFERROR(__xludf.DUMMYFUNCTION("""COMPUTED_VALUE"""),"-")</f>
        <v>-</v>
      </c>
      <c r="E121" s="55" t="str">
        <f>IFERROR(__xludf.DUMMYFUNCTION("""COMPUTED_VALUE"""),"https://double11.com/contact-us")</f>
        <v>https://double11.com/contact-us</v>
      </c>
      <c r="F121" s="56" t="str">
        <f>IFERROR(__xludf.DUMMYFUNCTION("""COMPUTED_VALUE"""),"Kristen Cummins")</f>
        <v>Kristen Cummins</v>
      </c>
      <c r="G121" s="59" t="str">
        <f>IFERROR(__xludf.DUMMYFUNCTION("""COMPUTED_VALUE"""),"https://store.steampowered.com/curator/41245051-Double-Eleven-Official/")</f>
        <v>https://store.steampowered.com/curator/41245051-Double-Eleven-Official/</v>
      </c>
      <c r="H121" s="61" t="str">
        <f>IFERROR(__xludf.DUMMYFUNCTION("""COMPUTED_VALUE"""),"https://gamalytic.com/publisher/Double%20Eleven")</f>
        <v>https://gamalytic.com/publisher/Double%20Eleven</v>
      </c>
      <c r="I121" s="62" t="str">
        <f>IFERROR(__xludf.DUMMYFUNCTION("""COMPUTED_VALUE"""),"3K")</f>
        <v>3K</v>
      </c>
      <c r="J121" s="63">
        <f>IFERROR(__xludf.DUMMYFUNCTION("""COMPUTED_VALUE"""),5.0)</f>
        <v>5</v>
      </c>
      <c r="K121" s="64" t="str">
        <f>IFERROR(__xludf.DUMMYFUNCTION("""COMPUTED_VALUE"""),"Aug 2013")</f>
        <v>Aug 2013</v>
      </c>
      <c r="L121" s="64" t="str">
        <f>IFERROR(__xludf.DUMMYFUNCTION("""COMPUTED_VALUE"""),"May 2026")</f>
        <v>May 2026</v>
      </c>
      <c r="M121" s="65">
        <f>IFERROR(__xludf.DUMMYFUNCTION("""COMPUTED_VALUE"""),470850.0)</f>
        <v>470850</v>
      </c>
      <c r="N121" s="65">
        <f>IFERROR(__xludf.DUMMYFUNCTION("""COMPUTED_VALUE"""),94170.0)</f>
        <v>94170</v>
      </c>
      <c r="O121" s="65">
        <f>IFERROR(__xludf.DUMMYFUNCTION("""COMPUTED_VALUE"""),70318.0)</f>
        <v>70318</v>
      </c>
      <c r="P121" s="66" t="str">
        <f>IFERROR(__xludf.DUMMYFUNCTION("""COMPUTED_VALUE"""),"Indie")</f>
        <v>Indie</v>
      </c>
      <c r="Q121" s="64" t="str">
        <f>IFERROR(__xludf.DUMMYFUNCTION("""COMPUTED_VALUE"""),"$")</f>
        <v>$</v>
      </c>
      <c r="R121" s="68" t="str">
        <f>IFERROR(__xludf.DUMMYFUNCTION("""COMPUTED_VALUE"""),"★★★")</f>
        <v>★★★</v>
      </c>
      <c r="S121" s="25" t="str">
        <f>IFERROR(__xludf.DUMMYFUNCTION("""COMPUTED_VALUE"""),"Co-op, Twin Stick Shooter, Tower Defense, Puzzle, Shooter, Action RPG, Open World, Roguelike, Hack and Slash")</f>
        <v>Co-op, Twin Stick Shooter, Tower Defense, Puzzle, Shooter, Action RPG, Open World, Roguelike, Hack and Slash</v>
      </c>
      <c r="T121" s="40" t="str">
        <f>IFERROR(__xludf.DUMMYFUNCTION("""COMPUTED_VALUE"""),"Pixeljunk, Songbringer")</f>
        <v>Pixeljunk, Songbringer</v>
      </c>
      <c r="U121" s="69" t="str">
        <f>IFERROR(__xludf.DUMMYFUNCTION("""COMPUTED_VALUE"""),"Developer first, and have now started publishing.")</f>
        <v>Developer first, and have now started publishing.</v>
      </c>
    </row>
    <row r="122">
      <c r="A122" s="49" t="str">
        <f>IFERROR(__xludf.DUMMYFUNCTION("""COMPUTED_VALUE"""),"Crunching Koalas")</f>
        <v>Crunching Koalas</v>
      </c>
      <c r="B122" s="40" t="str">
        <f>IFERROR(__xludf.DUMMYFUNCTION("""COMPUTED_VALUE"""),"Poland")</f>
        <v>Poland</v>
      </c>
      <c r="C122" s="52" t="str">
        <f>IFERROR(__xludf.DUMMYFUNCTION("""COMPUTED_VALUE"""),"http://crunchingkoalas.com/")</f>
        <v>http://crunchingkoalas.com/</v>
      </c>
      <c r="D122" s="40" t="str">
        <f>IFERROR(__xludf.DUMMYFUNCTION("""COMPUTED_VALUE"""),"-")</f>
        <v>-</v>
      </c>
      <c r="E122" s="40" t="str">
        <f>IFERROR(__xludf.DUMMYFUNCTION("""COMPUTED_VALUE"""),"publishing@crunchingkoalas.com")</f>
        <v>publishing@crunchingkoalas.com</v>
      </c>
      <c r="F122" s="56" t="str">
        <f>IFERROR(__xludf.DUMMYFUNCTION("""COMPUTED_VALUE"""),"?")</f>
        <v>?</v>
      </c>
      <c r="G122" s="59" t="str">
        <f>IFERROR(__xludf.DUMMYFUNCTION("""COMPUTED_VALUE"""),"https://store.steampowered.com/publisher/CrunchingKoalas")</f>
        <v>https://store.steampowered.com/publisher/CrunchingKoalas</v>
      </c>
      <c r="H122" s="61" t="str">
        <f>IFERROR(__xludf.DUMMYFUNCTION("""COMPUTED_VALUE"""),"https://gamalytic.com/publisher/Crunching%20Koalas")</f>
        <v>https://gamalytic.com/publisher/Crunching%20Koalas</v>
      </c>
      <c r="I122" s="62" t="str">
        <f>IFERROR(__xludf.DUMMYFUNCTION("""COMPUTED_VALUE"""),"1K")</f>
        <v>1K</v>
      </c>
      <c r="J122" s="63">
        <f>IFERROR(__xludf.DUMMYFUNCTION("""COMPUTED_VALUE"""),14.0)</f>
        <v>14</v>
      </c>
      <c r="K122" s="64" t="str">
        <f>IFERROR(__xludf.DUMMYFUNCTION("""COMPUTED_VALUE"""),"Jul 2014")</f>
        <v>Jul 2014</v>
      </c>
      <c r="L122" s="64" t="str">
        <f>IFERROR(__xludf.DUMMYFUNCTION("""COMPUTED_VALUE"""),"Jan 2025")</f>
        <v>Jan 2025</v>
      </c>
      <c r="M122" s="65">
        <f>IFERROR(__xludf.DUMMYFUNCTION("""COMPUTED_VALUE"""),1655515.0)</f>
        <v>1655515</v>
      </c>
      <c r="N122" s="65">
        <f>IFERROR(__xludf.DUMMYFUNCTION("""COMPUTED_VALUE"""),118251.071428571)</f>
        <v>118251.0714</v>
      </c>
      <c r="O122" s="65">
        <f>IFERROR(__xludf.DUMMYFUNCTION("""COMPUTED_VALUE"""),70302.0)</f>
        <v>70302</v>
      </c>
      <c r="P122" s="66" t="str">
        <f>IFERROR(__xludf.DUMMYFUNCTION("""COMPUTED_VALUE"""),"Indie")</f>
        <v>Indie</v>
      </c>
      <c r="Q122" s="64" t="str">
        <f>IFERROR(__xludf.DUMMYFUNCTION("""COMPUTED_VALUE"""),"$")</f>
        <v>$</v>
      </c>
      <c r="R122" s="68" t="str">
        <f>IFERROR(__xludf.DUMMYFUNCTION("""COMPUTED_VALUE"""),"★★★")</f>
        <v>★★★</v>
      </c>
      <c r="S122" s="25" t="str">
        <f>IFERROR(__xludf.DUMMYFUNCTION("""COMPUTED_VALUE"""),"Platformer, Souls-like, Puzzle, Interactive Fiction, Stealth, Action RPG, Hack and Slash, Turn-Based Combat, Action-Adventure, Turn-Based Tactics")</f>
        <v>Platformer, Souls-like, Puzzle, Interactive Fiction, Stealth, Action RPG, Hack and Slash, Turn-Based Combat, Action-Adventure, Turn-Based Tactics</v>
      </c>
      <c r="T122" s="40" t="str">
        <f>IFERROR(__xludf.DUMMYFUNCTION("""COMPUTED_VALUE"""),"Butcher, Once upon a Jester")</f>
        <v>Butcher, Once upon a Jester</v>
      </c>
      <c r="U122" s="69" t="str">
        <f>IFERROR(__xludf.DUMMYFUNCTION("""COMPUTED_VALUE"""),"Low-budget publisher that tend to publish small games")</f>
        <v>Low-budget publisher that tend to publish small games</v>
      </c>
    </row>
    <row r="123">
      <c r="A123" s="49" t="str">
        <f>IFERROR(__xludf.DUMMYFUNCTION("""COMPUTED_VALUE"""),"PQube")</f>
        <v>PQube</v>
      </c>
      <c r="B123" s="40" t="str">
        <f>IFERROR(__xludf.DUMMYFUNCTION("""COMPUTED_VALUE"""),"UK")</f>
        <v>UK</v>
      </c>
      <c r="C123" s="52" t="str">
        <f>IFERROR(__xludf.DUMMYFUNCTION("""COMPUTED_VALUE"""),"https://pqube.co.uk/")</f>
        <v>https://pqube.co.uk/</v>
      </c>
      <c r="D123" s="40" t="str">
        <f>IFERROR(__xludf.DUMMYFUNCTION("""COMPUTED_VALUE"""),"-")</f>
        <v>-</v>
      </c>
      <c r="E123" s="55" t="str">
        <f>IFERROR(__xludf.DUMMYFUNCTION("""COMPUTED_VALUE"""),"https://pqube.co.uk/submit-a-game/")</f>
        <v>https://pqube.co.uk/submit-a-game/</v>
      </c>
      <c r="F123" s="56" t="str">
        <f>IFERROR(__xludf.DUMMYFUNCTION("""COMPUTED_VALUE"""),"Ariel Pai")</f>
        <v>Ariel Pai</v>
      </c>
      <c r="G123" s="59" t="str">
        <f>IFERROR(__xludf.DUMMYFUNCTION("""COMPUTED_VALUE"""),"https://store.steampowered.com/publisher/PQube")</f>
        <v>https://store.steampowered.com/publisher/PQube</v>
      </c>
      <c r="H123" s="61" t="str">
        <f>IFERROR(__xludf.DUMMYFUNCTION("""COMPUTED_VALUE"""),"https://gamalytic.com/publisher/PQube")</f>
        <v>https://gamalytic.com/publisher/PQube</v>
      </c>
      <c r="I123" s="62" t="str">
        <f>IFERROR(__xludf.DUMMYFUNCTION("""COMPUTED_VALUE"""),"20K")</f>
        <v>20K</v>
      </c>
      <c r="J123" s="63">
        <f>IFERROR(__xludf.DUMMYFUNCTION("""COMPUTED_VALUE"""),84.0)</f>
        <v>84</v>
      </c>
      <c r="K123" s="64" t="str">
        <f>IFERROR(__xludf.DUMMYFUNCTION("""COMPUTED_VALUE"""),"Sep 2016")</f>
        <v>Sep 2016</v>
      </c>
      <c r="L123" s="64" t="str">
        <f>IFERROR(__xludf.DUMMYFUNCTION("""COMPUTED_VALUE"""),"Sep 2026")</f>
        <v>Sep 2026</v>
      </c>
      <c r="M123" s="65">
        <f>IFERROR(__xludf.DUMMYFUNCTION("""COMPUTED_VALUE"""),2.5454911E7)</f>
        <v>25454911</v>
      </c>
      <c r="N123" s="65">
        <f>IFERROR(__xludf.DUMMYFUNCTION("""COMPUTED_VALUE"""),303034.654761904)</f>
        <v>303034.6548</v>
      </c>
      <c r="O123" s="65">
        <f>IFERROR(__xludf.DUMMYFUNCTION("""COMPUTED_VALUE"""),69713.0)</f>
        <v>69713</v>
      </c>
      <c r="P123" s="66" t="str">
        <f>IFERROR(__xludf.DUMMYFUNCTION("""COMPUTED_VALUE"""),"Indie")</f>
        <v>Indie</v>
      </c>
      <c r="Q123" s="64" t="str">
        <f>IFERROR(__xludf.DUMMYFUNCTION("""COMPUTED_VALUE"""),"$")</f>
        <v>$</v>
      </c>
      <c r="R123" s="68" t="str">
        <f>IFERROR(__xludf.DUMMYFUNCTION("""COMPUTED_VALUE"""),"★")</f>
        <v>★</v>
      </c>
      <c r="S123" s="25" t="str">
        <f>IFERROR(__xludf.DUMMYFUNCTION("""COMPUTED_VALUE"""),"Visual Novel, Dating Sim, Puzzle, JRPG, Survival Horror, Horror, Psychological Horror, On-Rails Shooter, Shooter, FPS")</f>
        <v>Visual Novel, Dating Sim, Puzzle, JRPG, Survival Horror, Horror, Psychological Horror, On-Rails Shooter, Shooter, FPS</v>
      </c>
      <c r="T123" s="40" t="str">
        <f>IFERROR(__xludf.DUMMYFUNCTION("""COMPUTED_VALUE"""),"Gal*Gun, White Day, Tormented Souls, Potion Permit, Discounty")</f>
        <v>Gal*Gun, White Day, Tormented Souls, Potion Permit, Discounty</v>
      </c>
      <c r="U123" s="69" t="str">
        <f>IFERROR(__xludf.DUMMYFUNCTION("""COMPUTED_VALUE"""),"They publish a lot of small indie titles. There were news of them applying for a diversity grant on behalf of developers and not giving it to them. Typically capping investment in new partners at 200K $")</f>
        <v>They publish a lot of small indie titles. There were news of them applying for a diversity grant on behalf of developers and not giving it to them. Typically capping investment in new partners at 200K $</v>
      </c>
    </row>
    <row r="124">
      <c r="A124" s="49" t="str">
        <f>IFERROR(__xludf.DUMMYFUNCTION("""COMPUTED_VALUE"""),"Assemble Entertainment")</f>
        <v>Assemble Entertainment</v>
      </c>
      <c r="B124" s="40" t="str">
        <f>IFERROR(__xludf.DUMMYFUNCTION("""COMPUTED_VALUE"""),"Germany")</f>
        <v>Germany</v>
      </c>
      <c r="C124" s="52" t="str">
        <f>IFERROR(__xludf.DUMMYFUNCTION("""COMPUTED_VALUE"""),"https://lnk.bio/AssembleEntertainment")</f>
        <v>https://lnk.bio/AssembleEntertainment</v>
      </c>
      <c r="D124" s="40" t="str">
        <f>IFERROR(__xludf.DUMMYFUNCTION("""COMPUTED_VALUE"""),"-")</f>
        <v>-</v>
      </c>
      <c r="E124" s="40" t="str">
        <f>IFERROR(__xludf.DUMMYFUNCTION("""COMPUTED_VALUE"""),"pitch@assembleteam.com")</f>
        <v>pitch@assembleteam.com</v>
      </c>
      <c r="F124" s="56" t="str">
        <f>IFERROR(__xludf.DUMMYFUNCTION("""COMPUTED_VALUE"""),"Jerome Zenker")</f>
        <v>Jerome Zenker</v>
      </c>
      <c r="G124" s="59" t="str">
        <f>IFERROR(__xludf.DUMMYFUNCTION("""COMPUTED_VALUE"""),"https://store.steampowered.com/publisher/AssembleEntertainment")</f>
        <v>https://store.steampowered.com/publisher/AssembleEntertainment</v>
      </c>
      <c r="H124" s="61" t="str">
        <f>IFERROR(__xludf.DUMMYFUNCTION("""COMPUTED_VALUE"""),"https://gamalytic.com/publisher/Assemble%20Entertainment")</f>
        <v>https://gamalytic.com/publisher/Assemble%20Entertainment</v>
      </c>
      <c r="I124" s="62" t="str">
        <f>IFERROR(__xludf.DUMMYFUNCTION("""COMPUTED_VALUE"""),"14K")</f>
        <v>14K</v>
      </c>
      <c r="J124" s="63">
        <f>IFERROR(__xludf.DUMMYFUNCTION("""COMPUTED_VALUE"""),67.0)</f>
        <v>67</v>
      </c>
      <c r="K124" s="64" t="str">
        <f>IFERROR(__xludf.DUMMYFUNCTION("""COMPUTED_VALUE"""),"Feb 2009")</f>
        <v>Feb 2009</v>
      </c>
      <c r="L124" s="64" t="str">
        <f>IFERROR(__xludf.DUMMYFUNCTION("""COMPUTED_VALUE"""),"Oct 2026")</f>
        <v>Oct 2026</v>
      </c>
      <c r="M124" s="65">
        <f>IFERROR(__xludf.DUMMYFUNCTION("""COMPUTED_VALUE"""),2.3033076E7)</f>
        <v>23033076</v>
      </c>
      <c r="N124" s="65">
        <f>IFERROR(__xludf.DUMMYFUNCTION("""COMPUTED_VALUE"""),343777.253731343)</f>
        <v>343777.2537</v>
      </c>
      <c r="O124" s="65">
        <f>IFERROR(__xludf.DUMMYFUNCTION("""COMPUTED_VALUE"""),67525.0)</f>
        <v>67525</v>
      </c>
      <c r="P124" s="66" t="str">
        <f>IFERROR(__xludf.DUMMYFUNCTION("""COMPUTED_VALUE"""),"Indie")</f>
        <v>Indie</v>
      </c>
      <c r="Q124" s="64" t="str">
        <f>IFERROR(__xludf.DUMMYFUNCTION("""COMPUTED_VALUE"""),"$")</f>
        <v>$</v>
      </c>
      <c r="R124" s="68" t="str">
        <f>IFERROR(__xludf.DUMMYFUNCTION("""COMPUTED_VALUE"""),"★★")</f>
        <v>★★</v>
      </c>
      <c r="S124" s="25" t="str">
        <f>IFERROR(__xludf.DUMMYFUNCTION("""COMPUTED_VALUE"""),"Point &amp; Click, City Builder, Puzzle, Survival, Platformer, Colony Sim, Interactive Fiction, Management, Base Building, Sandbox")</f>
        <v>Point &amp; Click, City Builder, Puzzle, Survival, Platformer, Colony Sim, Interactive Fiction, Management, Base Building, Sandbox</v>
      </c>
      <c r="T124" s="40" t="str">
        <f>IFERROR(__xludf.DUMMYFUNCTION("""COMPUTED_VALUE"""),"Far: Lone Sails, Endzone, Roadwarden")</f>
        <v>Far: Lone Sails, Endzone, Roadwarden</v>
      </c>
      <c r="U124" s="69" t="str">
        <f>IFERROR(__xludf.DUMMYFUNCTION("""COMPUTED_VALUE"""),"Talked to several (ex-)devs after being apporached by Assemble: Common denominator was that they offer little money and poor shares (can confirm), do only minimal marketing and produce amateurish trailers in-house (e.g. they created a story driven ""myste"&amp;"ry"" trailer for a fast paced arcade shooter). Devs had to do their own marketing and produce their own trailers as they weren't happy with Publishers efforts. Lawyers had to be called in before all contractual obligations were met. ")</f>
        <v>Talked to several (ex-)devs after being apporached by Assemble: Common denominator was that they offer little money and poor shares (can confirm), do only minimal marketing and produce amateurish trailers in-house (e.g. they created a story driven "mystery" trailer for a fast paced arcade shooter). Devs had to do their own marketing and produce their own trailers as they weren't happy with Publishers efforts. Lawyers had to be called in before all contractual obligations were met. </v>
      </c>
    </row>
    <row r="125">
      <c r="A125" s="49" t="str">
        <f>IFERROR(__xludf.DUMMYFUNCTION("""COMPUTED_VALUE"""),"Pantaloon")</f>
        <v>Pantaloon</v>
      </c>
      <c r="B125" s="40" t="str">
        <f>IFERROR(__xludf.DUMMYFUNCTION("""COMPUTED_VALUE"""),"UK")</f>
        <v>UK</v>
      </c>
      <c r="C125" s="52" t="str">
        <f>IFERROR(__xludf.DUMMYFUNCTION("""COMPUTED_VALUE"""),"https://www.pantaloon.io/games")</f>
        <v>https://www.pantaloon.io/games</v>
      </c>
      <c r="D125" s="40"/>
      <c r="E125" s="40" t="str">
        <f>IFERROR(__xludf.DUMMYFUNCTION("""COMPUTED_VALUE"""),"pitch@pantaloon.io")</f>
        <v>pitch@pantaloon.io</v>
      </c>
      <c r="F125" s="56" t="str">
        <f>IFERROR(__xludf.DUMMYFUNCTION("""COMPUTED_VALUE"""),"Jamin Smith")</f>
        <v>Jamin Smith</v>
      </c>
      <c r="G125" s="59" t="str">
        <f>IFERROR(__xludf.DUMMYFUNCTION("""COMPUTED_VALUE"""),"https://store.steampowered.com/publisher/Pantaloon?action=follow")</f>
        <v>https://store.steampowered.com/publisher/Pantaloon?action=follow</v>
      </c>
      <c r="H125" s="61"/>
      <c r="I125" s="62" t="str">
        <f>IFERROR(__xludf.DUMMYFUNCTION("""COMPUTED_VALUE"""),"3K")</f>
        <v>3K</v>
      </c>
      <c r="J125" s="63">
        <f>IFERROR(__xludf.DUMMYFUNCTION("""COMPUTED_VALUE"""),7.0)</f>
        <v>7</v>
      </c>
      <c r="K125" s="64" t="str">
        <f>IFERROR(__xludf.DUMMYFUNCTION("""COMPUTED_VALUE"""),"Jun 2022")</f>
        <v>Jun 2022</v>
      </c>
      <c r="L125" s="64" t="str">
        <f>IFERROR(__xludf.DUMMYFUNCTION("""COMPUTED_VALUE"""),"Oct 2026")</f>
        <v>Oct 2026</v>
      </c>
      <c r="M125" s="65">
        <f>IFERROR(__xludf.DUMMYFUNCTION("""COMPUTED_VALUE"""),729229.0)</f>
        <v>729229</v>
      </c>
      <c r="N125" s="65">
        <f>IFERROR(__xludf.DUMMYFUNCTION("""COMPUTED_VALUE"""),104175.571428571)</f>
        <v>104175.5714</v>
      </c>
      <c r="O125" s="65">
        <f>IFERROR(__xludf.DUMMYFUNCTION("""COMPUTED_VALUE"""),61245.0)</f>
        <v>61245</v>
      </c>
      <c r="P125" s="66" t="str">
        <f>IFERROR(__xludf.DUMMYFUNCTION("""COMPUTED_VALUE"""),"Indie")</f>
        <v>Indie</v>
      </c>
      <c r="Q125" s="64" t="str">
        <f>IFERROR(__xludf.DUMMYFUNCTION("""COMPUTED_VALUE"""),"$")</f>
        <v>$</v>
      </c>
      <c r="R125" s="68" t="str">
        <f>IFERROR(__xludf.DUMMYFUNCTION("""COMPUTED_VALUE"""),"?")</f>
        <v>?</v>
      </c>
      <c r="S125" s="25"/>
      <c r="T125" s="40" t="str">
        <f>IFERROR(__xludf.DUMMYFUNCTION("""COMPUTED_VALUE"""),"Occlude")</f>
        <v>Occlude</v>
      </c>
      <c r="U125" s="69" t="str">
        <f>IFERROR(__xludf.DUMMYFUNCTION("""COMPUTED_VALUE"""),"Pantaloon’s mission is simple: to offer a pedestal to the bold and bizarre, and create a home for misfits. ")</f>
        <v>Pantaloon’s mission is simple: to offer a pedestal to the bold and bizarre, and create a home for misfits. </v>
      </c>
    </row>
    <row r="126">
      <c r="A126" s="49" t="str">
        <f>IFERROR(__xludf.DUMMYFUNCTION("""COMPUTED_VALUE"""),"Mystic Forge")</f>
        <v>Mystic Forge</v>
      </c>
      <c r="B126" s="40" t="str">
        <f>IFERROR(__xludf.DUMMYFUNCTION("""COMPUTED_VALUE"""),"Netherlands")</f>
        <v>Netherlands</v>
      </c>
      <c r="C126" s="52" t="str">
        <f>IFERROR(__xludf.DUMMYFUNCTION("""COMPUTED_VALUE"""),"https://www.mysticforge.com/ ")</f>
        <v>https://www.mysticforge.com/ </v>
      </c>
      <c r="D126" s="40"/>
      <c r="E126" s="40" t="str">
        <f>IFERROR(__xludf.DUMMYFUNCTION("""COMPUTED_VALUE"""),"pitch@mysticforge.com")</f>
        <v>pitch@mysticforge.com</v>
      </c>
      <c r="F126" s="56" t="str">
        <f>IFERROR(__xludf.DUMMYFUNCTION("""COMPUTED_VALUE"""),"Joris B. Kok Randy Greenback")</f>
        <v>Joris B. Kok Randy Greenback</v>
      </c>
      <c r="G126" s="59" t="str">
        <f>IFERROR(__xludf.DUMMYFUNCTION("""COMPUTED_VALUE"""),"https://store.steampowered.com/developer/MysticForge")</f>
        <v>https://store.steampowered.com/developer/MysticForge</v>
      </c>
      <c r="H126" s="61" t="str">
        <f>IFERROR(__xludf.DUMMYFUNCTION("""COMPUTED_VALUE"""),"https://gamalytic.com/publisher/Mystic%20Forge")</f>
        <v>https://gamalytic.com/publisher/Mystic%20Forge</v>
      </c>
      <c r="I126" s="62">
        <f>IFERROR(__xludf.DUMMYFUNCTION("""COMPUTED_VALUE"""),71.0)</f>
        <v>71</v>
      </c>
      <c r="J126" s="63">
        <f>IFERROR(__xludf.DUMMYFUNCTION("""COMPUTED_VALUE"""),2.0)</f>
        <v>2</v>
      </c>
      <c r="K126" s="64" t="str">
        <f>IFERROR(__xludf.DUMMYFUNCTION("""COMPUTED_VALUE"""),"Nov 2025")</f>
        <v>Nov 2025</v>
      </c>
      <c r="L126" s="64" t="str">
        <f>IFERROR(__xludf.DUMMYFUNCTION("""COMPUTED_VALUE"""),"Sep 2026")</f>
        <v>Sep 2026</v>
      </c>
      <c r="M126" s="65">
        <f>IFERROR(__xludf.DUMMYFUNCTION("""COMPUTED_VALUE"""),120674.0)</f>
        <v>120674</v>
      </c>
      <c r="N126" s="65">
        <f>IFERROR(__xludf.DUMMYFUNCTION("""COMPUTED_VALUE"""),60337.0)</f>
        <v>60337</v>
      </c>
      <c r="O126" s="65">
        <f>IFERROR(__xludf.DUMMYFUNCTION("""COMPUTED_VALUE"""),60337.0)</f>
        <v>60337</v>
      </c>
      <c r="P126" s="66" t="str">
        <f>IFERROR(__xludf.DUMMYFUNCTION("""COMPUTED_VALUE"""),"Indie")</f>
        <v>Indie</v>
      </c>
      <c r="Q126" s="64" t="str">
        <f>IFERROR(__xludf.DUMMYFUNCTION("""COMPUTED_VALUE"""),"$")</f>
        <v>$</v>
      </c>
      <c r="R126" s="68" t="str">
        <f>IFERROR(__xludf.DUMMYFUNCTION("""COMPUTED_VALUE"""),"?")</f>
        <v>?</v>
      </c>
      <c r="S126" s="25" t="str">
        <f>IFERROR(__xludf.DUMMYFUNCTION("""COMPUTED_VALUE"""),"Roguelike Deckbuilder, Roguelike, Dice, Card Game, Deckbuilding, Roguelite, Procedural Generation, Auto Battler, Base Building")</f>
        <v>Roguelike Deckbuilder, Roguelike, Dice, Card Game, Deckbuilding, Roguelite, Procedural Generation, Auto Battler, Base Building</v>
      </c>
      <c r="T126" s="40" t="str">
        <f>IFERROR(__xludf.DUMMYFUNCTION("""COMPUTED_VALUE"""),"-")</f>
        <v>-</v>
      </c>
      <c r="U126" s="69" t="str">
        <f>IFERROR(__xludf.DUMMYFUNCTION("""COMPUTED_VALUE"""),"Mystic Forge is a new boutique indie game publisher specializing in strategy, simulation, and RPG games for PC. Inspired by the legendary blacksmiths of lore, Mystic Forge is dedicated to bringing ideas to life through passion, creativity, and a bit of ma"&amp;"gic. Founded by seasoned industry veterans who bring with them a wealth of experience and a proven track record of creating and launching successful games, Mystic Forge aims to make a significant impact in the indie gaming landscape.")</f>
        <v>Mystic Forge is a new boutique indie game publisher specializing in strategy, simulation, and RPG games for PC. Inspired by the legendary blacksmiths of lore, Mystic Forge is dedicated to bringing ideas to life through passion, creativity, and a bit of magic. Founded by seasoned industry veterans who bring with them a wealth of experience and a proven track record of creating and launching successful games, Mystic Forge aims to make a significant impact in the indie gaming landscape.</v>
      </c>
    </row>
    <row r="127">
      <c r="A127" s="49" t="str">
        <f>IFERROR(__xludf.DUMMYFUNCTION("""COMPUTED_VALUE"""),"2P Games")</f>
        <v>2P Games</v>
      </c>
      <c r="B127" s="40" t="str">
        <f>IFERROR(__xludf.DUMMYFUNCTION("""COMPUTED_VALUE"""),"China")</f>
        <v>China</v>
      </c>
      <c r="C127" s="52" t="str">
        <f>IFERROR(__xludf.DUMMYFUNCTION("""COMPUTED_VALUE"""),"https://2pgames.net/en/")</f>
        <v>https://2pgames.net/en/</v>
      </c>
      <c r="D127" s="40" t="str">
        <f>IFERROR(__xludf.DUMMYFUNCTION("""COMPUTED_VALUE"""),"-")</f>
        <v>-</v>
      </c>
      <c r="E127" s="40" t="str">
        <f>IFERROR(__xludf.DUMMYFUNCTION("""COMPUTED_VALUE"""),"contact@2pgames.net")</f>
        <v>contact@2pgames.net</v>
      </c>
      <c r="F127" s="56" t="str">
        <f>IFERROR(__xludf.DUMMYFUNCTION("""COMPUTED_VALUE"""),"Steven Zeng")</f>
        <v>Steven Zeng</v>
      </c>
      <c r="G127" s="59" t="str">
        <f>IFERROR(__xludf.DUMMYFUNCTION("""COMPUTED_VALUE"""),"https://store.steampowered.com/publisher/2pgames")</f>
        <v>https://store.steampowered.com/publisher/2pgames</v>
      </c>
      <c r="H127" s="61" t="str">
        <f>IFERROR(__xludf.DUMMYFUNCTION("""COMPUTED_VALUE"""),"https://gamalytic.com/publisher/2P%20Games")</f>
        <v>https://gamalytic.com/publisher/2P%20Games</v>
      </c>
      <c r="I127" s="62" t="str">
        <f>IFERROR(__xludf.DUMMYFUNCTION("""COMPUTED_VALUE"""),"23K")</f>
        <v>23K</v>
      </c>
      <c r="J127" s="63">
        <f>IFERROR(__xludf.DUMMYFUNCTION("""COMPUTED_VALUE"""),78.0)</f>
        <v>78</v>
      </c>
      <c r="K127" s="64" t="str">
        <f>IFERROR(__xludf.DUMMYFUNCTION("""COMPUTED_VALUE"""),"Mar 2018")</f>
        <v>Mar 2018</v>
      </c>
      <c r="L127" s="64" t="str">
        <f>IFERROR(__xludf.DUMMYFUNCTION("""COMPUTED_VALUE"""),"Oct 2026")</f>
        <v>Oct 2026</v>
      </c>
      <c r="M127" s="65">
        <f>IFERROR(__xludf.DUMMYFUNCTION("""COMPUTED_VALUE"""),5.3596669E7)</f>
        <v>53596669</v>
      </c>
      <c r="N127" s="65">
        <f>IFERROR(__xludf.DUMMYFUNCTION("""COMPUTED_VALUE"""),687136.782051282)</f>
        <v>687136.7821</v>
      </c>
      <c r="O127" s="65">
        <f>IFERROR(__xludf.DUMMYFUNCTION("""COMPUTED_VALUE"""),55523.0)</f>
        <v>55523</v>
      </c>
      <c r="P127" s="66" t="str">
        <f>IFERROR(__xludf.DUMMYFUNCTION("""COMPUTED_VALUE"""),"AA")</f>
        <v>AA</v>
      </c>
      <c r="Q127" s="64" t="str">
        <f>IFERROR(__xludf.DUMMYFUNCTION("""COMPUTED_VALUE"""),"$$, $$$")</f>
        <v>$$, $$$</v>
      </c>
      <c r="R127" s="68" t="str">
        <f>IFERROR(__xludf.DUMMYFUNCTION("""COMPUTED_VALUE"""),"?")</f>
        <v>?</v>
      </c>
      <c r="S127" s="25" t="str">
        <f>IFERROR(__xludf.DUMMYFUNCTION("""COMPUTED_VALUE"""),"Roguelite, Visual Novel, Life Sim, Card Game, Turn-Based Strategy, Interactive Fiction, Action Roguelike, Dating Sim, Turn-Based Tactics, Roguelike")</f>
        <v>Roguelite, Visual Novel, Life Sim, Card Game, Turn-Based Strategy, Interactive Fiction, Action Roguelike, Dating Sim, Turn-Based Tactics, Roguelike</v>
      </c>
      <c r="T127" s="40" t="str">
        <f>IFERROR(__xludf.DUMMYFUNCTION("""COMPUTED_VALUE"""),"Frozen Flame, Showa American Story, Immortal Life, Greedland")</f>
        <v>Frozen Flame, Showa American Story, Immortal Life, Greedland</v>
      </c>
      <c r="U127" s="69" t="str">
        <f>IFERROR(__xludf.DUMMYFUNCTION("""COMPUTED_VALUE"""),"Specialised in publishing and co-publishing PC/Console games in Asia and abroad. Marketing strategies, influencer and press contacts, localization, and porting")</f>
        <v>Specialised in publishing and co-publishing PC/Console games in Asia and abroad. Marketing strategies, influencer and press contacts, localization, and porting</v>
      </c>
    </row>
    <row r="128">
      <c r="A128" s="49" t="str">
        <f>IFERROR(__xludf.DUMMYFUNCTION("""COMPUTED_VALUE"""),"Untold Tales")</f>
        <v>Untold Tales</v>
      </c>
      <c r="B128" s="40" t="str">
        <f>IFERROR(__xludf.DUMMYFUNCTION("""COMPUTED_VALUE"""),"Poland")</f>
        <v>Poland</v>
      </c>
      <c r="C128" s="52" t="str">
        <f>IFERROR(__xludf.DUMMYFUNCTION("""COMPUTED_VALUE"""),"https://untoldtales.games/")</f>
        <v>https://untoldtales.games/</v>
      </c>
      <c r="D128" s="40" t="str">
        <f>IFERROR(__xludf.DUMMYFUNCTION("""COMPUTED_VALUE"""),"-")</f>
        <v>-</v>
      </c>
      <c r="E128" s="40" t="str">
        <f>IFERROR(__xludf.DUMMYFUNCTION("""COMPUTED_VALUE"""),"publisher@untoldtales.games")</f>
        <v>publisher@untoldtales.games</v>
      </c>
      <c r="F128" s="56" t="str">
        <f>IFERROR(__xludf.DUMMYFUNCTION("""COMPUTED_VALUE"""),"Pawel Skaba")</f>
        <v>Pawel Skaba</v>
      </c>
      <c r="G128" s="59" t="str">
        <f>IFERROR(__xludf.DUMMYFUNCTION("""COMPUTED_VALUE"""),"https://store.steampowered.com/publisher/untoldtales")</f>
        <v>https://store.steampowered.com/publisher/untoldtales</v>
      </c>
      <c r="H128" s="61" t="str">
        <f>IFERROR(__xludf.DUMMYFUNCTION("""COMPUTED_VALUE"""),"https://gamalytic.com/publisher/Untold%20Tales")</f>
        <v>https://gamalytic.com/publisher/Untold%20Tales</v>
      </c>
      <c r="I128" s="62" t="str">
        <f>IFERROR(__xludf.DUMMYFUNCTION("""COMPUTED_VALUE"""),"11K")</f>
        <v>11K</v>
      </c>
      <c r="J128" s="63">
        <f>IFERROR(__xludf.DUMMYFUNCTION("""COMPUTED_VALUE"""),58.0)</f>
        <v>58</v>
      </c>
      <c r="K128" s="64" t="str">
        <f>IFERROR(__xludf.DUMMYFUNCTION("""COMPUTED_VALUE"""),"Jun 2014")</f>
        <v>Jun 2014</v>
      </c>
      <c r="L128" s="64" t="str">
        <f>IFERROR(__xludf.DUMMYFUNCTION("""COMPUTED_VALUE"""),"Jun 2026")</f>
        <v>Jun 2026</v>
      </c>
      <c r="M128" s="65">
        <f>IFERROR(__xludf.DUMMYFUNCTION("""COMPUTED_VALUE"""),1.3398915E7)</f>
        <v>13398915</v>
      </c>
      <c r="N128" s="65">
        <f>IFERROR(__xludf.DUMMYFUNCTION("""COMPUTED_VALUE"""),231015.775862068)</f>
        <v>231015.7759</v>
      </c>
      <c r="O128" s="65">
        <f>IFERROR(__xludf.DUMMYFUNCTION("""COMPUTED_VALUE"""),53749.5)</f>
        <v>53749.5</v>
      </c>
      <c r="P128" s="66" t="str">
        <f>IFERROR(__xludf.DUMMYFUNCTION("""COMPUTED_VALUE"""),"Indie")</f>
        <v>Indie</v>
      </c>
      <c r="Q128" s="64" t="str">
        <f>IFERROR(__xludf.DUMMYFUNCTION("""COMPUTED_VALUE"""),"$")</f>
        <v>$</v>
      </c>
      <c r="R128" s="68" t="str">
        <f>IFERROR(__xludf.DUMMYFUNCTION("""COMPUTED_VALUE"""),"?")</f>
        <v>?</v>
      </c>
      <c r="S128" s="25" t="str">
        <f>IFERROR(__xludf.DUMMYFUNCTION("""COMPUTED_VALUE"""),"Co-op, Puzzle, Arcade, Puzzle Platformer, Open World, Economy, Top-Down Shooter, Resource Management, Base Building")</f>
        <v>Co-op, Puzzle, Arcade, Puzzle Platformer, Open World, Economy, Top-Down Shooter, Resource Management, Base Building</v>
      </c>
      <c r="T128" s="40" t="str">
        <f>IFERROR(__xludf.DUMMYFUNCTION("""COMPUTED_VALUE"""),"Bang-on Balls: Chronicles, Everdream Valley, THE CUB, Golf Club Nostalgia, BOTI: Byteland Overclocked")</f>
        <v>Bang-on Balls: Chronicles, Everdream Valley, THE CUB, Golf Club Nostalgia, BOTI: Byteland Overclocked</v>
      </c>
      <c r="U128" s="69" t="str">
        <f>IFERROR(__xludf.DUMMYFUNCTION("""COMPUTED_VALUE"""),"We are Untold Tales, an indie game publisher that aims to deliver fun and entertaining games that are built around interesting stories. The type of experiences that deliver remarkable joy and narrative to players, be it on PC and consoles. We are one-stop"&amp;"-shop offering financing, publishing, marketing, QA/LQA/CQA, porting, localization-support etc. ")</f>
        <v>We are Untold Tales, an indie game publisher that aims to deliver fun and entertaining games that are built around interesting stories. The type of experiences that deliver remarkable joy and narrative to players, be it on PC and consoles. We are one-stop-shop offering financing, publishing, marketing, QA/LQA/CQA, porting, localization-support etc. </v>
      </c>
    </row>
    <row r="129">
      <c r="A129" s="49" t="str">
        <f>IFERROR(__xludf.DUMMYFUNCTION("""COMPUTED_VALUE"""),"Erabit")</f>
        <v>Erabit</v>
      </c>
      <c r="B129" s="40" t="str">
        <f>IFERROR(__xludf.DUMMYFUNCTION("""COMPUTED_VALUE"""),"Singapore, China, USA")</f>
        <v>Singapore, China, USA</v>
      </c>
      <c r="C129" s="52" t="str">
        <f>IFERROR(__xludf.DUMMYFUNCTION("""COMPUTED_VALUE"""),"http://erabitstudios.com/")</f>
        <v>http://erabitstudios.com/</v>
      </c>
      <c r="D129" s="40" t="str">
        <f>IFERROR(__xludf.DUMMYFUNCTION("""COMPUTED_VALUE"""),"-")</f>
        <v>-</v>
      </c>
      <c r="E129" s="40" t="str">
        <f>IFERROR(__xludf.DUMMYFUNCTION("""COMPUTED_VALUE"""),"hello@erabitstudios.com")</f>
        <v>hello@erabitstudios.com</v>
      </c>
      <c r="F129" s="56" t="str">
        <f>IFERROR(__xludf.DUMMYFUNCTION("""COMPUTED_VALUE"""),"Daisy Suo")</f>
        <v>Daisy Suo</v>
      </c>
      <c r="G129" s="59" t="str">
        <f>IFERROR(__xludf.DUMMYFUNCTION("""COMPUTED_VALUE"""),"https://store.steampowered.com/publisher/Erabit//")</f>
        <v>https://store.steampowered.com/publisher/Erabit//</v>
      </c>
      <c r="H129" s="61" t="str">
        <f>IFERROR(__xludf.DUMMYFUNCTION("""COMPUTED_VALUE"""),"https://gamalytic.com/publisher/Erabit")</f>
        <v>https://gamalytic.com/publisher/Erabit</v>
      </c>
      <c r="I129" s="62" t="str">
        <f>IFERROR(__xludf.DUMMYFUNCTION("""COMPUTED_VALUE"""),"2K")</f>
        <v>2K</v>
      </c>
      <c r="J129" s="63">
        <f>IFERROR(__xludf.DUMMYFUNCTION("""COMPUTED_VALUE"""),26.0)</f>
        <v>26</v>
      </c>
      <c r="K129" s="64" t="str">
        <f>IFERROR(__xludf.DUMMYFUNCTION("""COMPUTED_VALUE"""),"Feb 2015")</f>
        <v>Feb 2015</v>
      </c>
      <c r="L129" s="64" t="str">
        <f>IFERROR(__xludf.DUMMYFUNCTION("""COMPUTED_VALUE"""),"Sep 2026")</f>
        <v>Sep 2026</v>
      </c>
      <c r="M129" s="65">
        <f>IFERROR(__xludf.DUMMYFUNCTION("""COMPUTED_VALUE"""),6602761.0)</f>
        <v>6602761</v>
      </c>
      <c r="N129" s="65">
        <f>IFERROR(__xludf.DUMMYFUNCTION("""COMPUTED_VALUE"""),253952.346153846)</f>
        <v>253952.3462</v>
      </c>
      <c r="O129" s="65">
        <f>IFERROR(__xludf.DUMMYFUNCTION("""COMPUTED_VALUE"""),52953.0)</f>
        <v>52953</v>
      </c>
      <c r="P129" s="66" t="str">
        <f>IFERROR(__xludf.DUMMYFUNCTION("""COMPUTED_VALUE"""),"Indie")</f>
        <v>Indie</v>
      </c>
      <c r="Q129" s="64" t="str">
        <f>IFERROR(__xludf.DUMMYFUNCTION("""COMPUTED_VALUE"""),"$")</f>
        <v>$</v>
      </c>
      <c r="R129" s="68" t="str">
        <f>IFERROR(__xludf.DUMMYFUNCTION("""COMPUTED_VALUE"""),"?")</f>
        <v>?</v>
      </c>
      <c r="S129" s="25" t="str">
        <f>IFERROR(__xludf.DUMMYFUNCTION("""COMPUTED_VALUE"""),"Roguelike, Roguelite, Immersive Sim, Action Roguelike, Tower Defense, Top-Down Shooter, Management, Visual Novel, Deckbuilding, Shop Keeper")</f>
        <v>Roguelike, Roguelite, Immersive Sim, Action Roguelike, Tower Defense, Top-Down Shooter, Management, Visual Novel, Deckbuilding, Shop Keeper</v>
      </c>
      <c r="T129" s="40" t="str">
        <f>IFERROR(__xludf.DUMMYFUNCTION("""COMPUTED_VALUE"""),"Brotato, 20 Minutes Till Dawn")</f>
        <v>Brotato, 20 Minutes Till Dawn</v>
      </c>
      <c r="U129" s="69" t="str">
        <f>IFERROR(__xludf.DUMMYFUNCTION("""COMPUTED_VALUE"""),"Dedicated to supporting solo developers and small teams in bringing their game ideas to life. Well established in Asia and have expertise in Greater China Publishing and Porting")</f>
        <v>Dedicated to supporting solo developers and small teams in bringing their game ideas to life. Well established in Asia and have expertise in Greater China Publishing and Porting</v>
      </c>
    </row>
    <row r="130">
      <c r="A130" s="49" t="str">
        <f>IFERROR(__xludf.DUMMYFUNCTION("""COMPUTED_VALUE"""),"Akupara Games")</f>
        <v>Akupara Games</v>
      </c>
      <c r="B130" s="40" t="str">
        <f>IFERROR(__xludf.DUMMYFUNCTION("""COMPUTED_VALUE"""),"UK")</f>
        <v>UK</v>
      </c>
      <c r="C130" s="52" t="str">
        <f>IFERROR(__xludf.DUMMYFUNCTION("""COMPUTED_VALUE"""),"https://www.akuparagames.com/")</f>
        <v>https://www.akuparagames.com/</v>
      </c>
      <c r="D130" s="40" t="str">
        <f>IFERROR(__xludf.DUMMYFUNCTION("""COMPUTED_VALUE"""),"-")</f>
        <v>-</v>
      </c>
      <c r="E130" s="55" t="str">
        <f>IFERROR(__xludf.DUMMYFUNCTION("""COMPUTED_VALUE"""),"https://www.akuparagames.com/contact-us/")</f>
        <v>https://www.akuparagames.com/contact-us/</v>
      </c>
      <c r="F130" s="56" t="str">
        <f>IFERROR(__xludf.DUMMYFUNCTION("""COMPUTED_VALUE"""),"David Logan/Alejandra Gudiel")</f>
        <v>David Logan/Alejandra Gudiel</v>
      </c>
      <c r="G130" s="59" t="str">
        <f>IFERROR(__xludf.DUMMYFUNCTION("""COMPUTED_VALUE"""),"https://store.steampowered.com/publisher/akuparagames")</f>
        <v>https://store.steampowered.com/publisher/akuparagames</v>
      </c>
      <c r="H130" s="61" t="str">
        <f>IFERROR(__xludf.DUMMYFUNCTION("""COMPUTED_VALUE"""),"https://gamalytic.com/publisher/Akupara%20Games")</f>
        <v>https://gamalytic.com/publisher/Akupara%20Games</v>
      </c>
      <c r="I130" s="62" t="str">
        <f>IFERROR(__xludf.DUMMYFUNCTION("""COMPUTED_VALUE"""),"20K")</f>
        <v>20K</v>
      </c>
      <c r="J130" s="63">
        <f>IFERROR(__xludf.DUMMYFUNCTION("""COMPUTED_VALUE"""),61.0)</f>
        <v>61</v>
      </c>
      <c r="K130" s="64" t="str">
        <f>IFERROR(__xludf.DUMMYFUNCTION("""COMPUTED_VALUE"""),"Jul 2014")</f>
        <v>Jul 2014</v>
      </c>
      <c r="L130" s="64" t="str">
        <f>IFERROR(__xludf.DUMMYFUNCTION("""COMPUTED_VALUE"""),"Oct 2026")</f>
        <v>Oct 2026</v>
      </c>
      <c r="M130" s="65">
        <f>IFERROR(__xludf.DUMMYFUNCTION("""COMPUTED_VALUE"""),3.7301828E7)</f>
        <v>37301828</v>
      </c>
      <c r="N130" s="65">
        <f>IFERROR(__xludf.DUMMYFUNCTION("""COMPUTED_VALUE"""),611505.37704918)</f>
        <v>611505.377</v>
      </c>
      <c r="O130" s="65">
        <f>IFERROR(__xludf.DUMMYFUNCTION("""COMPUTED_VALUE"""),52687.0)</f>
        <v>52687</v>
      </c>
      <c r="P130" s="66" t="str">
        <f>IFERROR(__xludf.DUMMYFUNCTION("""COMPUTED_VALUE"""),"Indie")</f>
        <v>Indie</v>
      </c>
      <c r="Q130" s="64" t="str">
        <f>IFERROR(__xludf.DUMMYFUNCTION("""COMPUTED_VALUE"""),"$")</f>
        <v>$</v>
      </c>
      <c r="R130" s="68" t="str">
        <f>IFERROR(__xludf.DUMMYFUNCTION("""COMPUTED_VALUE"""),"★★★")</f>
        <v>★★★</v>
      </c>
      <c r="S130" s="25" t="str">
        <f>IFERROR(__xludf.DUMMYFUNCTION("""COMPUTED_VALUE"""),"Platformer, Survival, Point &amp; Click, Puzzle, Action-Adventure, Metroidvania, Roguelike Deckbuilder, Open World, Card Game")</f>
        <v>Platformer, Survival, Point &amp; Click, Puzzle, Action-Adventure, Metroidvania, Roguelike Deckbuilder, Open World, Card Game</v>
      </c>
      <c r="T130" s="40" t="str">
        <f>IFERROR(__xludf.DUMMYFUNCTION("""COMPUTED_VALUE"""),"Rain World, Behind the Frame, The Darkside detective")</f>
        <v>Rain World, Behind the Frame, The Darkside detective</v>
      </c>
      <c r="U130" s="69" t="str">
        <f>IFERROR(__xludf.DUMMYFUNCTION("""COMPUTED_VALUE"""),"Generally fund games in the $100k range, $200k max. Currently focused on narrative and horror games")</f>
        <v>Generally fund games in the $100k range, $200k max. Currently focused on narrative and horror games</v>
      </c>
    </row>
    <row r="131">
      <c r="A131" s="49" t="str">
        <f>IFERROR(__xludf.DUMMYFUNCTION("""COMPUTED_VALUE"""),"Outright Games")</f>
        <v>Outright Games</v>
      </c>
      <c r="B131" s="40" t="str">
        <f>IFERROR(__xludf.DUMMYFUNCTION("""COMPUTED_VALUE"""),"UK")</f>
        <v>UK</v>
      </c>
      <c r="C131" s="52" t="str">
        <f>IFERROR(__xludf.DUMMYFUNCTION("""COMPUTED_VALUE"""),"https://outrightgames.com/")</f>
        <v>https://outrightgames.com/</v>
      </c>
      <c r="D131" s="40" t="str">
        <f>IFERROR(__xludf.DUMMYFUNCTION("""COMPUTED_VALUE"""),"-")</f>
        <v>-</v>
      </c>
      <c r="E131" s="55" t="str">
        <f>IFERROR(__xludf.DUMMYFUNCTION("""COMPUTED_VALUE"""),"https://outrightgames.com/contact/")</f>
        <v>https://outrightgames.com/contact/</v>
      </c>
      <c r="F131" s="56" t="str">
        <f>IFERROR(__xludf.DUMMYFUNCTION("""COMPUTED_VALUE"""),"Dan McCreadie")</f>
        <v>Dan McCreadie</v>
      </c>
      <c r="G131" s="59" t="str">
        <f>IFERROR(__xludf.DUMMYFUNCTION("""COMPUTED_VALUE"""),"https://store.steampowered.com/publisher/outrightgames")</f>
        <v>https://store.steampowered.com/publisher/outrightgames</v>
      </c>
      <c r="H131" s="61" t="str">
        <f>IFERROR(__xludf.DUMMYFUNCTION("""COMPUTED_VALUE"""),"https://gamalytic.com/publisher/Outright%20Games%20Ltd.")</f>
        <v>https://gamalytic.com/publisher/Outright%20Games%20Ltd.</v>
      </c>
      <c r="I131" s="62" t="str">
        <f>IFERROR(__xludf.DUMMYFUNCTION("""COMPUTED_VALUE"""),"7K")</f>
        <v>7K</v>
      </c>
      <c r="J131" s="63">
        <f>IFERROR(__xludf.DUMMYFUNCTION("""COMPUTED_VALUE"""),56.0)</f>
        <v>56</v>
      </c>
      <c r="K131" s="64" t="str">
        <f>IFERROR(__xludf.DUMMYFUNCTION("""COMPUTED_VALUE"""),"Nov 2017")</f>
        <v>Nov 2017</v>
      </c>
      <c r="L131" s="64" t="str">
        <f>IFERROR(__xludf.DUMMYFUNCTION("""COMPUTED_VALUE"""),"Oct 2026")</f>
        <v>Oct 2026</v>
      </c>
      <c r="M131" s="65">
        <f>IFERROR(__xludf.DUMMYFUNCTION("""COMPUTED_VALUE"""),7980529.0)</f>
        <v>7980529</v>
      </c>
      <c r="N131" s="65">
        <f>IFERROR(__xludf.DUMMYFUNCTION("""COMPUTED_VALUE"""),142509.446428571)</f>
        <v>142509.4464</v>
      </c>
      <c r="O131" s="65">
        <f>IFERROR(__xludf.DUMMYFUNCTION("""COMPUTED_VALUE"""),51298.0)</f>
        <v>51298</v>
      </c>
      <c r="P131" s="66" t="str">
        <f>IFERROR(__xludf.DUMMYFUNCTION("""COMPUTED_VALUE"""),"Indie")</f>
        <v>Indie</v>
      </c>
      <c r="Q131" s="64" t="str">
        <f>IFERROR(__xludf.DUMMYFUNCTION("""COMPUTED_VALUE"""),"$")</f>
        <v>$</v>
      </c>
      <c r="R131" s="68" t="str">
        <f>IFERROR(__xludf.DUMMYFUNCTION("""COMPUTED_VALUE"""),"★★")</f>
        <v>★★</v>
      </c>
      <c r="S131" s="25" t="str">
        <f>IFERROR(__xludf.DUMMYFUNCTION("""COMPUTED_VALUE"""),"Action-Adventure, Platformer, 3D Platformer, Co-op, Sandbox, Open World, Driving")</f>
        <v>Action-Adventure, Platformer, 3D Platformer, Co-op, Sandbox, Open World, Driving</v>
      </c>
      <c r="T131" s="40" t="str">
        <f>IFERROR(__xludf.DUMMYFUNCTION("""COMPUTED_VALUE"""),"My Friend Peppa Pig, Transformers, Paw patrol")</f>
        <v>My Friend Peppa Pig, Transformers, Paw patrol</v>
      </c>
      <c r="U131" s="69" t="str">
        <f>IFERROR(__xludf.DUMMYFUNCTION("""COMPUTED_VALUE"""),"They were developers who have started looking into publishing. They solely focus on family-friendly games.")</f>
        <v>They were developers who have started looking into publishing. They solely focus on family-friendly games.</v>
      </c>
    </row>
    <row r="132">
      <c r="A132" s="49" t="str">
        <f>IFERROR(__xludf.DUMMYFUNCTION("""COMPUTED_VALUE"""),"101XP")</f>
        <v>101XP</v>
      </c>
      <c r="B132" s="40" t="str">
        <f>IFERROR(__xludf.DUMMYFUNCTION("""COMPUTED_VALUE"""),"Cyprus")</f>
        <v>Cyprus</v>
      </c>
      <c r="C132" s="52" t="str">
        <f>IFERROR(__xludf.DUMMYFUNCTION("""COMPUTED_VALUE"""),"https://en.101xp.com/")</f>
        <v>https://en.101xp.com/</v>
      </c>
      <c r="D132" s="55" t="str">
        <f>IFERROR(__xludf.DUMMYFUNCTION("""COMPUTED_VALUE"""),"https://corp.101xp.com/publishing")</f>
        <v>https://corp.101xp.com/publishing</v>
      </c>
      <c r="E132" s="55" t="str">
        <f>IFERROR(__xludf.DUMMYFUNCTION("""COMPUTED_VALUE"""),"https://corp.101xp.com/publishing")</f>
        <v>https://corp.101xp.com/publishing</v>
      </c>
      <c r="F132" s="56" t="str">
        <f>IFERROR(__xludf.DUMMYFUNCTION("""COMPUTED_VALUE"""),"Vasiliy Vasilchenko")</f>
        <v>Vasiliy Vasilchenko</v>
      </c>
      <c r="G132" s="59" t="str">
        <f>IFERROR(__xludf.DUMMYFUNCTION("""COMPUTED_VALUE"""),"https://store.steampowered.com/publisher/101xp")</f>
        <v>https://store.steampowered.com/publisher/101xp</v>
      </c>
      <c r="H132" s="61" t="str">
        <f>IFERROR(__xludf.DUMMYFUNCTION("""COMPUTED_VALUE"""),"https://gamalytic.com/publisher/101XP")</f>
        <v>https://gamalytic.com/publisher/101XP</v>
      </c>
      <c r="I132" s="62" t="str">
        <f>IFERROR(__xludf.DUMMYFUNCTION("""COMPUTED_VALUE"""),"8K")</f>
        <v>8K</v>
      </c>
      <c r="J132" s="63">
        <f>IFERROR(__xludf.DUMMYFUNCTION("""COMPUTED_VALUE"""),20.0)</f>
        <v>20</v>
      </c>
      <c r="K132" s="64" t="str">
        <f>IFERROR(__xludf.DUMMYFUNCTION("""COMPUTED_VALUE"""),"Oct 2017")</f>
        <v>Oct 2017</v>
      </c>
      <c r="L132" s="64" t="str">
        <f>IFERROR(__xludf.DUMMYFUNCTION("""COMPUTED_VALUE"""),"Jul 2026")</f>
        <v>Jul 2026</v>
      </c>
      <c r="M132" s="65">
        <f>IFERROR(__xludf.DUMMYFUNCTION("""COMPUTED_VALUE"""),6341193.0)</f>
        <v>6341193</v>
      </c>
      <c r="N132" s="65">
        <f>IFERROR(__xludf.DUMMYFUNCTION("""COMPUTED_VALUE"""),317059.65)</f>
        <v>317059.65</v>
      </c>
      <c r="O132" s="65">
        <f>IFERROR(__xludf.DUMMYFUNCTION("""COMPUTED_VALUE"""),48405.0)</f>
        <v>48405</v>
      </c>
      <c r="P132" s="66" t="str">
        <f>IFERROR(__xludf.DUMMYFUNCTION("""COMPUTED_VALUE"""),"Indie")</f>
        <v>Indie</v>
      </c>
      <c r="Q132" s="64" t="str">
        <f>IFERROR(__xludf.DUMMYFUNCTION("""COMPUTED_VALUE"""),"$")</f>
        <v>$</v>
      </c>
      <c r="R132" s="68" t="str">
        <f>IFERROR(__xludf.DUMMYFUNCTION("""COMPUTED_VALUE"""),"?")</f>
        <v>?</v>
      </c>
      <c r="S132" s="25" t="str">
        <f>IFERROR(__xludf.DUMMYFUNCTION("""COMPUTED_VALUE"""),"Visual Novel, Choose Your Own Adventure, Interactive Fiction, Text-Based, Life Sim, Political Sim, Survival, Management, Action-Adventure, Action Roguelike")</f>
        <v>Visual Novel, Choose Your Own Adventure, Interactive Fiction, Text-Based, Life Sim, Political Sim, Survival, Management, Action-Adventure, Action Roguelike</v>
      </c>
      <c r="T132" s="40" t="str">
        <f>IFERROR(__xludf.DUMMYFUNCTION("""COMPUTED_VALUE"""),"FatalZone, The Life and Suffering of Sir Brante, For the People, The Darkest Tales")</f>
        <v>FatalZone, The Life and Suffering of Sir Brante, For the People, The Darkest Tales</v>
      </c>
      <c r="U132" s="69" t="str">
        <f>IFERROR(__xludf.DUMMYFUNCTION("""COMPUTED_VALUE"""),"They publish very different games but have the team that can learn any genre very well. They provide publishing, marketing, localization, QA, influencers and streamers support, PR, analytics and more. Reach out to the link or directly to v.vasilchenko@cor"&amp;"p.101xp.com (note that you came from this doc)")</f>
        <v>They publish very different games but have the team that can learn any genre very well. They provide publishing, marketing, localization, QA, influencers and streamers support, PR, analytics and more. Reach out to the link or directly to v.vasilchenko@corp.101xp.com (note that you came from this doc)</v>
      </c>
    </row>
    <row r="133">
      <c r="A133" s="49" t="str">
        <f>IFERROR(__xludf.DUMMYFUNCTION("""COMPUTED_VALUE"""),"Fulqrum Publishing")</f>
        <v>Fulqrum Publishing</v>
      </c>
      <c r="B133" s="40" t="str">
        <f>IFERROR(__xludf.DUMMYFUNCTION("""COMPUTED_VALUE"""),"Czech")</f>
        <v>Czech</v>
      </c>
      <c r="C133" s="52" t="str">
        <f>IFERROR(__xludf.DUMMYFUNCTION("""COMPUTED_VALUE"""),"https://www.fulqrumpublishing.com/")</f>
        <v>https://www.fulqrumpublishing.com/</v>
      </c>
      <c r="D133" s="40" t="str">
        <f>IFERROR(__xludf.DUMMYFUNCTION("""COMPUTED_VALUE"""),"-")</f>
        <v>-</v>
      </c>
      <c r="E133" s="40" t="str">
        <f>IFERROR(__xludf.DUMMYFUNCTION("""COMPUTED_VALUE"""),"pitch@fulqrumpublishing.com")</f>
        <v>pitch@fulqrumpublishing.com</v>
      </c>
      <c r="F133" s="56" t="str">
        <f>IFERROR(__xludf.DUMMYFUNCTION("""COMPUTED_VALUE"""),"?")</f>
        <v>?</v>
      </c>
      <c r="G133" s="59" t="str">
        <f>IFERROR(__xludf.DUMMYFUNCTION("""COMPUTED_VALUE"""),"https://store.steampowered.com/franchise/FulqrumPublishing")</f>
        <v>https://store.steampowered.com/franchise/FulqrumPublishing</v>
      </c>
      <c r="H133" s="61" t="str">
        <f>IFERROR(__xludf.DUMMYFUNCTION("""COMPUTED_VALUE"""),"https://gamalytic.com/publisher/Fulqrum%20Publishing")</f>
        <v>https://gamalytic.com/publisher/Fulqrum%20Publishing</v>
      </c>
      <c r="I133" s="62" t="str">
        <f>IFERROR(__xludf.DUMMYFUNCTION("""COMPUTED_VALUE"""),"49K")</f>
        <v>49K</v>
      </c>
      <c r="J133" s="63">
        <f>IFERROR(__xludf.DUMMYFUNCTION("""COMPUTED_VALUE"""),123.0)</f>
        <v>123</v>
      </c>
      <c r="K133" s="64" t="str">
        <f>IFERROR(__xludf.DUMMYFUNCTION("""COMPUTED_VALUE"""),"Jun 2008")</f>
        <v>Jun 2008</v>
      </c>
      <c r="L133" s="64" t="str">
        <f>IFERROR(__xludf.DUMMYFUNCTION("""COMPUTED_VALUE"""),"Jun 2026")</f>
        <v>Jun 2026</v>
      </c>
      <c r="M133" s="65">
        <f>IFERROR(__xludf.DUMMYFUNCTION("""COMPUTED_VALUE"""),5.0840972E7)</f>
        <v>50840972</v>
      </c>
      <c r="N133" s="65">
        <f>IFERROR(__xludf.DUMMYFUNCTION("""COMPUTED_VALUE"""),413341.235772357)</f>
        <v>413341.2358</v>
      </c>
      <c r="O133" s="65">
        <f>IFERROR(__xludf.DUMMYFUNCTION("""COMPUTED_VALUE"""),48398.0)</f>
        <v>48398</v>
      </c>
      <c r="P133" s="66" t="str">
        <f>IFERROR(__xludf.DUMMYFUNCTION("""COMPUTED_VALUE"""),"AA")</f>
        <v>AA</v>
      </c>
      <c r="Q133" s="64" t="str">
        <f>IFERROR(__xludf.DUMMYFUNCTION("""COMPUTED_VALUE"""),"$$, $$$")</f>
        <v>$$, $$$</v>
      </c>
      <c r="R133" s="68" t="str">
        <f>IFERROR(__xludf.DUMMYFUNCTION("""COMPUTED_VALUE"""),"?")</f>
        <v>?</v>
      </c>
      <c r="S133" s="25" t="str">
        <f>IFERROR(__xludf.DUMMYFUNCTION("""COMPUTED_VALUE"""),"RTS, FPS, Turn-Based Strategy, Shooter, Turn-Based Combat, Tactical RPG, Real Time Tactics, Horror, Hex Grid")</f>
        <v>RTS, FPS, Turn-Based Strategy, Shooter, Turn-Based Combat, Tactical RPG, Real Time Tactics, Horror, Hex Grid</v>
      </c>
      <c r="T133" s="40" t="str">
        <f>IFERROR(__xludf.DUMMYFUNCTION("""COMPUTED_VALUE"""),"Forgive Me Father, Fell Seal, Men of War series")</f>
        <v>Forgive Me Father, Fell Seal, Men of War series</v>
      </c>
      <c r="U133" s="69" t="str">
        <f>IFERROR(__xludf.DUMMYFUNCTION("""COMPUTED_VALUE"""),"-")</f>
        <v>-</v>
      </c>
    </row>
    <row r="134">
      <c r="A134" s="49" t="str">
        <f>IFERROR(__xludf.DUMMYFUNCTION("""COMPUTED_VALUE"""),"Microprose")</f>
        <v>Microprose</v>
      </c>
      <c r="B134" s="40" t="str">
        <f>IFERROR(__xludf.DUMMYFUNCTION("""COMPUTED_VALUE"""),"Australia")</f>
        <v>Australia</v>
      </c>
      <c r="C134" s="52" t="str">
        <f>IFERROR(__xludf.DUMMYFUNCTION("""COMPUTED_VALUE"""),"https://www.microprose.com")</f>
        <v>https://www.microprose.com</v>
      </c>
      <c r="D134" s="40"/>
      <c r="E134" s="40"/>
      <c r="F134" s="56" t="str">
        <f>IFERROR(__xludf.DUMMYFUNCTION("""COMPUTED_VALUE"""),"?")</f>
        <v>?</v>
      </c>
      <c r="G134" s="59" t="str">
        <f>IFERROR(__xludf.DUMMYFUNCTION("""COMPUTED_VALUE"""),"https://store.steampowered.com/publisher/microprose")</f>
        <v>https://store.steampowered.com/publisher/microprose</v>
      </c>
      <c r="H134" s="61" t="str">
        <f>IFERROR(__xludf.DUMMYFUNCTION("""COMPUTED_VALUE"""),"https://gamalytic.com/publisher/MicroProse%20Software")</f>
        <v>https://gamalytic.com/publisher/MicroProse%20Software</v>
      </c>
      <c r="I134" s="62" t="str">
        <f>IFERROR(__xludf.DUMMYFUNCTION("""COMPUTED_VALUE"""),"33K")</f>
        <v>33K</v>
      </c>
      <c r="J134" s="63">
        <f>IFERROR(__xludf.DUMMYFUNCTION("""COMPUTED_VALUE"""),73.0)</f>
        <v>73</v>
      </c>
      <c r="K134" s="64" t="str">
        <f>IFERROR(__xludf.DUMMYFUNCTION("""COMPUTED_VALUE"""),"Jul 2014")</f>
        <v>Jul 2014</v>
      </c>
      <c r="L134" s="64" t="str">
        <f>IFERROR(__xludf.DUMMYFUNCTION("""COMPUTED_VALUE"""),"Oct 2026")</f>
        <v>Oct 2026</v>
      </c>
      <c r="M134" s="65">
        <f>IFERROR(__xludf.DUMMYFUNCTION("""COMPUTED_VALUE"""),5.4804424E7)</f>
        <v>54804424</v>
      </c>
      <c r="N134" s="65">
        <f>IFERROR(__xludf.DUMMYFUNCTION("""COMPUTED_VALUE"""),750745.534246575)</f>
        <v>750745.5342</v>
      </c>
      <c r="O134" s="65">
        <f>IFERROR(__xludf.DUMMYFUNCTION("""COMPUTED_VALUE"""),48025.0)</f>
        <v>48025</v>
      </c>
      <c r="P134" s="66" t="str">
        <f>IFERROR(__xludf.DUMMYFUNCTION("""COMPUTED_VALUE"""),"AA")</f>
        <v>AA</v>
      </c>
      <c r="Q134" s="64" t="str">
        <f>IFERROR(__xludf.DUMMYFUNCTION("""COMPUTED_VALUE"""),"$$, $$$")</f>
        <v>$$, $$$</v>
      </c>
      <c r="R134" s="68" t="str">
        <f>IFERROR(__xludf.DUMMYFUNCTION("""COMPUTED_VALUE"""),"★★")</f>
        <v>★★</v>
      </c>
      <c r="S134" s="25" t="str">
        <f>IFERROR(__xludf.DUMMYFUNCTION("""COMPUTED_VALUE"""),"Wargame, RTS, Real Time Tactics, FPS, Shooter, Flight, Management")</f>
        <v>Wargame, RTS, Real Time Tactics, FPS, Shooter, Flight, Management</v>
      </c>
      <c r="T134" s="40" t="str">
        <f>IFERROR(__xludf.DUMMYFUNCTION("""COMPUTED_VALUE"""),"Ground Branch, Sea Power : Naval Combat in the Missile Age")</f>
        <v>Ground Branch, Sea Power : Naval Combat in the Missile Age</v>
      </c>
      <c r="U134" s="69" t="str">
        <f>IFERROR(__xludf.DUMMYFUNCTION("""COMPUTED_VALUE"""),"Brand purchased and revived to re-release old games and publish new indies (2018)")</f>
        <v>Brand purchased and revived to re-release old games and publish new indies (2018)</v>
      </c>
    </row>
    <row r="135">
      <c r="A135" s="49" t="str">
        <f>IFERROR(__xludf.DUMMYFUNCTION("""COMPUTED_VALUE"""),"Anshar Publishing")</f>
        <v>Anshar Publishing</v>
      </c>
      <c r="B135" s="40" t="str">
        <f>IFERROR(__xludf.DUMMYFUNCTION("""COMPUTED_VALUE"""),"Poland")</f>
        <v>Poland</v>
      </c>
      <c r="C135" s="52" t="str">
        <f>IFERROR(__xludf.DUMMYFUNCTION("""COMPUTED_VALUE"""),"http://ansharpublishing.com")</f>
        <v>http://ansharpublishing.com</v>
      </c>
      <c r="D135" s="40" t="str">
        <f>IFERROR(__xludf.DUMMYFUNCTION("""COMPUTED_VALUE"""),"-")</f>
        <v>-</v>
      </c>
      <c r="E135" s="40" t="str">
        <f>IFERROR(__xludf.DUMMYFUNCTION("""COMPUTED_VALUE"""),"office@ansharpublishing.com")</f>
        <v>office@ansharpublishing.com</v>
      </c>
      <c r="F135" s="56" t="str">
        <f>IFERROR(__xludf.DUMMYFUNCTION("""COMPUTED_VALUE"""),"https://www.linkedin.com/in/jakub-kwinta")</f>
        <v>https://www.linkedin.com/in/jakub-kwinta</v>
      </c>
      <c r="G135" s="59" t="str">
        <f>IFERROR(__xludf.DUMMYFUNCTION("""COMPUTED_VALUE"""),"https://store.steampowered.com/publisher/AnsharPublishing")</f>
        <v>https://store.steampowered.com/publisher/AnsharPublishing</v>
      </c>
      <c r="H135" s="61" t="str">
        <f>IFERROR(__xludf.DUMMYFUNCTION("""COMPUTED_VALUE"""),"https://gamalytic.com/publisher/Anshar%20Publishing")</f>
        <v>https://gamalytic.com/publisher/Anshar%20Publishing</v>
      </c>
      <c r="I135" s="62" t="str">
        <f>IFERROR(__xludf.DUMMYFUNCTION("""COMPUTED_VALUE"""),"1K")</f>
        <v>1K</v>
      </c>
      <c r="J135" s="63">
        <f>IFERROR(__xludf.DUMMYFUNCTION("""COMPUTED_VALUE"""),15.0)</f>
        <v>15</v>
      </c>
      <c r="K135" s="64" t="str">
        <f>IFERROR(__xludf.DUMMYFUNCTION("""COMPUTED_VALUE"""),"May 2017")</f>
        <v>May 2017</v>
      </c>
      <c r="L135" s="64" t="str">
        <f>IFERROR(__xludf.DUMMYFUNCTION("""COMPUTED_VALUE"""),"Sep 2026")</f>
        <v>Sep 2026</v>
      </c>
      <c r="M135" s="65">
        <f>IFERROR(__xludf.DUMMYFUNCTION("""COMPUTED_VALUE"""),3078187.0)</f>
        <v>3078187</v>
      </c>
      <c r="N135" s="65">
        <f>IFERROR(__xludf.DUMMYFUNCTION("""COMPUTED_VALUE"""),205212.466666666)</f>
        <v>205212.4667</v>
      </c>
      <c r="O135" s="65">
        <f>IFERROR(__xludf.DUMMYFUNCTION("""COMPUTED_VALUE"""),44348.0)</f>
        <v>44348</v>
      </c>
      <c r="P135" s="66" t="str">
        <f>IFERROR(__xludf.DUMMYFUNCTION("""COMPUTED_VALUE"""),"Indie")</f>
        <v>Indie</v>
      </c>
      <c r="Q135" s="64" t="str">
        <f>IFERROR(__xludf.DUMMYFUNCTION("""COMPUTED_VALUE"""),"$")</f>
        <v>$</v>
      </c>
      <c r="R135" s="68" t="str">
        <f>IFERROR(__xludf.DUMMYFUNCTION("""COMPUTED_VALUE"""),"?")</f>
        <v>?</v>
      </c>
      <c r="S135" s="25" t="str">
        <f>IFERROR(__xludf.DUMMYFUNCTION("""COMPUTED_VALUE"""),"Hack and Slash, Cleaning, Turn-Based Combat, Action RPG, Roguelite, Roguelike, Arcade, Flight")</f>
        <v>Hack and Slash, Cleaning, Turn-Based Combat, Action RPG, Roguelite, Roguelike, Arcade, Flight</v>
      </c>
      <c r="T135" s="40" t="str">
        <f>IFERROR(__xludf.DUMMYFUNCTION("""COMPUTED_VALUE"""),"Gamedec, Zoria: Age of Shattering")</f>
        <v>Gamedec, Zoria: Age of Shattering</v>
      </c>
      <c r="U135" s="69" t="str">
        <f>IFERROR(__xludf.DUMMYFUNCTION("""COMPUTED_VALUE"""),"Indie Games publisher for all platforms and regions, focused on systemic narrative games. ")</f>
        <v>Indie Games publisher for all platforms and regions, focused on systemic narrative games. </v>
      </c>
    </row>
    <row r="136">
      <c r="A136" s="49" t="str">
        <f>IFERROR(__xludf.DUMMYFUNCTION("""COMPUTED_VALUE"""),"1312 Interactive")</f>
        <v>1312 Interactive</v>
      </c>
      <c r="B136" s="40" t="str">
        <f>IFERROR(__xludf.DUMMYFUNCTION("""COMPUTED_VALUE"""),"India")</f>
        <v>India</v>
      </c>
      <c r="C136" s="52" t="str">
        <f>IFERROR(__xludf.DUMMYFUNCTION("""COMPUTED_VALUE"""),"https://1312interactive.com/")</f>
        <v>https://1312interactive.com/</v>
      </c>
      <c r="D136" s="40"/>
      <c r="E136" s="40" t="str">
        <f>IFERROR(__xludf.DUMMYFUNCTION("""COMPUTED_VALUE"""),"ravi@1312interactive.com")</f>
        <v>ravi@1312interactive.com</v>
      </c>
      <c r="F136" s="56"/>
      <c r="G136" s="59" t="str">
        <f>IFERROR(__xludf.DUMMYFUNCTION("""COMPUTED_VALUE"""),"https://store.steampowered.com/curator/45877783")</f>
        <v>https://store.steampowered.com/curator/45877783</v>
      </c>
      <c r="H136" s="61" t="str">
        <f>IFERROR(__xludf.DUMMYFUNCTION("""COMPUTED_VALUE"""),"https://gamalytic.com/publisher/1312%20Interactive")</f>
        <v>https://gamalytic.com/publisher/1312%20Interactive</v>
      </c>
      <c r="I136" s="62">
        <f>IFERROR(__xludf.DUMMYFUNCTION("""COMPUTED_VALUE"""),49.0)</f>
        <v>49</v>
      </c>
      <c r="J136" s="63">
        <f>IFERROR(__xludf.DUMMYFUNCTION("""COMPUTED_VALUE"""),2.0)</f>
        <v>2</v>
      </c>
      <c r="K136" s="64" t="str">
        <f>IFERROR(__xludf.DUMMYFUNCTION("""COMPUTED_VALUE"""),"Nov 2025")</f>
        <v>Nov 2025</v>
      </c>
      <c r="L136" s="64" t="str">
        <f>IFERROR(__xludf.DUMMYFUNCTION("""COMPUTED_VALUE"""),"Aug 2026")</f>
        <v>Aug 2026</v>
      </c>
      <c r="M136" s="65">
        <f>IFERROR(__xludf.DUMMYFUNCTION("""COMPUTED_VALUE"""),85241.0)</f>
        <v>85241</v>
      </c>
      <c r="N136" s="65">
        <f>IFERROR(__xludf.DUMMYFUNCTION("""COMPUTED_VALUE"""),42620.5)</f>
        <v>42620.5</v>
      </c>
      <c r="O136" s="65">
        <f>IFERROR(__xludf.DUMMYFUNCTION("""COMPUTED_VALUE"""),42620.5)</f>
        <v>42620.5</v>
      </c>
      <c r="P136" s="66" t="str">
        <f>IFERROR(__xludf.DUMMYFUNCTION("""COMPUTED_VALUE"""),"Indie")</f>
        <v>Indie</v>
      </c>
      <c r="Q136" s="64" t="str">
        <f>IFERROR(__xludf.DUMMYFUNCTION("""COMPUTED_VALUE"""),"$")</f>
        <v>$</v>
      </c>
      <c r="R136" s="68" t="str">
        <f>IFERROR(__xludf.DUMMYFUNCTION("""COMPUTED_VALUE"""),"?")</f>
        <v>?</v>
      </c>
      <c r="S136" s="25"/>
      <c r="T136" s="40"/>
      <c r="U136" s="69"/>
    </row>
    <row r="137">
      <c r="A137" s="49" t="str">
        <f>IFERROR(__xludf.DUMMYFUNCTION("""COMPUTED_VALUE"""),"Whitethorn Games")</f>
        <v>Whitethorn Games</v>
      </c>
      <c r="B137" s="40" t="str">
        <f>IFERROR(__xludf.DUMMYFUNCTION("""COMPUTED_VALUE"""),"USA")</f>
        <v>USA</v>
      </c>
      <c r="C137" s="52" t="str">
        <f>IFERROR(__xludf.DUMMYFUNCTION("""COMPUTED_VALUE"""),"https://whitethorngames.com/")</f>
        <v>https://whitethorngames.com/</v>
      </c>
      <c r="D137" s="40" t="str">
        <f>IFERROR(__xludf.DUMMYFUNCTION("""COMPUTED_VALUE"""),"-")</f>
        <v>-</v>
      </c>
      <c r="E137" s="40" t="str">
        <f>IFERROR(__xludf.DUMMYFUNCTION("""COMPUTED_VALUE"""),"hello@whitethorngames.com")</f>
        <v>hello@whitethorngames.com</v>
      </c>
      <c r="F137" s="56" t="str">
        <f>IFERROR(__xludf.DUMMYFUNCTION("""COMPUTED_VALUE"""),"Brian Wilson")</f>
        <v>Brian Wilson</v>
      </c>
      <c r="G137" s="59" t="str">
        <f>IFERROR(__xludf.DUMMYFUNCTION("""COMPUTED_VALUE"""),"https://store.steampowered.com/publisher/whitethorngames")</f>
        <v>https://store.steampowered.com/publisher/whitethorngames</v>
      </c>
      <c r="H137" s="61" t="str">
        <f>IFERROR(__xludf.DUMMYFUNCTION("""COMPUTED_VALUE"""),"https://gamalytic.com/publisher/Whitethorn%20Games")</f>
        <v>https://gamalytic.com/publisher/Whitethorn%20Games</v>
      </c>
      <c r="I137" s="62" t="str">
        <f>IFERROR(__xludf.DUMMYFUNCTION("""COMPUTED_VALUE"""),"5K")</f>
        <v>5K</v>
      </c>
      <c r="J137" s="63">
        <f>IFERROR(__xludf.DUMMYFUNCTION("""COMPUTED_VALUE"""),25.0)</f>
        <v>25</v>
      </c>
      <c r="K137" s="64" t="str">
        <f>IFERROR(__xludf.DUMMYFUNCTION("""COMPUTED_VALUE"""),"Jun 2017")</f>
        <v>Jun 2017</v>
      </c>
      <c r="L137" s="64" t="str">
        <f>IFERROR(__xludf.DUMMYFUNCTION("""COMPUTED_VALUE"""),"Oct 2026")</f>
        <v>Oct 2026</v>
      </c>
      <c r="M137" s="65">
        <f>IFERROR(__xludf.DUMMYFUNCTION("""COMPUTED_VALUE"""),6374966.0)</f>
        <v>6374966</v>
      </c>
      <c r="N137" s="65">
        <f>IFERROR(__xludf.DUMMYFUNCTION("""COMPUTED_VALUE"""),254998.64)</f>
        <v>254998.64</v>
      </c>
      <c r="O137" s="65">
        <f>IFERROR(__xludf.DUMMYFUNCTION("""COMPUTED_VALUE"""),38781.0)</f>
        <v>38781</v>
      </c>
      <c r="P137" s="66" t="str">
        <f>IFERROR(__xludf.DUMMYFUNCTION("""COMPUTED_VALUE"""),"Indie")</f>
        <v>Indie</v>
      </c>
      <c r="Q137" s="64" t="str">
        <f>IFERROR(__xludf.DUMMYFUNCTION("""COMPUTED_VALUE"""),"$")</f>
        <v>$</v>
      </c>
      <c r="R137" s="68" t="str">
        <f>IFERROR(__xludf.DUMMYFUNCTION("""COMPUTED_VALUE"""),"★★")</f>
        <v>★★</v>
      </c>
      <c r="S137" s="25" t="str">
        <f>IFERROR(__xludf.DUMMYFUNCTION("""COMPUTED_VALUE"""),"Open World, Walking Simulator, Puzzle, Immersive Sim, Sandbox, Management, Choose Your Own Adventure, Platformer")</f>
        <v>Open World, Walking Simulator, Puzzle, Immersive Sim, Sandbox, Management, Choose Your Own Adventure, Platformer</v>
      </c>
      <c r="T137" s="40" t="str">
        <f>IFERROR(__xludf.DUMMYFUNCTION("""COMPUTED_VALUE"""),"Wytchwood, Apico, Lake")</f>
        <v>Wytchwood, Apico, Lake</v>
      </c>
      <c r="U137" s="69" t="str">
        <f>IFERROR(__xludf.DUMMYFUNCTION("""COMPUTED_VALUE"""),"Cozy game publisher with a focus on transparency")</f>
        <v>Cozy game publisher with a focus on transparency</v>
      </c>
    </row>
    <row r="138">
      <c r="A138" s="49" t="str">
        <f>IFERROR(__xludf.DUMMYFUNCTION("""COMPUTED_VALUE"""),"NoodleCake")</f>
        <v>NoodleCake</v>
      </c>
      <c r="B138" s="40" t="str">
        <f>IFERROR(__xludf.DUMMYFUNCTION("""COMPUTED_VALUE"""),"Canada")</f>
        <v>Canada</v>
      </c>
      <c r="C138" s="52" t="str">
        <f>IFERROR(__xludf.DUMMYFUNCTION("""COMPUTED_VALUE"""),"https://noodlecake.com/")</f>
        <v>https://noodlecake.com/</v>
      </c>
      <c r="D138" s="55" t="str">
        <f>IFERROR(__xludf.DUMMYFUNCTION("""COMPUTED_VALUE"""),"https://noodlecake.com/publishing/")</f>
        <v>https://noodlecake.com/publishing/</v>
      </c>
      <c r="E138" s="40" t="str">
        <f>IFERROR(__xludf.DUMMYFUNCTION("""COMPUTED_VALUE"""),"publishing@noodlecake.com")</f>
        <v>publishing@noodlecake.com</v>
      </c>
      <c r="F138" s="56" t="str">
        <f>IFERROR(__xludf.DUMMYFUNCTION("""COMPUTED_VALUE"""),"Bo Dong, Kay-Lynne Fehr, Ryan Holowaty")</f>
        <v>Bo Dong, Kay-Lynne Fehr, Ryan Holowaty</v>
      </c>
      <c r="G138" s="59" t="str">
        <f>IFERROR(__xludf.DUMMYFUNCTION("""COMPUTED_VALUE"""),"https://store.steampowered.com/publisher/NOODLECAKE")</f>
        <v>https://store.steampowered.com/publisher/NOODLECAKE</v>
      </c>
      <c r="H138" s="61" t="str">
        <f>IFERROR(__xludf.DUMMYFUNCTION("""COMPUTED_VALUE"""),"https://gamalytic.com/publisher/Noodlecake")</f>
        <v>https://gamalytic.com/publisher/Noodlecake</v>
      </c>
      <c r="I138" s="62">
        <f>IFERROR(__xludf.DUMMYFUNCTION("""COMPUTED_VALUE"""),914.0)</f>
        <v>914</v>
      </c>
      <c r="J138" s="63">
        <f>IFERROR(__xludf.DUMMYFUNCTION("""COMPUTED_VALUE"""),11.0)</f>
        <v>11</v>
      </c>
      <c r="K138" s="64" t="str">
        <f>IFERROR(__xludf.DUMMYFUNCTION("""COMPUTED_VALUE"""),"Jun 2018")</f>
        <v>Jun 2018</v>
      </c>
      <c r="L138" s="64" t="str">
        <f>IFERROR(__xludf.DUMMYFUNCTION("""COMPUTED_VALUE"""),"Jul 2026")</f>
        <v>Jul 2026</v>
      </c>
      <c r="M138" s="65">
        <f>IFERROR(__xludf.DUMMYFUNCTION("""COMPUTED_VALUE"""),2754690.0)</f>
        <v>2754690</v>
      </c>
      <c r="N138" s="65">
        <f>IFERROR(__xludf.DUMMYFUNCTION("""COMPUTED_VALUE"""),250426.363636363)</f>
        <v>250426.3636</v>
      </c>
      <c r="O138" s="65">
        <f>IFERROR(__xludf.DUMMYFUNCTION("""COMPUTED_VALUE"""),34705.0)</f>
        <v>34705</v>
      </c>
      <c r="P138" s="66" t="str">
        <f>IFERROR(__xludf.DUMMYFUNCTION("""COMPUTED_VALUE"""),"Indie")</f>
        <v>Indie</v>
      </c>
      <c r="Q138" s="64" t="str">
        <f>IFERROR(__xludf.DUMMYFUNCTION("""COMPUTED_VALUE"""),"$")</f>
        <v>$</v>
      </c>
      <c r="R138" s="68" t="str">
        <f>IFERROR(__xludf.DUMMYFUNCTION("""COMPUTED_VALUE"""),"★★★")</f>
        <v>★★★</v>
      </c>
      <c r="S138" s="25" t="str">
        <f>IFERROR(__xludf.DUMMYFUNCTION("""COMPUTED_VALUE"""),"Rhythm, Co-op, Looter Shooter, Crafting, Dungeon Crawler, Survival, Action-Adventure, Procedural Generation, Immersive Sim")</f>
        <v>Rhythm, Co-op, Looter Shooter, Crafting, Dungeon Crawler, Survival, Action-Adventure, Procedural Generation, Immersive Sim</v>
      </c>
      <c r="T138" s="40" t="str">
        <f>IFERROR(__xludf.DUMMYFUNCTION("""COMPUTED_VALUE"""),"Alto's Adventure, Soundfall, Nuts")</f>
        <v>Alto's Adventure, Soundfall, Nuts</v>
      </c>
      <c r="U138" s="69" t="str">
        <f>IFERROR(__xludf.DUMMYFUNCTION("""COMPUTED_VALUE"""),"They also do mobile publishing. PC is not their strength")</f>
        <v>They also do mobile publishing. PC is not their strength</v>
      </c>
    </row>
    <row r="139">
      <c r="A139" s="49" t="str">
        <f>IFERROR(__xludf.DUMMYFUNCTION("""COMPUTED_VALUE"""),"Microids")</f>
        <v>Microids</v>
      </c>
      <c r="B139" s="40" t="str">
        <f>IFERROR(__xludf.DUMMYFUNCTION("""COMPUTED_VALUE"""),"France")</f>
        <v>France</v>
      </c>
      <c r="C139" s="52" t="str">
        <f>IFERROR(__xludf.DUMMYFUNCTION("""COMPUTED_VALUE"""),"https://www.microids.com/")</f>
        <v>https://www.microids.com/</v>
      </c>
      <c r="D139" s="40" t="str">
        <f>IFERROR(__xludf.DUMMYFUNCTION("""COMPUTED_VALUE"""),"-")</f>
        <v>-</v>
      </c>
      <c r="E139" s="55" t="str">
        <f>IFERROR(__xludf.DUMMYFUNCTION("""COMPUTED_VALUE"""),"https://www.microids.com/contact/")</f>
        <v>https://www.microids.com/contact/</v>
      </c>
      <c r="F139" s="56" t="str">
        <f>IFERROR(__xludf.DUMMYFUNCTION("""COMPUTED_VALUE"""),"Alain Milly")</f>
        <v>Alain Milly</v>
      </c>
      <c r="G139" s="59" t="str">
        <f>IFERROR(__xludf.DUMMYFUNCTION("""COMPUTED_VALUE"""),"https://store.steampowered.com/publisher/microids")</f>
        <v>https://store.steampowered.com/publisher/microids</v>
      </c>
      <c r="H139" s="61" t="str">
        <f>IFERROR(__xludf.DUMMYFUNCTION("""COMPUTED_VALUE"""),"https://gamalytic.com/publisher/Microids")</f>
        <v>https://gamalytic.com/publisher/Microids</v>
      </c>
      <c r="I139" s="62" t="str">
        <f>IFERROR(__xludf.DUMMYFUNCTION("""COMPUTED_VALUE"""),"23K")</f>
        <v>23K</v>
      </c>
      <c r="J139" s="63">
        <f>IFERROR(__xludf.DUMMYFUNCTION("""COMPUTED_VALUE"""),126.0)</f>
        <v>126</v>
      </c>
      <c r="K139" s="64" t="str">
        <f>IFERROR(__xludf.DUMMYFUNCTION("""COMPUTED_VALUE"""),"May 2011")</f>
        <v>May 2011</v>
      </c>
      <c r="L139" s="64" t="str">
        <f>IFERROR(__xludf.DUMMYFUNCTION("""COMPUTED_VALUE"""),"Sep 2026")</f>
        <v>Sep 2026</v>
      </c>
      <c r="M139" s="65">
        <f>IFERROR(__xludf.DUMMYFUNCTION("""COMPUTED_VALUE"""),2.8065302E7)</f>
        <v>28065302</v>
      </c>
      <c r="N139" s="65">
        <f>IFERROR(__xludf.DUMMYFUNCTION("""COMPUTED_VALUE"""),222740.492063492)</f>
        <v>222740.4921</v>
      </c>
      <c r="O139" s="65">
        <f>IFERROR(__xludf.DUMMYFUNCTION("""COMPUTED_VALUE"""),31245.5)</f>
        <v>31245.5</v>
      </c>
      <c r="P139" s="66" t="str">
        <f>IFERROR(__xludf.DUMMYFUNCTION("""COMPUTED_VALUE"""),"Indie")</f>
        <v>Indie</v>
      </c>
      <c r="Q139" s="64" t="str">
        <f>IFERROR(__xludf.DUMMYFUNCTION("""COMPUTED_VALUE"""),"$")</f>
        <v>$</v>
      </c>
      <c r="R139" s="68" t="str">
        <f>IFERROR(__xludf.DUMMYFUNCTION("""COMPUTED_VALUE"""),"★")</f>
        <v>★</v>
      </c>
      <c r="S139" s="25" t="str">
        <f>IFERROR(__xludf.DUMMYFUNCTION("""COMPUTED_VALUE"""),"Point &amp; Click, Puzzle, Arcade, PvP, Action-Adventure, Hidden Object, Platformer, Visual Novel, Investigation")</f>
        <v>Point &amp; Click, Puzzle, Arcade, PvP, Action-Adventure, Hidden Object, Platformer, Visual Novel, Investigation</v>
      </c>
      <c r="T139" s="40" t="str">
        <f>IFERROR(__xludf.DUMMYFUNCTION("""COMPUTED_VALUE"""),"Home Design 3D, Syberia")</f>
        <v>Home Design 3D, Syberia</v>
      </c>
      <c r="U139" s="69" t="str">
        <f>IFERROR(__xludf.DUMMYFUNCTION("""COMPUTED_VALUE"""),"-")</f>
        <v>-</v>
      </c>
    </row>
    <row r="140">
      <c r="A140" s="49" t="str">
        <f>IFERROR(__xludf.DUMMYFUNCTION("""COMPUTED_VALUE"""),"PlayWay")</f>
        <v>PlayWay</v>
      </c>
      <c r="B140" s="40" t="str">
        <f>IFERROR(__xludf.DUMMYFUNCTION("""COMPUTED_VALUE"""),"Poland")</f>
        <v>Poland</v>
      </c>
      <c r="C140" s="52" t="str">
        <f>IFERROR(__xludf.DUMMYFUNCTION("""COMPUTED_VALUE"""),"https://playway.com/en/")</f>
        <v>https://playway.com/en/</v>
      </c>
      <c r="D140" s="55" t="str">
        <f>IFERROR(__xludf.DUMMYFUNCTION("""COMPUTED_VALUE"""),"https://playway.com/en/fordevelopers")</f>
        <v>https://playway.com/en/fordevelopers</v>
      </c>
      <c r="E140" s="40" t="str">
        <f>IFERROR(__xludf.DUMMYFUNCTION("""COMPUTED_VALUE"""),"publish@playway.com")</f>
        <v>publish@playway.com</v>
      </c>
      <c r="F140" s="56" t="str">
        <f>IFERROR(__xludf.DUMMYFUNCTION("""COMPUTED_VALUE"""),"?")</f>
        <v>?</v>
      </c>
      <c r="G140" s="59" t="str">
        <f>IFERROR(__xludf.DUMMYFUNCTION("""COMPUTED_VALUE"""),"https://store.steampowered.com/developer/playway")</f>
        <v>https://store.steampowered.com/developer/playway</v>
      </c>
      <c r="H140" s="61" t="str">
        <f>IFERROR(__xludf.DUMMYFUNCTION("""COMPUTED_VALUE"""),"https://gamalytic.com/publisher/PlayWay%20S.A.")</f>
        <v>https://gamalytic.com/publisher/PlayWay%20S.A.</v>
      </c>
      <c r="I140" s="62" t="str">
        <f>IFERROR(__xludf.DUMMYFUNCTION("""COMPUTED_VALUE"""),"178K")</f>
        <v>178K</v>
      </c>
      <c r="J140" s="63" t="str">
        <f>IFERROR(__xludf.DUMMYFUNCTION("""COMPUTED_VALUE"""),"352")</f>
        <v>352</v>
      </c>
      <c r="K140" s="64" t="str">
        <f>IFERROR(__xludf.DUMMYFUNCTION("""COMPUTED_VALUE"""),"Jan 2014")</f>
        <v>Jan 2014</v>
      </c>
      <c r="L140" s="64" t="str">
        <f>IFERROR(__xludf.DUMMYFUNCTION("""COMPUTED_VALUE"""),"Oct 2026")</f>
        <v>Oct 2026</v>
      </c>
      <c r="M140" s="65">
        <f>IFERROR(__xludf.DUMMYFUNCTION("""COMPUTED_VALUE"""),3.28469908E8)</f>
        <v>328469908</v>
      </c>
      <c r="N140" s="65">
        <f>IFERROR(__xludf.DUMMYFUNCTION("""COMPUTED_VALUE"""),933153.147727272)</f>
        <v>933153.1477</v>
      </c>
      <c r="O140" s="65">
        <f>IFERROR(__xludf.DUMMYFUNCTION("""COMPUTED_VALUE"""),29025.0)</f>
        <v>29025</v>
      </c>
      <c r="P140" s="66" t="str">
        <f>IFERROR(__xludf.DUMMYFUNCTION("""COMPUTED_VALUE"""),"AA")</f>
        <v>AA</v>
      </c>
      <c r="Q140" s="64" t="str">
        <f>IFERROR(__xludf.DUMMYFUNCTION("""COMPUTED_VALUE"""),"$$, $$$")</f>
        <v>$$, $$$</v>
      </c>
      <c r="R140" s="68" t="str">
        <f>IFERROR(__xludf.DUMMYFUNCTION("""COMPUTED_VALUE"""),"?")</f>
        <v>?</v>
      </c>
      <c r="S140" s="25" t="str">
        <f>IFERROR(__xludf.DUMMYFUNCTION("""COMPUTED_VALUE"""),"Sandbox, Management, Immersive Sim, Open World, Automobile Sim, Driving, Economy, Life Sim, Cleaning, Co-op")</f>
        <v>Sandbox, Management, Immersive Sim, Open World, Automobile Sim, Driving, Economy, Life Sim, Cleaning, Co-op</v>
      </c>
      <c r="T140" s="40" t="str">
        <f>IFERROR(__xludf.DUMMYFUNCTION("""COMPUTED_VALUE"""),"Car Mechanic Simulator, House Flipper, Cooking Simulator, Thief Simulator")</f>
        <v>Car Mechanic Simulator, House Flipper, Cooking Simulator, Thief Simulator</v>
      </c>
      <c r="U140" s="69" t="str">
        <f>IFERROR(__xludf.DUMMYFUNCTION("""COMPUTED_VALUE"""),"A group of more than 100 studios, and publishers, including CreativeForge Games, Ultimate Games, RockGame and many more. Focused on many genres, mostly on simulation, and strategy games. Reputed to demand high revenue shares and often equity in developers"&amp;" they work with.")</f>
        <v>A group of more than 100 studios, and publishers, including CreativeForge Games, Ultimate Games, RockGame and many more. Focused on many genres, mostly on simulation, and strategy games. Reputed to demand high revenue shares and often equity in developers they work with.</v>
      </c>
    </row>
    <row r="141">
      <c r="A141" s="49" t="str">
        <f>IFERROR(__xludf.DUMMYFUNCTION("""COMPUTED_VALUE"""),"First Break Labs")</f>
        <v>First Break Labs</v>
      </c>
      <c r="B141" s="40" t="str">
        <f>IFERROR(__xludf.DUMMYFUNCTION("""COMPUTED_VALUE"""),"USA")</f>
        <v>USA</v>
      </c>
      <c r="C141" s="52" t="str">
        <f>IFERROR(__xludf.DUMMYFUNCTION("""COMPUTED_VALUE"""),"https://firstbreaklabs.com/")</f>
        <v>https://firstbreaklabs.com/</v>
      </c>
      <c r="D141" s="40" t="str">
        <f>IFERROR(__xludf.DUMMYFUNCTION("""COMPUTED_VALUE"""),"-")</f>
        <v>-</v>
      </c>
      <c r="E141" s="40" t="str">
        <f>IFERROR(__xludf.DUMMYFUNCTION("""COMPUTED_VALUE"""),"contact@firstbreaklabs.com")</f>
        <v>contact@firstbreaklabs.com</v>
      </c>
      <c r="F141" s="56" t="str">
        <f>IFERROR(__xludf.DUMMYFUNCTION("""COMPUTED_VALUE"""),"Alfonso Cubias")</f>
        <v>Alfonso Cubias</v>
      </c>
      <c r="G141" s="59" t="str">
        <f>IFERROR(__xludf.DUMMYFUNCTION("""COMPUTED_VALUE"""),"https://store.steampowered.com/developer/FirstBreakLabs")</f>
        <v>https://store.steampowered.com/developer/FirstBreakLabs</v>
      </c>
      <c r="H141" s="61" t="str">
        <f>IFERROR(__xludf.DUMMYFUNCTION("""COMPUTED_VALUE"""),"https://gamalytic.com/publisher/First%20Break%20Labs")</f>
        <v>https://gamalytic.com/publisher/First%20Break%20Labs</v>
      </c>
      <c r="I141" s="62">
        <f>IFERROR(__xludf.DUMMYFUNCTION("""COMPUTED_VALUE"""),159.0)</f>
        <v>159</v>
      </c>
      <c r="J141" s="63">
        <f>IFERROR(__xludf.DUMMYFUNCTION("""COMPUTED_VALUE"""),10.0)</f>
        <v>10</v>
      </c>
      <c r="K141" s="64" t="str">
        <f>IFERROR(__xludf.DUMMYFUNCTION("""COMPUTED_VALUE"""),"Feb 2015")</f>
        <v>Feb 2015</v>
      </c>
      <c r="L141" s="64" t="str">
        <f>IFERROR(__xludf.DUMMYFUNCTION("""COMPUTED_VALUE"""),"Aug 2026")</f>
        <v>Aug 2026</v>
      </c>
      <c r="M141" s="65">
        <f>IFERROR(__xludf.DUMMYFUNCTION("""COMPUTED_VALUE"""),894871.0)</f>
        <v>894871</v>
      </c>
      <c r="N141" s="65">
        <f>IFERROR(__xludf.DUMMYFUNCTION("""COMPUTED_VALUE"""),89487.1)</f>
        <v>89487.1</v>
      </c>
      <c r="O141" s="65">
        <f>IFERROR(__xludf.DUMMYFUNCTION("""COMPUTED_VALUE"""),27501.5)</f>
        <v>27501.5</v>
      </c>
      <c r="P141" s="66" t="str">
        <f>IFERROR(__xludf.DUMMYFUNCTION("""COMPUTED_VALUE"""),"Indie")</f>
        <v>Indie</v>
      </c>
      <c r="Q141" s="64" t="str">
        <f>IFERROR(__xludf.DUMMYFUNCTION("""COMPUTED_VALUE"""),"$")</f>
        <v>$</v>
      </c>
      <c r="R141" s="68" t="str">
        <f>IFERROR(__xludf.DUMMYFUNCTION("""COMPUTED_VALUE"""),"?")</f>
        <v>?</v>
      </c>
      <c r="S141" s="25" t="str">
        <f>IFERROR(__xludf.DUMMYFUNCTION("""COMPUTED_VALUE"""),"Action Roguelike, Co-op, Bullet Heaven, Twin Stick Shooter, Hack and Slash, Bullet Hell, Turn-Based Tactics, Arcade, Roguelite, Wargame")</f>
        <v>Action Roguelike, Co-op, Bullet Heaven, Twin Stick Shooter, Hack and Slash, Bullet Hell, Turn-Based Tactics, Arcade, Roguelite, Wargame</v>
      </c>
      <c r="T141" s="40" t="str">
        <f>IFERROR(__xludf.DUMMYFUNCTION("""COMPUTED_VALUE"""),"-")</f>
        <v>-</v>
      </c>
      <c r="U141" s="69" t="str">
        <f>IFERROR(__xludf.DUMMYFUNCTION("""COMPUTED_VALUE"""),"-")</f>
        <v>-</v>
      </c>
    </row>
    <row r="142">
      <c r="A142" s="49" t="str">
        <f>IFERROR(__xludf.DUMMYFUNCTION("""COMPUTED_VALUE"""),"Graffiti Games")</f>
        <v>Graffiti Games</v>
      </c>
      <c r="B142" s="40" t="str">
        <f>IFERROR(__xludf.DUMMYFUNCTION("""COMPUTED_VALUE"""),"USA")</f>
        <v>USA</v>
      </c>
      <c r="C142" s="52" t="str">
        <f>IFERROR(__xludf.DUMMYFUNCTION("""COMPUTED_VALUE"""),"https://www.graffitigames.com/")</f>
        <v>https://www.graffitigames.com/</v>
      </c>
      <c r="D142" s="40" t="str">
        <f>IFERROR(__xludf.DUMMYFUNCTION("""COMPUTED_VALUE"""),"-")</f>
        <v>-</v>
      </c>
      <c r="E142" s="55" t="str">
        <f>IFERROR(__xludf.DUMMYFUNCTION("""COMPUTED_VALUE"""),"https://www.graffitigames.com/contact/pitch-your-game")</f>
        <v>https://www.graffitigames.com/contact/pitch-your-game</v>
      </c>
      <c r="F142" s="56" t="str">
        <f>IFERROR(__xludf.DUMMYFUNCTION("""COMPUTED_VALUE"""),"Andy Messner")</f>
        <v>Andy Messner</v>
      </c>
      <c r="G142" s="59" t="str">
        <f>IFERROR(__xludf.DUMMYFUNCTION("""COMPUTED_VALUE"""),"https://store.steampowered.com/publisher/graffiti")</f>
        <v>https://store.steampowered.com/publisher/graffiti</v>
      </c>
      <c r="H142" s="61" t="str">
        <f>IFERROR(__xludf.DUMMYFUNCTION("""COMPUTED_VALUE"""),"https://gamalytic.com/publisher/Graffiti%20Games")</f>
        <v>https://gamalytic.com/publisher/Graffiti%20Games</v>
      </c>
      <c r="I142" s="62" t="str">
        <f>IFERROR(__xludf.DUMMYFUNCTION("""COMPUTED_VALUE"""),"3K")</f>
        <v>3K</v>
      </c>
      <c r="J142" s="63">
        <f>IFERROR(__xludf.DUMMYFUNCTION("""COMPUTED_VALUE"""),18.0)</f>
        <v>18</v>
      </c>
      <c r="K142" s="64" t="str">
        <f>IFERROR(__xludf.DUMMYFUNCTION("""COMPUTED_VALUE"""),"Oct 2018")</f>
        <v>Oct 2018</v>
      </c>
      <c r="L142" s="64" t="str">
        <f>IFERROR(__xludf.DUMMYFUNCTION("""COMPUTED_VALUE"""),"May 2025")</f>
        <v>May 2025</v>
      </c>
      <c r="M142" s="65">
        <f>IFERROR(__xludf.DUMMYFUNCTION("""COMPUTED_VALUE"""),5064384.0)</f>
        <v>5064384</v>
      </c>
      <c r="N142" s="65">
        <f>IFERROR(__xludf.DUMMYFUNCTION("""COMPUTED_VALUE"""),281354.666666666)</f>
        <v>281354.6667</v>
      </c>
      <c r="O142" s="65">
        <f>IFERROR(__xludf.DUMMYFUNCTION("""COMPUTED_VALUE"""),26939.5)</f>
        <v>26939.5</v>
      </c>
      <c r="P142" s="66" t="str">
        <f>IFERROR(__xludf.DUMMYFUNCTION("""COMPUTED_VALUE"""),"Indie")</f>
        <v>Indie</v>
      </c>
      <c r="Q142" s="64" t="str">
        <f>IFERROR(__xludf.DUMMYFUNCTION("""COMPUTED_VALUE"""),"$")</f>
        <v>$</v>
      </c>
      <c r="R142" s="68" t="str">
        <f>IFERROR(__xludf.DUMMYFUNCTION("""COMPUTED_VALUE"""),"★★")</f>
        <v>★★</v>
      </c>
      <c r="S142" s="25" t="str">
        <f>IFERROR(__xludf.DUMMYFUNCTION("""COMPUTED_VALUE"""),"Platformer, Metroidvania, 3D Platformer, Puzzle, Action-Adventure, Psychological Horror, Hack and Slash, Parkour, Precision Platformer, Action RPG")</f>
        <v>Platformer, Metroidvania, 3D Platformer, Puzzle, Action-Adventure, Psychological Horror, Hack and Slash, Parkour, Precision Platformer, Action RPG</v>
      </c>
      <c r="T142" s="40" t="str">
        <f>IFERROR(__xludf.DUMMYFUNCTION("""COMPUTED_VALUE"""),"Turnip boy commits tax evasion, Elderand, Cyberhook")</f>
        <v>Turnip boy commits tax evasion, Elderand, Cyberhook</v>
      </c>
      <c r="U142" s="69" t="str">
        <f>IFERROR(__xludf.DUMMYFUNCTION("""COMPUTED_VALUE"""),"-")</f>
        <v>-</v>
      </c>
    </row>
    <row r="143">
      <c r="A143" s="49" t="str">
        <f>IFERROR(__xludf.DUMMYFUNCTION("""COMPUTED_VALUE"""),"Ultimate Games S.A")</f>
        <v>Ultimate Games S.A</v>
      </c>
      <c r="B143" s="40" t="str">
        <f>IFERROR(__xludf.DUMMYFUNCTION("""COMPUTED_VALUE"""),"Poland")</f>
        <v>Poland</v>
      </c>
      <c r="C143" s="52" t="str">
        <f>IFERROR(__xludf.DUMMYFUNCTION("""COMPUTED_VALUE"""),"https://ultimate-games.com/")</f>
        <v>https://ultimate-games.com/</v>
      </c>
      <c r="D143" s="40" t="str">
        <f>IFERROR(__xludf.DUMMYFUNCTION("""COMPUTED_VALUE"""),"-")</f>
        <v>-</v>
      </c>
      <c r="E143" s="55" t="str">
        <f>IFERROR(__xludf.DUMMYFUNCTION("""COMPUTED_VALUE"""),"https://ultimate-games.com/kontakt/")</f>
        <v>https://ultimate-games.com/kontakt/</v>
      </c>
      <c r="F143" s="56" t="str">
        <f>IFERROR(__xludf.DUMMYFUNCTION("""COMPUTED_VALUE"""),"?")</f>
        <v>?</v>
      </c>
      <c r="G143" s="59" t="str">
        <f>IFERROR(__xludf.DUMMYFUNCTION("""COMPUTED_VALUE"""),"https://store.steampowered.com/publisher/ultimategames")</f>
        <v>https://store.steampowered.com/publisher/ultimategames</v>
      </c>
      <c r="H143" s="61" t="str">
        <f>IFERROR(__xludf.DUMMYFUNCTION("""COMPUTED_VALUE"""),"https://gamalytic.com/publisher/Ultimate%20Games%20S.A.")</f>
        <v>https://gamalytic.com/publisher/Ultimate%20Games%20S.A.</v>
      </c>
      <c r="I143" s="62" t="str">
        <f>IFERROR(__xludf.DUMMYFUNCTION("""COMPUTED_VALUE"""),"11K")</f>
        <v>11K</v>
      </c>
      <c r="J143" s="63">
        <f>IFERROR(__xludf.DUMMYFUNCTION("""COMPUTED_VALUE"""),52.0)</f>
        <v>52</v>
      </c>
      <c r="K143" s="64" t="str">
        <f>IFERROR(__xludf.DUMMYFUNCTION("""COMPUTED_VALUE"""),"Jun 2015")</f>
        <v>Jun 2015</v>
      </c>
      <c r="L143" s="64" t="str">
        <f>IFERROR(__xludf.DUMMYFUNCTION("""COMPUTED_VALUE"""),"Sep 2026")</f>
        <v>Sep 2026</v>
      </c>
      <c r="M143" s="65">
        <f>IFERROR(__xludf.DUMMYFUNCTION("""COMPUTED_VALUE"""),1.8933631E7)</f>
        <v>18933631</v>
      </c>
      <c r="N143" s="65">
        <f>IFERROR(__xludf.DUMMYFUNCTION("""COMPUTED_VALUE"""),364108.288461538)</f>
        <v>364108.2885</v>
      </c>
      <c r="O143" s="65">
        <f>IFERROR(__xludf.DUMMYFUNCTION("""COMPUTED_VALUE"""),25927.5)</f>
        <v>25927.5</v>
      </c>
      <c r="P143" s="66" t="str">
        <f>IFERROR(__xludf.DUMMYFUNCTION("""COMPUTED_VALUE"""),"Indie")</f>
        <v>Indie</v>
      </c>
      <c r="Q143" s="64" t="str">
        <f>IFERROR(__xludf.DUMMYFUNCTION("""COMPUTED_VALUE"""),"$")</f>
        <v>$</v>
      </c>
      <c r="R143" s="68" t="str">
        <f>IFERROR(__xludf.DUMMYFUNCTION("""COMPUTED_VALUE"""),"?")</f>
        <v>?</v>
      </c>
      <c r="S143" s="25" t="str">
        <f>IFERROR(__xludf.DUMMYFUNCTION("""COMPUTED_VALUE"""),"Immersive Sim, Fishing, Life Sim, Co-op, Time Management, FPS, Economy")</f>
        <v>Immersive Sim, Fishing, Life Sim, Co-op, Time Management, FPS, Economy</v>
      </c>
      <c r="T143" s="40" t="str">
        <f>IFERROR(__xludf.DUMMYFUNCTION("""COMPUTED_VALUE"""),"Ultimate Fishing Simulator, Electrician Simulator, Priest Simulator")</f>
        <v>Ultimate Fishing Simulator, Electrician Simulator, Priest Simulator</v>
      </c>
      <c r="U143" s="69" t="str">
        <f>IFERROR(__xludf.DUMMYFUNCTION("""COMPUTED_VALUE"""),"They mostly publish fishing/hunting games or other types of simulations")</f>
        <v>They mostly publish fishing/hunting games or other types of simulations</v>
      </c>
    </row>
    <row r="144">
      <c r="A144" s="49" t="str">
        <f>IFERROR(__xludf.DUMMYFUNCTION("""COMPUTED_VALUE"""),"SOEDESCO")</f>
        <v>SOEDESCO</v>
      </c>
      <c r="B144" s="40" t="str">
        <f>IFERROR(__xludf.DUMMYFUNCTION("""COMPUTED_VALUE"""),"Netherlands")</f>
        <v>Netherlands</v>
      </c>
      <c r="C144" s="52" t="str">
        <f>IFERROR(__xludf.DUMMYFUNCTION("""COMPUTED_VALUE"""),"https://www.soedesco.com/")</f>
        <v>https://www.soedesco.com/</v>
      </c>
      <c r="D144" s="40" t="str">
        <f>IFERROR(__xludf.DUMMYFUNCTION("""COMPUTED_VALUE"""),"-")</f>
        <v>-</v>
      </c>
      <c r="E144" s="55" t="str">
        <f>IFERROR(__xludf.DUMMYFUNCTION("""COMPUTED_VALUE"""),"https://www.soedesco.com/contact")</f>
        <v>https://www.soedesco.com/contact</v>
      </c>
      <c r="F144" s="56" t="str">
        <f>IFERROR(__xludf.DUMMYFUNCTION("""COMPUTED_VALUE"""),"?")</f>
        <v>?</v>
      </c>
      <c r="G144" s="59" t="str">
        <f>IFERROR(__xludf.DUMMYFUNCTION("""COMPUTED_VALUE"""),"https://store.steampowered.com/publisher/soedesco")</f>
        <v>https://store.steampowered.com/publisher/soedesco</v>
      </c>
      <c r="H144" s="61" t="str">
        <f>IFERROR(__xludf.DUMMYFUNCTION("""COMPUTED_VALUE"""),"https://gamalytic.com/publisher/SOEDESCO")</f>
        <v>https://gamalytic.com/publisher/SOEDESCO</v>
      </c>
      <c r="I144" s="62" t="str">
        <f>IFERROR(__xludf.DUMMYFUNCTION("""COMPUTED_VALUE"""),"2K")</f>
        <v>2K</v>
      </c>
      <c r="J144" s="63">
        <f>IFERROR(__xludf.DUMMYFUNCTION("""COMPUTED_VALUE"""),29.0)</f>
        <v>29</v>
      </c>
      <c r="K144" s="64" t="str">
        <f>IFERROR(__xludf.DUMMYFUNCTION("""COMPUTED_VALUE"""),"Aug 2015")</f>
        <v>Aug 2015</v>
      </c>
      <c r="L144" s="64" t="str">
        <f>IFERROR(__xludf.DUMMYFUNCTION("""COMPUTED_VALUE"""),"Sep 2026")</f>
        <v>Sep 2026</v>
      </c>
      <c r="M144" s="65">
        <f>IFERROR(__xludf.DUMMYFUNCTION("""COMPUTED_VALUE"""),2163916.0)</f>
        <v>2163916</v>
      </c>
      <c r="N144" s="65">
        <f>IFERROR(__xludf.DUMMYFUNCTION("""COMPUTED_VALUE"""),74617.7931034482)</f>
        <v>74617.7931</v>
      </c>
      <c r="O144" s="65">
        <f>IFERROR(__xludf.DUMMYFUNCTION("""COMPUTED_VALUE"""),25358.0)</f>
        <v>25358</v>
      </c>
      <c r="P144" s="66" t="str">
        <f>IFERROR(__xludf.DUMMYFUNCTION("""COMPUTED_VALUE"""),"Indie")</f>
        <v>Indie</v>
      </c>
      <c r="Q144" s="64" t="str">
        <f>IFERROR(__xludf.DUMMYFUNCTION("""COMPUTED_VALUE"""),"$")</f>
        <v>$</v>
      </c>
      <c r="R144" s="68" t="str">
        <f>IFERROR(__xludf.DUMMYFUNCTION("""COMPUTED_VALUE"""),"★★")</f>
        <v>★★</v>
      </c>
      <c r="S144" s="25" t="str">
        <f>IFERROR(__xludf.DUMMYFUNCTION("""COMPUTED_VALUE"""),"Horror, Open World, Puzzle, Farming Sim, Psychological Horror, Action-Adventure, Turn-Based Combat, JRPG, Collectathon")</f>
        <v>Horror, Open World, Puzzle, Farming Sim, Psychological Horror, Action-Adventure, Turn-Based Combat, JRPG, Collectathon</v>
      </c>
      <c r="T144" s="40" t="str">
        <f>IFERROR(__xludf.DUMMYFUNCTION("""COMPUTED_VALUE"""),"Perennial Order, Kaze and The Wild Masks, Monster Crown, Wuppo: Definitive Edition")</f>
        <v>Perennial Order, Kaze and The Wild Masks, Monster Crown, Wuppo: Definitive Edition</v>
      </c>
      <c r="U144" s="69" t="str">
        <f>IFERROR(__xludf.DUMMYFUNCTION("""COMPUTED_VALUE"""),"Netherlands based, bad communication. Helps with porting, localization, QA, events. Open to many genres.")</f>
        <v>Netherlands based, bad communication. Helps with porting, localization, QA, events. Open to many genres.</v>
      </c>
    </row>
    <row r="145">
      <c r="A145" s="49" t="str">
        <f>IFERROR(__xludf.DUMMYFUNCTION("""COMPUTED_VALUE"""),"ARTE")</f>
        <v>ARTE</v>
      </c>
      <c r="B145" s="40" t="str">
        <f>IFERROR(__xludf.DUMMYFUNCTION("""COMPUTED_VALUE"""),"France, USA")</f>
        <v>France, USA</v>
      </c>
      <c r="C145" s="52" t="str">
        <f>IFERROR(__xludf.DUMMYFUNCTION("""COMPUTED_VALUE"""),"https://arte.tv/videogames")</f>
        <v>https://arte.tv/videogames</v>
      </c>
      <c r="D145" s="55" t="str">
        <f>IFERROR(__xludf.DUMMYFUNCTION("""COMPUTED_VALUE"""),"https://projets.arte.tv/en")</f>
        <v>https://projets.arte.tv/en</v>
      </c>
      <c r="E145" s="40" t="str">
        <f>IFERROR(__xludf.DUMMYFUNCTION("""COMPUTED_VALUE"""),"arte-experience@artefrance.fr")</f>
        <v>arte-experience@artefrance.fr</v>
      </c>
      <c r="F145" s="56" t="str">
        <f>IFERROR(__xludf.DUMMYFUNCTION("""COMPUTED_VALUE"""),"Adrien Larouzee")</f>
        <v>Adrien Larouzee</v>
      </c>
      <c r="G145" s="59" t="str">
        <f>IFERROR(__xludf.DUMMYFUNCTION("""COMPUTED_VALUE"""),"https://store.steampowered.com/publisher/Arte")</f>
        <v>https://store.steampowered.com/publisher/Arte</v>
      </c>
      <c r="H145" s="61" t="str">
        <f>IFERROR(__xludf.DUMMYFUNCTION("""COMPUTED_VALUE"""),"https://gamalytic.com/publisher/ARTE%20France")</f>
        <v>https://gamalytic.com/publisher/ARTE%20France</v>
      </c>
      <c r="I145" s="62" t="str">
        <f>IFERROR(__xludf.DUMMYFUNCTION("""COMPUTED_VALUE"""),"4K")</f>
        <v>4K</v>
      </c>
      <c r="J145" s="63">
        <f>IFERROR(__xludf.DUMMYFUNCTION("""COMPUTED_VALUE"""),22.0)</f>
        <v>22</v>
      </c>
      <c r="K145" s="64" t="str">
        <f>IFERROR(__xludf.DUMMYFUNCTION("""COMPUTED_VALUE"""),"Feb 2010")</f>
        <v>Feb 2010</v>
      </c>
      <c r="L145" s="64" t="str">
        <f>IFERROR(__xludf.DUMMYFUNCTION("""COMPUTED_VALUE"""),"Oct 2026")</f>
        <v>Oct 2026</v>
      </c>
      <c r="M145" s="65">
        <f>IFERROR(__xludf.DUMMYFUNCTION("""COMPUTED_VALUE"""),1052871.0)</f>
        <v>1052871</v>
      </c>
      <c r="N145" s="65">
        <f>IFERROR(__xludf.DUMMYFUNCTION("""COMPUTED_VALUE"""),47857.7727272727)</f>
        <v>47857.77273</v>
      </c>
      <c r="O145" s="65">
        <f>IFERROR(__xludf.DUMMYFUNCTION("""COMPUTED_VALUE"""),22927.0)</f>
        <v>22927</v>
      </c>
      <c r="P145" s="66" t="str">
        <f>IFERROR(__xludf.DUMMYFUNCTION("""COMPUTED_VALUE"""),"Indie")</f>
        <v>Indie</v>
      </c>
      <c r="Q145" s="64" t="str">
        <f>IFERROR(__xludf.DUMMYFUNCTION("""COMPUTED_VALUE"""),"$")</f>
        <v>$</v>
      </c>
      <c r="R145" s="68" t="str">
        <f>IFERROR(__xludf.DUMMYFUNCTION("""COMPUTED_VALUE"""),"?")</f>
        <v>?</v>
      </c>
      <c r="S145" s="25" t="str">
        <f>IFERROR(__xludf.DUMMYFUNCTION("""COMPUTED_VALUE"""),"Puzzle, Interactive Fiction, Point &amp; Click, Text-Based, Choose Your Own Adventure, Platformer, Puzzle Platformer, Visual Novel, Hidden Object, Logic")</f>
        <v>Puzzle, Interactive Fiction, Point &amp; Click, Text-Based, Choose Your Own Adventure, Platformer, Puzzle Platformer, Visual Novel, Hidden Object, Logic</v>
      </c>
      <c r="T145" s="40" t="str">
        <f>IFERROR(__xludf.DUMMYFUNCTION("""COMPUTED_VALUE"""),"A Fisherman's Tale, Type:Rider, Vectronom, Gloomy Eyes, To Hell with the Ugly, Homo Machina...")</f>
        <v>A Fisherman's Tale, Type:Rider, Vectronom, Gloomy Eyes, To Hell with the Ugly, Homo Machina...</v>
      </c>
      <c r="U145" s="69" t="str">
        <f>IFERROR(__xludf.DUMMYFUNCTION("""COMPUTED_VALUE"""),"[Submissions by e-mail or post will no longer be considered.] Digital Cultural Network (arte.tv) - support european ""author games"" - new PC/Console strategy after years of mobile games. Looking for accessible games with strong art direction and original"&amp;" gameplay ")</f>
        <v>[Submissions by e-mail or post will no longer be considered.] Digital Cultural Network (arte.tv) - support european "author games" - new PC/Console strategy after years of mobile games. Looking for accessible games with strong art direction and original gameplay </v>
      </c>
    </row>
    <row r="146">
      <c r="A146" s="49" t="str">
        <f>IFERROR(__xludf.DUMMYFUNCTION("""COMPUTED_VALUE"""),"Troglobytes Games")</f>
        <v>Troglobytes Games</v>
      </c>
      <c r="B146" s="40" t="str">
        <f>IFERROR(__xludf.DUMMYFUNCTION("""COMPUTED_VALUE"""),"Spain")</f>
        <v>Spain</v>
      </c>
      <c r="C146" s="52" t="str">
        <f>IFERROR(__xludf.DUMMYFUNCTION("""COMPUTED_VALUE"""),"https://troglobytesgames.com/")</f>
        <v>https://troglobytesgames.com/</v>
      </c>
      <c r="D146" s="40" t="str">
        <f>IFERROR(__xludf.DUMMYFUNCTION("""COMPUTED_VALUE"""),"-")</f>
        <v>-</v>
      </c>
      <c r="E146" s="40" t="str">
        <f>IFERROR(__xludf.DUMMYFUNCTION("""COMPUTED_VALUE"""),"saverio@troglobytesgames.com")</f>
        <v>saverio@troglobytesgames.com</v>
      </c>
      <c r="F146" s="56" t="str">
        <f>IFERROR(__xludf.DUMMYFUNCTION("""COMPUTED_VALUE"""),"Saverio Caporusso")</f>
        <v>Saverio Caporusso</v>
      </c>
      <c r="G146" s="59" t="str">
        <f>IFERROR(__xludf.DUMMYFUNCTION("""COMPUTED_VALUE"""),"https://store.steampowered.com/developer/Troglobytes")</f>
        <v>https://store.steampowered.com/developer/Troglobytes</v>
      </c>
      <c r="H146" s="61" t="str">
        <f>IFERROR(__xludf.DUMMYFUNCTION("""COMPUTED_VALUE"""),"https://gamalytic.com/publisher/Troglobytes%20Games")</f>
        <v>https://gamalytic.com/publisher/Troglobytes%20Games</v>
      </c>
      <c r="I146" s="62">
        <f>IFERROR(__xludf.DUMMYFUNCTION("""COMPUTED_VALUE"""),248.0)</f>
        <v>248</v>
      </c>
      <c r="J146" s="63">
        <f>IFERROR(__xludf.DUMMYFUNCTION("""COMPUTED_VALUE"""),2.0)</f>
        <v>2</v>
      </c>
      <c r="K146" s="64" t="str">
        <f>IFERROR(__xludf.DUMMYFUNCTION("""COMPUTED_VALUE"""),"Apr 2024")</f>
        <v>Apr 2024</v>
      </c>
      <c r="L146" s="64" t="str">
        <f>IFERROR(__xludf.DUMMYFUNCTION("""COMPUTED_VALUE"""),"Oct 2026")</f>
        <v>Oct 2026</v>
      </c>
      <c r="M146" s="65">
        <f>IFERROR(__xludf.DUMMYFUNCTION("""COMPUTED_VALUE"""),40484.0)</f>
        <v>40484</v>
      </c>
      <c r="N146" s="65">
        <f>IFERROR(__xludf.DUMMYFUNCTION("""COMPUTED_VALUE"""),20242.0)</f>
        <v>20242</v>
      </c>
      <c r="O146" s="65">
        <f>IFERROR(__xludf.DUMMYFUNCTION("""COMPUTED_VALUE"""),20242.0)</f>
        <v>20242</v>
      </c>
      <c r="P146" s="66" t="str">
        <f>IFERROR(__xludf.DUMMYFUNCTION("""COMPUTED_VALUE"""),"Indie")</f>
        <v>Indie</v>
      </c>
      <c r="Q146" s="64" t="str">
        <f>IFERROR(__xludf.DUMMYFUNCTION("""COMPUTED_VALUE"""),"$")</f>
        <v>$</v>
      </c>
      <c r="R146" s="68" t="str">
        <f>IFERROR(__xludf.DUMMYFUNCTION("""COMPUTED_VALUE"""),"?")</f>
        <v>?</v>
      </c>
      <c r="S146" s="25" t="str">
        <f>IFERROR(__xludf.DUMMYFUNCTION("""COMPUTED_VALUE"""),"Incremental, Economy, Mining, Arcade")</f>
        <v>Incremental, Economy, Mining, Arcade</v>
      </c>
      <c r="T146" s="40" t="str">
        <f>IFERROR(__xludf.DUMMYFUNCTION("""COMPUTED_VALUE"""),"Ravenous Devils")</f>
        <v>Ravenous Devils</v>
      </c>
      <c r="U146" s="69" t="str">
        <f>IFERROR(__xludf.DUMMYFUNCTION("""COMPUTED_VALUE"""),"Indie Publisher focused on ready-to-market games but also porting PC games to all console Platforms. Marketing, Localization and distribution.")</f>
        <v>Indie Publisher focused on ready-to-market games but also porting PC games to all console Platforms. Marketing, Localization and distribution.</v>
      </c>
    </row>
    <row r="147">
      <c r="A147" s="49" t="str">
        <f>IFERROR(__xludf.DUMMYFUNCTION("""COMPUTED_VALUE"""),"RockGame")</f>
        <v>RockGame</v>
      </c>
      <c r="B147" s="40" t="str">
        <f>IFERROR(__xludf.DUMMYFUNCTION("""COMPUTED_VALUE"""),"Poland")</f>
        <v>Poland</v>
      </c>
      <c r="C147" s="52" t="str">
        <f>IFERROR(__xludf.DUMMYFUNCTION("""COMPUTED_VALUE"""),"https://rockgame.pl/")</f>
        <v>https://rockgame.pl/</v>
      </c>
      <c r="D147" s="40" t="str">
        <f>IFERROR(__xludf.DUMMYFUNCTION("""COMPUTED_VALUE"""),"-")</f>
        <v>-</v>
      </c>
      <c r="E147" s="40" t="str">
        <f>IFERROR(__xludf.DUMMYFUNCTION("""COMPUTED_VALUE"""),"contact@rockgame.pl / daniel@rockgame.pl")</f>
        <v>contact@rockgame.pl / daniel@rockgame.pl</v>
      </c>
      <c r="F147" s="56" t="str">
        <f>IFERROR(__xludf.DUMMYFUNCTION("""COMPUTED_VALUE"""),"Daniel Kulaszewicz")</f>
        <v>Daniel Kulaszewicz</v>
      </c>
      <c r="G147" s="59" t="str">
        <f>IFERROR(__xludf.DUMMYFUNCTION("""COMPUTED_VALUE"""),"https://store.steampowered.com/publisher/RockGame")</f>
        <v>https://store.steampowered.com/publisher/RockGame</v>
      </c>
      <c r="H147" s="61" t="str">
        <f>IFERROR(__xludf.DUMMYFUNCTION("""COMPUTED_VALUE"""),"https://gamalytic.com/publisher/RockGame%20S.A.")</f>
        <v>https://gamalytic.com/publisher/RockGame%20S.A.</v>
      </c>
      <c r="I147" s="62" t="str">
        <f>IFERROR(__xludf.DUMMYFUNCTION("""COMPUTED_VALUE"""),"6K")</f>
        <v>6K</v>
      </c>
      <c r="J147" s="63">
        <f>IFERROR(__xludf.DUMMYFUNCTION("""COMPUTED_VALUE"""),24.0)</f>
        <v>24</v>
      </c>
      <c r="K147" s="64" t="str">
        <f>IFERROR(__xludf.DUMMYFUNCTION("""COMPUTED_VALUE"""),"Apr 2020")</f>
        <v>Apr 2020</v>
      </c>
      <c r="L147" s="64" t="str">
        <f>IFERROR(__xludf.DUMMYFUNCTION("""COMPUTED_VALUE"""),"Sep 2026")</f>
        <v>Sep 2026</v>
      </c>
      <c r="M147" s="65">
        <f>IFERROR(__xludf.DUMMYFUNCTION("""COMPUTED_VALUE"""),6720827.0)</f>
        <v>6720827</v>
      </c>
      <c r="N147" s="65">
        <f>IFERROR(__xludf.DUMMYFUNCTION("""COMPUTED_VALUE"""),280034.458333333)</f>
        <v>280034.4583</v>
      </c>
      <c r="O147" s="65">
        <f>IFERROR(__xludf.DUMMYFUNCTION("""COMPUTED_VALUE"""),19353.5)</f>
        <v>19353.5</v>
      </c>
      <c r="P147" s="66" t="str">
        <f>IFERROR(__xludf.DUMMYFUNCTION("""COMPUTED_VALUE"""),"Indie")</f>
        <v>Indie</v>
      </c>
      <c r="Q147" s="64" t="str">
        <f>IFERROR(__xludf.DUMMYFUNCTION("""COMPUTED_VALUE"""),"$")</f>
        <v>$</v>
      </c>
      <c r="R147" s="68" t="str">
        <f>IFERROR(__xludf.DUMMYFUNCTION("""COMPUTED_VALUE"""),"?")</f>
        <v>?</v>
      </c>
      <c r="S147" s="25" t="str">
        <f>IFERROR(__xludf.DUMMYFUNCTION("""COMPUTED_VALUE"""),"Management, Economy, Sandbox, Resource Management, City Builder, Crafting, Open World, Survival, Life Sim, Base Building")</f>
        <v>Management, Economy, Sandbox, Resource Management, City Builder, Crafting, Open World, Survival, Life Sim, Base Building</v>
      </c>
      <c r="T147" s="40" t="str">
        <f>IFERROR(__xludf.DUMMYFUNCTION("""COMPUTED_VALUE"""),"Urbek City Builder, Cafe Owner Simulator, Scrapnaut, Technicity, Destructure Among Debris")</f>
        <v>Urbek City Builder, Cafe Owner Simulator, Scrapnaut, Technicity, Destructure Among Debris</v>
      </c>
      <c r="U147" s="69" t="str">
        <f>IFERROR(__xludf.DUMMYFUNCTION("""COMPUTED_VALUE"""),"-")</f>
        <v>-</v>
      </c>
    </row>
    <row r="148">
      <c r="A148" s="330" t="str">
        <f>IFERROR(__xludf.DUMMYFUNCTION("""COMPUTED_VALUE"""),"indie.io")</f>
        <v>indie.io</v>
      </c>
      <c r="B148" s="40" t="str">
        <f>IFERROR(__xludf.DUMMYFUNCTION("""COMPUTED_VALUE"""),"USA")</f>
        <v>USA</v>
      </c>
      <c r="C148" s="52" t="str">
        <f>IFERROR(__xludf.DUMMYFUNCTION("""COMPUTED_VALUE"""),"https://www.indie.io")</f>
        <v>https://www.indie.io</v>
      </c>
      <c r="D148" s="40" t="str">
        <f>IFERROR(__xludf.DUMMYFUNCTION("""COMPUTED_VALUE"""),"-")</f>
        <v>-</v>
      </c>
      <c r="E148" s="55" t="str">
        <f>IFERROR(__xludf.DUMMYFUNCTION("""COMPUTED_VALUE"""),"https://www.indie.io/signup")</f>
        <v>https://www.indie.io/signup</v>
      </c>
      <c r="F148" s="56" t="str">
        <f>IFERROR(__xludf.DUMMYFUNCTION("""COMPUTED_VALUE"""),"Donovan Duncan, Ben Robinson")</f>
        <v>Donovan Duncan, Ben Robinson</v>
      </c>
      <c r="G148" s="59" t="str">
        <f>IFERROR(__xludf.DUMMYFUNCTION("""COMPUTED_VALUE"""),"https://store.steampowered.com/franchise/indieio")</f>
        <v>https://store.steampowered.com/franchise/indieio</v>
      </c>
      <c r="H148" s="61" t="str">
        <f>IFERROR(__xludf.DUMMYFUNCTION("""COMPUTED_VALUE"""),"https://gamalytic.com/publisher/indie.io")</f>
        <v>https://gamalytic.com/publisher/indie.io</v>
      </c>
      <c r="I148" s="62" t="str">
        <f>IFERROR(__xludf.DUMMYFUNCTION("""COMPUTED_VALUE"""),"32K")</f>
        <v>32K</v>
      </c>
      <c r="J148" s="63">
        <f>IFERROR(__xludf.DUMMYFUNCTION("""COMPUTED_VALUE"""),179.0)</f>
        <v>179</v>
      </c>
      <c r="K148" s="64" t="str">
        <f>IFERROR(__xludf.DUMMYFUNCTION("""COMPUTED_VALUE"""),"Jan 2019")</f>
        <v>Jan 2019</v>
      </c>
      <c r="L148" s="64" t="str">
        <f>IFERROR(__xludf.DUMMYFUNCTION("""COMPUTED_VALUE"""),"Oct 2026")</f>
        <v>Oct 2026</v>
      </c>
      <c r="M148" s="65">
        <f>IFERROR(__xludf.DUMMYFUNCTION("""COMPUTED_VALUE"""),3.9414516E7)</f>
        <v>39414516</v>
      </c>
      <c r="N148" s="65">
        <f>IFERROR(__xludf.DUMMYFUNCTION("""COMPUTED_VALUE"""),220192.826815642)</f>
        <v>220192.8268</v>
      </c>
      <c r="O148" s="65">
        <f>IFERROR(__xludf.DUMMYFUNCTION("""COMPUTED_VALUE"""),18091.0)</f>
        <v>18091</v>
      </c>
      <c r="P148" s="66" t="str">
        <f>IFERROR(__xludf.DUMMYFUNCTION("""COMPUTED_VALUE"""),"Indie")</f>
        <v>Indie</v>
      </c>
      <c r="Q148" s="64" t="str">
        <f>IFERROR(__xludf.DUMMYFUNCTION("""COMPUTED_VALUE"""),"$")</f>
        <v>$</v>
      </c>
      <c r="R148" s="68" t="str">
        <f>IFERROR(__xludf.DUMMYFUNCTION("""COMPUTED_VALUE"""),"★★★")</f>
        <v>★★★</v>
      </c>
      <c r="S148" s="25" t="str">
        <f>IFERROR(__xludf.DUMMYFUNCTION("""COMPUTED_VALUE"""),"Survival, Base Building, Management, Open World, Sandbox, Roguelite, JRPG, Crafting, Turn-Based Combat, Action RPG")</f>
        <v>Survival, Base Building, Management, Open World, Sandbox, Roguelite, JRPG, Crafting, Turn-Based Combat, Action RPG</v>
      </c>
      <c r="T148" s="40" t="str">
        <f>IFERROR(__xludf.DUMMYFUNCTION("""COMPUTED_VALUE"""),"Symphony of War, Coromon, HumanitZ, Echoes of the Plum Grove, Airborne Kingdom")</f>
        <v>Symphony of War, Coromon, HumanitZ, Echoes of the Plum Grove, Airborne Kingdom</v>
      </c>
      <c r="U148" s="69" t="str">
        <f>IFERROR(__xludf.DUMMYFUNCTION("""COMPUTED_VALUE"""),"Formerly Freedom Games. They release games at a much faster rate than other publishers, and most released games have low numbers of reviews/sales.")</f>
        <v>Formerly Freedom Games. They release games at a much faster rate than other publishers, and most released games have low numbers of reviews/sales.</v>
      </c>
    </row>
    <row r="149">
      <c r="A149" s="49" t="str">
        <f>IFERROR(__xludf.DUMMYFUNCTION("""COMPUTED_VALUE"""),"Blowfish Studios")</f>
        <v>Blowfish Studios</v>
      </c>
      <c r="B149" s="40" t="str">
        <f>IFERROR(__xludf.DUMMYFUNCTION("""COMPUTED_VALUE"""),"Australia")</f>
        <v>Australia</v>
      </c>
      <c r="C149" s="52" t="str">
        <f>IFERROR(__xludf.DUMMYFUNCTION("""COMPUTED_VALUE"""),"https://www.blowfishstudios.com/")</f>
        <v>https://www.blowfishstudios.com/</v>
      </c>
      <c r="D149" s="40" t="str">
        <f>IFERROR(__xludf.DUMMYFUNCTION("""COMPUTED_VALUE"""),"-")</f>
        <v>-</v>
      </c>
      <c r="E149" s="40" t="str">
        <f>IFERROR(__xludf.DUMMYFUNCTION("""COMPUTED_VALUE"""),"publishing@blowfishstudios.com")</f>
        <v>publishing@blowfishstudios.com</v>
      </c>
      <c r="F149" s="56" t="str">
        <f>IFERROR(__xludf.DUMMYFUNCTION("""COMPUTED_VALUE"""),"?")</f>
        <v>?</v>
      </c>
      <c r="G149" s="59" t="str">
        <f>IFERROR(__xludf.DUMMYFUNCTION("""COMPUTED_VALUE"""),"https://store.steampowered.com/publisher/blowfishstudios")</f>
        <v>https://store.steampowered.com/publisher/blowfishstudios</v>
      </c>
      <c r="H149" s="61" t="str">
        <f>IFERROR(__xludf.DUMMYFUNCTION("""COMPUTED_VALUE"""),"https://gamalytic.com/publisher/Blowfish%20Studios")</f>
        <v>https://gamalytic.com/publisher/Blowfish%20Studios</v>
      </c>
      <c r="I149" s="62">
        <f>IFERROR(__xludf.DUMMYFUNCTION("""COMPUTED_VALUE"""),876.0)</f>
        <v>876</v>
      </c>
      <c r="J149" s="63">
        <f>IFERROR(__xludf.DUMMYFUNCTION("""COMPUTED_VALUE"""),23.0)</f>
        <v>23</v>
      </c>
      <c r="K149" s="64" t="str">
        <f>IFERROR(__xludf.DUMMYFUNCTION("""COMPUTED_VALUE"""),"Mar 2016")</f>
        <v>Mar 2016</v>
      </c>
      <c r="L149" s="64" t="str">
        <f>IFERROR(__xludf.DUMMYFUNCTION("""COMPUTED_VALUE"""),"Mar 2026")</f>
        <v>Mar 2026</v>
      </c>
      <c r="M149" s="65">
        <f>IFERROR(__xludf.DUMMYFUNCTION("""COMPUTED_VALUE"""),613928.0)</f>
        <v>613928</v>
      </c>
      <c r="N149" s="65">
        <f>IFERROR(__xludf.DUMMYFUNCTION("""COMPUTED_VALUE"""),26692.5217391304)</f>
        <v>26692.52174</v>
      </c>
      <c r="O149" s="65">
        <f>IFERROR(__xludf.DUMMYFUNCTION("""COMPUTED_VALUE"""),14725.0)</f>
        <v>14725</v>
      </c>
      <c r="P149" s="66" t="str">
        <f>IFERROR(__xludf.DUMMYFUNCTION("""COMPUTED_VALUE"""),"Indie")</f>
        <v>Indie</v>
      </c>
      <c r="Q149" s="64" t="str">
        <f>IFERROR(__xludf.DUMMYFUNCTION("""COMPUTED_VALUE"""),"$")</f>
        <v>$</v>
      </c>
      <c r="R149" s="68" t="str">
        <f>IFERROR(__xludf.DUMMYFUNCTION("""COMPUTED_VALUE"""),"★★★")</f>
        <v>★★★</v>
      </c>
      <c r="S149" s="25" t="str">
        <f>IFERROR(__xludf.DUMMYFUNCTION("""COMPUTED_VALUE"""),"Point &amp; Click, Puzzle, FPS, Shooter, Survival, Sandbox, Action-Adventure, Space Sim, Strategy RPG, Action RPG")</f>
        <v>Point &amp; Click, Puzzle, FPS, Shooter, Survival, Sandbox, Action-Adventure, Space Sim, Strategy RPG, Action RPG</v>
      </c>
      <c r="T149" s="40" t="str">
        <f>IFERROR(__xludf.DUMMYFUNCTION("""COMPUTED_VALUE"""),"Nine Witches, Katie in Mewmewland")</f>
        <v>Nine Witches, Katie in Mewmewland</v>
      </c>
      <c r="U149" s="69" t="str">
        <f>IFERROR(__xludf.DUMMYFUNCTION("""COMPUTED_VALUE"""),"-")</f>
        <v>-</v>
      </c>
    </row>
    <row r="150">
      <c r="A150" s="49" t="str">
        <f>IFERROR(__xludf.DUMMYFUNCTION("""COMPUTED_VALUE"""),"GrabTheGames")</f>
        <v>GrabTheGames</v>
      </c>
      <c r="B150" s="40" t="str">
        <f>IFERROR(__xludf.DUMMYFUNCTION("""COMPUTED_VALUE"""),"Poland")</f>
        <v>Poland</v>
      </c>
      <c r="C150" s="52" t="str">
        <f>IFERROR(__xludf.DUMMYFUNCTION("""COMPUTED_VALUE"""),"https://www.grabthegames.com/")</f>
        <v>https://www.grabthegames.com/</v>
      </c>
      <c r="D150" s="40" t="str">
        <f>IFERROR(__xludf.DUMMYFUNCTION("""COMPUTED_VALUE"""),"-")</f>
        <v>-</v>
      </c>
      <c r="E150" s="40" t="str">
        <f>IFERROR(__xludf.DUMMYFUNCTION("""COMPUTED_VALUE"""),"Rafal@GrabTheGames.com")</f>
        <v>Rafal@GrabTheGames.com</v>
      </c>
      <c r="F150" s="56" t="str">
        <f>IFERROR(__xludf.DUMMYFUNCTION("""COMPUTED_VALUE"""),"?")</f>
        <v>?</v>
      </c>
      <c r="G150" s="59" t="str">
        <f>IFERROR(__xludf.DUMMYFUNCTION("""COMPUTED_VALUE"""),"https://store.steampowered.com/publisher/GrabTheGames")</f>
        <v>https://store.steampowered.com/publisher/GrabTheGames</v>
      </c>
      <c r="H150" s="61" t="str">
        <f>IFERROR(__xludf.DUMMYFUNCTION("""COMPUTED_VALUE"""),"https://gamalytic.com/publisher/GrabTheGames")</f>
        <v>https://gamalytic.com/publisher/GrabTheGames</v>
      </c>
      <c r="I150" s="62" t="str">
        <f>IFERROR(__xludf.DUMMYFUNCTION("""COMPUTED_VALUE"""),"37K")</f>
        <v>37K</v>
      </c>
      <c r="J150" s="63">
        <f>IFERROR(__xludf.DUMMYFUNCTION("""COMPUTED_VALUE"""),118.0)</f>
        <v>118</v>
      </c>
      <c r="K150" s="64" t="str">
        <f>IFERROR(__xludf.DUMMYFUNCTION("""COMPUTED_VALUE"""),"Feb 2015")</f>
        <v>Feb 2015</v>
      </c>
      <c r="L150" s="64" t="str">
        <f>IFERROR(__xludf.DUMMYFUNCTION("""COMPUTED_VALUE"""),"Sep 2026")</f>
        <v>Sep 2026</v>
      </c>
      <c r="M150" s="65">
        <f>IFERROR(__xludf.DUMMYFUNCTION("""COMPUTED_VALUE"""),1.6615376E7)</f>
        <v>16615376</v>
      </c>
      <c r="N150" s="65">
        <f>IFERROR(__xludf.DUMMYFUNCTION("""COMPUTED_VALUE"""),140808.27118644)</f>
        <v>140808.2712</v>
      </c>
      <c r="O150" s="65">
        <f>IFERROR(__xludf.DUMMYFUNCTION("""COMPUTED_VALUE"""),14346.5)</f>
        <v>14346.5</v>
      </c>
      <c r="P150" s="66" t="str">
        <f>IFERROR(__xludf.DUMMYFUNCTION("""COMPUTED_VALUE"""),"Indie")</f>
        <v>Indie</v>
      </c>
      <c r="Q150" s="64" t="str">
        <f>IFERROR(__xludf.DUMMYFUNCTION("""COMPUTED_VALUE"""),"$")</f>
        <v>$</v>
      </c>
      <c r="R150" s="68" t="str">
        <f>IFERROR(__xludf.DUMMYFUNCTION("""COMPUTED_VALUE"""),"?")</f>
        <v>?</v>
      </c>
      <c r="S150" s="25" t="str">
        <f>IFERROR(__xludf.DUMMYFUNCTION("""COMPUTED_VALUE"""),"Management, Co-op, Base Building, Sandbox, Puzzle, Roguelite, Resource Management, Cooking, Crafting")</f>
        <v>Management, Co-op, Base Building, Sandbox, Puzzle, Roguelite, Resource Management, Cooking, Crafting</v>
      </c>
      <c r="T150" s="40" t="str">
        <f>IFERROR(__xludf.DUMMYFUNCTION("""COMPUTED_VALUE"""),"Oxygen, Gladiator Guild Manager, Garbage")</f>
        <v>Oxygen, Gladiator Guild Manager, Garbage</v>
      </c>
      <c r="U150" s="69" t="str">
        <f>IFERROR(__xludf.DUMMYFUNCTION("""COMPUTED_VALUE"""),"Used to do giveaways, now they are a publisher for PC games. They also have partners to port and publish games to consoles. Seems it doesn't have genre preference.")</f>
        <v>Used to do giveaways, now they are a publisher for PC games. They also have partners to port and publish games to consoles. Seems it doesn't have genre preference.</v>
      </c>
    </row>
    <row r="151">
      <c r="A151" s="49" t="str">
        <f>IFERROR(__xludf.DUMMYFUNCTION("""COMPUTED_VALUE"""),"Nuntius Games")</f>
        <v>Nuntius Games</v>
      </c>
      <c r="B151" s="40" t="str">
        <f>IFERROR(__xludf.DUMMYFUNCTION("""COMPUTED_VALUE"""),"Brazil")</f>
        <v>Brazil</v>
      </c>
      <c r="C151" s="52" t="str">
        <f>IFERROR(__xludf.DUMMYFUNCTION("""COMPUTED_VALUE"""),"https://nuntiusgames.com/")</f>
        <v>https://nuntiusgames.com/</v>
      </c>
      <c r="D151" s="40"/>
      <c r="E151" s="40" t="str">
        <f>IFERROR(__xludf.DUMMYFUNCTION("""COMPUTED_VALUE"""),"pitch@nuntiusgames.com")</f>
        <v>pitch@nuntiusgames.com</v>
      </c>
      <c r="F151" s="56" t="str">
        <f>IFERROR(__xludf.DUMMYFUNCTION("""COMPUTED_VALUE"""),"?")</f>
        <v>?</v>
      </c>
      <c r="G151" s="59" t="str">
        <f>IFERROR(__xludf.DUMMYFUNCTION("""COMPUTED_VALUE"""),"https://store.steampowered.com/publisher/nuntiusgames/")</f>
        <v>https://store.steampowered.com/publisher/nuntiusgames/</v>
      </c>
      <c r="H151" s="61" t="str">
        <f>IFERROR(__xludf.DUMMYFUNCTION("""COMPUTED_VALUE"""),"https://gamalytic.com/publisher/Nuntius%20Games")</f>
        <v>https://gamalytic.com/publisher/Nuntius%20Games</v>
      </c>
      <c r="I151" s="62" t="str">
        <f>IFERROR(__xludf.DUMMYFUNCTION("""COMPUTED_VALUE"""),"4K")</f>
        <v>4K</v>
      </c>
      <c r="J151" s="63">
        <f>IFERROR(__xludf.DUMMYFUNCTION("""COMPUTED_VALUE"""),13.0)</f>
        <v>13</v>
      </c>
      <c r="K151" s="64" t="str">
        <f>IFERROR(__xludf.DUMMYFUNCTION("""COMPUTED_VALUE"""),"Nov 2020")</f>
        <v>Nov 2020</v>
      </c>
      <c r="L151" s="64" t="str">
        <f>IFERROR(__xludf.DUMMYFUNCTION("""COMPUTED_VALUE"""),"Jul 2026")</f>
        <v>Jul 2026</v>
      </c>
      <c r="M151" s="65">
        <f>IFERROR(__xludf.DUMMYFUNCTION("""COMPUTED_VALUE"""),342234.0)</f>
        <v>342234</v>
      </c>
      <c r="N151" s="65">
        <f>IFERROR(__xludf.DUMMYFUNCTION("""COMPUTED_VALUE"""),26325.6923076923)</f>
        <v>26325.69231</v>
      </c>
      <c r="O151" s="65">
        <f>IFERROR(__xludf.DUMMYFUNCTION("""COMPUTED_VALUE"""),11270.0)</f>
        <v>11270</v>
      </c>
      <c r="P151" s="66" t="str">
        <f>IFERROR(__xludf.DUMMYFUNCTION("""COMPUTED_VALUE"""),"Indie")</f>
        <v>Indie</v>
      </c>
      <c r="Q151" s="64" t="str">
        <f>IFERROR(__xludf.DUMMYFUNCTION("""COMPUTED_VALUE"""),"$")</f>
        <v>$</v>
      </c>
      <c r="R151" s="68" t="str">
        <f>IFERROR(__xludf.DUMMYFUNCTION("""COMPUTED_VALUE"""),"★")</f>
        <v>★</v>
      </c>
      <c r="S151" s="25" t="str">
        <f>IFERROR(__xludf.DUMMYFUNCTION("""COMPUTED_VALUE"""),"Co-op, Hack and Slash, Action Roguelike, Bullet Heaven, Bullet Hell, Horror, Survival Horror, Psychological Horror, Creature Collector, Roguelite")</f>
        <v>Co-op, Hack and Slash, Action Roguelike, Bullet Heaven, Bullet Hell, Horror, Survival Horror, Psychological Horror, Creature Collector, Roguelite</v>
      </c>
      <c r="T151" s="40"/>
      <c r="U151" s="69" t="str">
        <f>IFERROR(__xludf.DUMMYFUNCTION("""COMPUTED_VALUE"""),"Focused on Brazilian games")</f>
        <v>Focused on Brazilian games</v>
      </c>
    </row>
    <row r="152">
      <c r="A152" s="49" t="str">
        <f>IFERROR(__xludf.DUMMYFUNCTION("""COMPUTED_VALUE"""),"Forever Entertainment")</f>
        <v>Forever Entertainment</v>
      </c>
      <c r="B152" s="40" t="str">
        <f>IFERROR(__xludf.DUMMYFUNCTION("""COMPUTED_VALUE"""),"Poland")</f>
        <v>Poland</v>
      </c>
      <c r="C152" s="52" t="str">
        <f>IFERROR(__xludf.DUMMYFUNCTION("""COMPUTED_VALUE"""),"https://forever-entertainment.com")</f>
        <v>https://forever-entertainment.com</v>
      </c>
      <c r="D152" s="40" t="str">
        <f>IFERROR(__xludf.DUMMYFUNCTION("""COMPUTED_VALUE"""),"-")</f>
        <v>-</v>
      </c>
      <c r="E152" s="40" t="str">
        <f>IFERROR(__xludf.DUMMYFUNCTION("""COMPUTED_VALUE"""),"office@forever-entertainment.com")</f>
        <v>office@forever-entertainment.com</v>
      </c>
      <c r="F152" s="56" t="str">
        <f>IFERROR(__xludf.DUMMYFUNCTION("""COMPUTED_VALUE"""),"Dominika Chylińska")</f>
        <v>Dominika Chylińska</v>
      </c>
      <c r="G152" s="59" t="str">
        <f>IFERROR(__xludf.DUMMYFUNCTION("""COMPUTED_VALUE"""),"https://store.steampowered.com/publisher/foreverentert")</f>
        <v>https://store.steampowered.com/publisher/foreverentert</v>
      </c>
      <c r="H152" s="61" t="str">
        <f>IFERROR(__xludf.DUMMYFUNCTION("""COMPUTED_VALUE"""),"https://gamalytic.com/publisher/Forever%20Entertainment%20S.%20A.")</f>
        <v>https://gamalytic.com/publisher/Forever%20Entertainment%20S.%20A.</v>
      </c>
      <c r="I152" s="62" t="str">
        <f>IFERROR(__xludf.DUMMYFUNCTION("""COMPUTED_VALUE"""),"1K")</f>
        <v>1K</v>
      </c>
      <c r="J152" s="63">
        <f>IFERROR(__xludf.DUMMYFUNCTION("""COMPUTED_VALUE"""),70.0)</f>
        <v>70</v>
      </c>
      <c r="K152" s="64" t="str">
        <f>IFERROR(__xludf.DUMMYFUNCTION("""COMPUTED_VALUE"""),"Dec 2013")</f>
        <v>Dec 2013</v>
      </c>
      <c r="L152" s="64" t="str">
        <f>IFERROR(__xludf.DUMMYFUNCTION("""COMPUTED_VALUE"""),"Jun 2026")</f>
        <v>Jun 2026</v>
      </c>
      <c r="M152" s="65">
        <f>IFERROR(__xludf.DUMMYFUNCTION("""COMPUTED_VALUE"""),5677522.0)</f>
        <v>5677522</v>
      </c>
      <c r="N152" s="65">
        <f>IFERROR(__xludf.DUMMYFUNCTION("""COMPUTED_VALUE"""),81107.4571428571)</f>
        <v>81107.45714</v>
      </c>
      <c r="O152" s="65">
        <f>IFERROR(__xludf.DUMMYFUNCTION("""COMPUTED_VALUE"""),11076.5)</f>
        <v>11076.5</v>
      </c>
      <c r="P152" s="66" t="str">
        <f>IFERROR(__xludf.DUMMYFUNCTION("""COMPUTED_VALUE"""),"Indie")</f>
        <v>Indie</v>
      </c>
      <c r="Q152" s="64" t="str">
        <f>IFERROR(__xludf.DUMMYFUNCTION("""COMPUTED_VALUE"""),"$")</f>
        <v>$</v>
      </c>
      <c r="R152" s="68" t="str">
        <f>IFERROR(__xludf.DUMMYFUNCTION("""COMPUTED_VALUE"""),"★★")</f>
        <v>★★</v>
      </c>
      <c r="S152" s="25" t="str">
        <f>IFERROR(__xludf.DUMMYFUNCTION("""COMPUTED_VALUE"""),"Arcade, Puzzle, Horror, On-Rails Shooter, Point &amp; Click, Shooter, Turn-Based Tactics, Turn-Based Strategy, Management")</f>
        <v>Arcade, Puzzle, Horror, On-Rails Shooter, Point &amp; Click, Shooter, Turn-Based Tactics, Turn-Based Strategy, Management</v>
      </c>
      <c r="T152" s="40" t="str">
        <f>IFERROR(__xludf.DUMMYFUNCTION("""COMPUTED_VALUE"""),"Timberman, Blacksmith Hit")</f>
        <v>Timberman, Blacksmith Hit</v>
      </c>
      <c r="U152" s="69" t="str">
        <f>IFERROR(__xludf.DUMMYFUNCTION("""COMPUTED_VALUE"""),"-")</f>
        <v>-</v>
      </c>
    </row>
    <row r="153">
      <c r="A153" s="49" t="str">
        <f>IFERROR(__xludf.DUMMYFUNCTION("""COMPUTED_VALUE"""),"Toge Productions")</f>
        <v>Toge Productions</v>
      </c>
      <c r="B153" s="40" t="str">
        <f>IFERROR(__xludf.DUMMYFUNCTION("""COMPUTED_VALUE"""),"Indonesia")</f>
        <v>Indonesia</v>
      </c>
      <c r="C153" s="52" t="str">
        <f>IFERROR(__xludf.DUMMYFUNCTION("""COMPUTED_VALUE"""),"https://www.togeproductions.com")</f>
        <v>https://www.togeproductions.com</v>
      </c>
      <c r="D153" s="55" t="str">
        <f>IFERROR(__xludf.DUMMYFUNCTION("""COMPUTED_VALUE"""),"https://docs.google.com/presentation/d/1bWWQTIaMJ1Rc39ttsoz7sgeWPY7MmlzuVHGw22VTRPg/edit#slide=id.p")</f>
        <v>https://docs.google.com/presentation/d/1bWWQTIaMJ1Rc39ttsoz7sgeWPY7MmlzuVHGw22VTRPg/edit#slide=id.p</v>
      </c>
      <c r="E153" s="40" t="str">
        <f>IFERROR(__xludf.DUMMYFUNCTION("""COMPUTED_VALUE"""),"info@togeproductions.com")</f>
        <v>info@togeproductions.com</v>
      </c>
      <c r="F153" s="56" t="str">
        <f>IFERROR(__xludf.DUMMYFUNCTION("""COMPUTED_VALUE"""),"Kris Antoni Hadiputra")</f>
        <v>Kris Antoni Hadiputra</v>
      </c>
      <c r="G153" s="59" t="str">
        <f>IFERROR(__xludf.DUMMYFUNCTION("""COMPUTED_VALUE"""),"https://store.steampowered.com/publisher/togeproductions")</f>
        <v>https://store.steampowered.com/publisher/togeproductions</v>
      </c>
      <c r="H153" s="61" t="str">
        <f>IFERROR(__xludf.DUMMYFUNCTION("""COMPUTED_VALUE"""),"https://gamalytic.com/publisher/Toge%20Productions")</f>
        <v>https://gamalytic.com/publisher/Toge%20Productions</v>
      </c>
      <c r="I153" s="62" t="str">
        <f>IFERROR(__xludf.DUMMYFUNCTION("""COMPUTED_VALUE"""),"32K")</f>
        <v>32K</v>
      </c>
      <c r="J153" s="63">
        <f>IFERROR(__xludf.DUMMYFUNCTION("""COMPUTED_VALUE"""),29.0)</f>
        <v>29</v>
      </c>
      <c r="K153" s="64" t="str">
        <f>IFERROR(__xludf.DUMMYFUNCTION("""COMPUTED_VALUE"""),"Aug 2016")</f>
        <v>Aug 2016</v>
      </c>
      <c r="L153" s="64" t="str">
        <f>IFERROR(__xludf.DUMMYFUNCTION("""COMPUTED_VALUE"""),"Apr 2026")</f>
        <v>Apr 2026</v>
      </c>
      <c r="M153" s="65">
        <f>IFERROR(__xludf.DUMMYFUNCTION("""COMPUTED_VALUE"""),8738298.0)</f>
        <v>8738298</v>
      </c>
      <c r="N153" s="65">
        <f>IFERROR(__xludf.DUMMYFUNCTION("""COMPUTED_VALUE"""),301320.620689655)</f>
        <v>301320.6207</v>
      </c>
      <c r="O153" s="65">
        <f>IFERROR(__xludf.DUMMYFUNCTION("""COMPUTED_VALUE"""),11009.0)</f>
        <v>11009</v>
      </c>
      <c r="P153" s="66" t="str">
        <f>IFERROR(__xludf.DUMMYFUNCTION("""COMPUTED_VALUE"""),"Indie")</f>
        <v>Indie</v>
      </c>
      <c r="Q153" s="64" t="str">
        <f>IFERROR(__xludf.DUMMYFUNCTION("""COMPUTED_VALUE"""),"$")</f>
        <v>$</v>
      </c>
      <c r="R153" s="68" t="str">
        <f>IFERROR(__xludf.DUMMYFUNCTION("""COMPUTED_VALUE"""),"★★")</f>
        <v>★★</v>
      </c>
      <c r="S153" s="25" t="str">
        <f>IFERROR(__xludf.DUMMYFUNCTION("""COMPUTED_VALUE"""),"Visual Novel, Interactive Fiction, Puzzle, Hidden Object, Horror, Action Roguelike, Point &amp; Click")</f>
        <v>Visual Novel, Interactive Fiction, Puzzle, Hidden Object, Horror, Action Roguelike, Point &amp; Click</v>
      </c>
      <c r="T153" s="40" t="str">
        <f>IFERROR(__xludf.DUMMYFUNCTION("""COMPUTED_VALUE"""),"Coffee Talk, A Space for the Unbound")</f>
        <v>Coffee Talk, A Space for the Unbound</v>
      </c>
      <c r="U153" s="69" t="str">
        <f>IFERROR(__xludf.DUMMYFUNCTION("""COMPUTED_VALUE"""),"They have published many pixel graphics games. They also have a Toge Game Fund Initiative where they give grants of $10K.")</f>
        <v>They have published many pixel graphics games. They also have a Toge Game Fund Initiative where they give grants of $10K.</v>
      </c>
    </row>
    <row r="154">
      <c r="A154" s="49" t="str">
        <f>IFERROR(__xludf.DUMMYFUNCTION("""COMPUTED_VALUE"""),"Judatone Studios")</f>
        <v>Judatone Studios</v>
      </c>
      <c r="B154" s="40" t="str">
        <f>IFERROR(__xludf.DUMMYFUNCTION("""COMPUTED_VALUE"""),"USA")</f>
        <v>USA</v>
      </c>
      <c r="C154" s="52" t="str">
        <f>IFERROR(__xludf.DUMMYFUNCTION("""COMPUTED_VALUE"""),"https://judatone.com/")</f>
        <v>https://judatone.com/</v>
      </c>
      <c r="D154" s="40" t="str">
        <f>IFERROR(__xludf.DUMMYFUNCTION("""COMPUTED_VALUE"""),"-")</f>
        <v>-</v>
      </c>
      <c r="E154" s="40" t="str">
        <f>IFERROR(__xludf.DUMMYFUNCTION("""COMPUTED_VALUE"""),"INFO@JUDATONESTUDIOS.COM")</f>
        <v>INFO@JUDATONESTUDIOS.COM</v>
      </c>
      <c r="F154" s="56" t="str">
        <f>IFERROR(__xludf.DUMMYFUNCTION("""COMPUTED_VALUE"""),"Antonio Assenza")</f>
        <v>Antonio Assenza</v>
      </c>
      <c r="G154" s="59" t="str">
        <f>IFERROR(__xludf.DUMMYFUNCTION("""COMPUTED_VALUE"""),"https://store.steampowered.com/search/?publisher=Judatone+Studios")</f>
        <v>https://store.steampowered.com/search/?publisher=Judatone+Studios</v>
      </c>
      <c r="H154" s="61" t="str">
        <f>IFERROR(__xludf.DUMMYFUNCTION("""COMPUTED_VALUE"""),"https://gamalytic.com/publisher/Judatone%20Studios")</f>
        <v>https://gamalytic.com/publisher/Judatone%20Studios</v>
      </c>
      <c r="I154" s="62">
        <f>IFERROR(__xludf.DUMMYFUNCTION("""COMPUTED_VALUE"""),37.0)</f>
        <v>37</v>
      </c>
      <c r="J154" s="63">
        <f>IFERROR(__xludf.DUMMYFUNCTION("""COMPUTED_VALUE"""),5.0)</f>
        <v>5</v>
      </c>
      <c r="K154" s="64" t="str">
        <f>IFERROR(__xludf.DUMMYFUNCTION("""COMPUTED_VALUE"""),"Jan 2025")</f>
        <v>Jan 2025</v>
      </c>
      <c r="L154" s="64" t="str">
        <f>IFERROR(__xludf.DUMMYFUNCTION("""COMPUTED_VALUE"""),"Aug 2026")</f>
        <v>Aug 2026</v>
      </c>
      <c r="M154" s="65">
        <f>IFERROR(__xludf.DUMMYFUNCTION("""COMPUTED_VALUE"""),243545.0)</f>
        <v>243545</v>
      </c>
      <c r="N154" s="65">
        <f>IFERROR(__xludf.DUMMYFUNCTION("""COMPUTED_VALUE"""),48709.0)</f>
        <v>48709</v>
      </c>
      <c r="O154" s="65">
        <f>IFERROR(__xludf.DUMMYFUNCTION("""COMPUTED_VALUE"""),10534.0)</f>
        <v>10534</v>
      </c>
      <c r="P154" s="66" t="str">
        <f>IFERROR(__xludf.DUMMYFUNCTION("""COMPUTED_VALUE"""),"Indie")</f>
        <v>Indie</v>
      </c>
      <c r="Q154" s="64" t="str">
        <f>IFERROR(__xludf.DUMMYFUNCTION("""COMPUTED_VALUE"""),"$")</f>
        <v>$</v>
      </c>
      <c r="R154" s="68" t="str">
        <f>IFERROR(__xludf.DUMMYFUNCTION("""COMPUTED_VALUE"""),"?")</f>
        <v>?</v>
      </c>
      <c r="S154" s="25" t="str">
        <f>IFERROR(__xludf.DUMMYFUNCTION("""COMPUTED_VALUE"""),"Co-op, Horror, Puzzle, Procedural Generation, 2.5D, Psychological Horror, Automation")</f>
        <v>Co-op, Horror, Puzzle, Procedural Generation, 2.5D, Psychological Horror, Automation</v>
      </c>
      <c r="T154" s="40" t="str">
        <f>IFERROR(__xludf.DUMMYFUNCTION("""COMPUTED_VALUE"""),"Mashina, Nova Patria, Last Pirates Die Togeter")</f>
        <v>Mashina, Nova Patria, Last Pirates Die Togeter</v>
      </c>
      <c r="U154" s="69" t="str">
        <f>IFERROR(__xludf.DUMMYFUNCTION("""COMPUTED_VALUE"""),"New indie publisher focused on solo-developers and small indie teams for games releasing in the next 12 months on PC. Lead by former tinyBuild veteran. Not offering dev funding.")</f>
        <v>New indie publisher focused on solo-developers and small indie teams for games releasing in the next 12 months on PC. Lead by former tinyBuild veteran. Not offering dev funding.</v>
      </c>
    </row>
    <row r="155">
      <c r="A155" s="49" t="str">
        <f>IFERROR(__xludf.DUMMYFUNCTION("""COMPUTED_VALUE"""),"Selecta Play")</f>
        <v>Selecta Play</v>
      </c>
      <c r="B155" s="40" t="str">
        <f>IFERROR(__xludf.DUMMYFUNCTION("""COMPUTED_VALUE"""),"Spain")</f>
        <v>Spain</v>
      </c>
      <c r="C155" s="52" t="str">
        <f>IFERROR(__xludf.DUMMYFUNCTION("""COMPUTED_VALUE"""),"https://selecta-play.com/en/")</f>
        <v>https://selecta-play.com/en/</v>
      </c>
      <c r="D155" s="40"/>
      <c r="E155" s="40" t="str">
        <f>IFERROR(__xludf.DUMMYFUNCTION("""COMPUTED_VALUE"""),"publishing@selecta-play.com")</f>
        <v>publishing@selecta-play.com</v>
      </c>
      <c r="F155" s="56" t="str">
        <f>IFERROR(__xludf.DUMMYFUNCTION("""COMPUTED_VALUE"""),"Javier Puertas")</f>
        <v>Javier Puertas</v>
      </c>
      <c r="G155" s="59" t="str">
        <f>IFERROR(__xludf.DUMMYFUNCTION("""COMPUTED_VALUE"""),"https://store.steampowered.com/publisher/SelectaPlay")</f>
        <v>https://store.steampowered.com/publisher/SelectaPlay</v>
      </c>
      <c r="H155" s="61" t="str">
        <f>IFERROR(__xludf.DUMMYFUNCTION("""COMPUTED_VALUE"""),"https://gamalytic.com/publisher/Selecta%20Play")</f>
        <v>https://gamalytic.com/publisher/Selecta%20Play</v>
      </c>
      <c r="I155" s="62">
        <f>IFERROR(__xludf.DUMMYFUNCTION("""COMPUTED_VALUE"""),229.0)</f>
        <v>229</v>
      </c>
      <c r="J155" s="63">
        <f>IFERROR(__xludf.DUMMYFUNCTION("""COMPUTED_VALUE"""),11.0)</f>
        <v>11</v>
      </c>
      <c r="K155" s="64" t="str">
        <f>IFERROR(__xludf.DUMMYFUNCTION("""COMPUTED_VALUE"""),"Jul 2022")</f>
        <v>Jul 2022</v>
      </c>
      <c r="L155" s="64" t="str">
        <f>IFERROR(__xludf.DUMMYFUNCTION("""COMPUTED_VALUE"""),"Sep 2026")</f>
        <v>Sep 2026</v>
      </c>
      <c r="M155" s="65">
        <f>IFERROR(__xludf.DUMMYFUNCTION("""COMPUTED_VALUE"""),573492.0)</f>
        <v>573492</v>
      </c>
      <c r="N155" s="65">
        <f>IFERROR(__xludf.DUMMYFUNCTION("""COMPUTED_VALUE"""),52135.6363636363)</f>
        <v>52135.63636</v>
      </c>
      <c r="O155" s="65">
        <f>IFERROR(__xludf.DUMMYFUNCTION("""COMPUTED_VALUE"""),9991.0)</f>
        <v>9991</v>
      </c>
      <c r="P155" s="66" t="str">
        <f>IFERROR(__xludf.DUMMYFUNCTION("""COMPUTED_VALUE"""),"Indie")</f>
        <v>Indie</v>
      </c>
      <c r="Q155" s="64" t="str">
        <f>IFERROR(__xludf.DUMMYFUNCTION("""COMPUTED_VALUE"""),"$")</f>
        <v>$</v>
      </c>
      <c r="R155" s="68" t="str">
        <f>IFERROR(__xludf.DUMMYFUNCTION("""COMPUTED_VALUE"""),"★★★")</f>
        <v>★★★</v>
      </c>
      <c r="S155" s="25" t="str">
        <f>IFERROR(__xludf.DUMMYFUNCTION("""COMPUTED_VALUE"""),"Psychological Horror, Walking Simulator, Puzzle, Action-Adventure, Horror, Platformer, 2D Platformer, Beat 'em up, Arcade, Metroidvania")</f>
        <v>Psychological Horror, Walking Simulator, Puzzle, Action-Adventure, Horror, Platformer, 2D Platformer, Beat 'em up, Arcade, Metroidvania</v>
      </c>
      <c r="T155" s="40" t="str">
        <f>IFERROR(__xludf.DUMMYFUNCTION("""COMPUTED_VALUE"""),"Terrifier, Luto, Morkull")</f>
        <v>Terrifier, Luto, Morkull</v>
      </c>
      <c r="U155" s="69" t="str">
        <f>IFERROR(__xludf.DUMMYFUNCTION("""COMPUTED_VALUE"""),"All genres. Budget less than $250k. Also porting for consoles. ")</f>
        <v>All genres. Budget less than $250k. Also porting for consoles. </v>
      </c>
    </row>
    <row r="156">
      <c r="A156" s="49" t="str">
        <f>IFERROR(__xludf.DUMMYFUNCTION("""COMPUTED_VALUE"""),"Pineapple Works")</f>
        <v>Pineapple Works</v>
      </c>
      <c r="B156" s="40" t="str">
        <f>IFERROR(__xludf.DUMMYFUNCTION("""COMPUTED_VALUE"""),"Poland")</f>
        <v>Poland</v>
      </c>
      <c r="C156" s="52" t="str">
        <f>IFERROR(__xludf.DUMMYFUNCTION("""COMPUTED_VALUE"""),"https://pineapple.works/")</f>
        <v>https://pineapple.works/</v>
      </c>
      <c r="D156" s="40"/>
      <c r="E156" s="40"/>
      <c r="F156" s="56" t="str">
        <f>IFERROR(__xludf.DUMMYFUNCTION("""COMPUTED_VALUE"""),"Wojtek Kubiak")</f>
        <v>Wojtek Kubiak</v>
      </c>
      <c r="G156" s="59" t="str">
        <f>IFERROR(__xludf.DUMMYFUNCTION("""COMPUTED_VALUE"""),"https://store.steampowered.com/developer/pineappleworks")</f>
        <v>https://store.steampowered.com/developer/pineappleworks</v>
      </c>
      <c r="H156" s="61" t="str">
        <f>IFERROR(__xludf.DUMMYFUNCTION("""COMPUTED_VALUE"""),"https://gamalytic.com/publisher/Pineapple%20Works")</f>
        <v>https://gamalytic.com/publisher/Pineapple%20Works</v>
      </c>
      <c r="I156" s="62">
        <f>IFERROR(__xludf.DUMMYFUNCTION("""COMPUTED_VALUE"""),85.0)</f>
        <v>85</v>
      </c>
      <c r="J156" s="63">
        <f>IFERROR(__xludf.DUMMYFUNCTION("""COMPUTED_VALUE"""),6.0)</f>
        <v>6</v>
      </c>
      <c r="K156" s="64" t="str">
        <f>IFERROR(__xludf.DUMMYFUNCTION("""COMPUTED_VALUE"""),"Apr 2023")</f>
        <v>Apr 2023</v>
      </c>
      <c r="L156" s="64" t="str">
        <f>IFERROR(__xludf.DUMMYFUNCTION("""COMPUTED_VALUE"""),"Mar 2026")</f>
        <v>Mar 2026</v>
      </c>
      <c r="M156" s="65">
        <f>IFERROR(__xludf.DUMMYFUNCTION("""COMPUTED_VALUE"""),194022.0)</f>
        <v>194022</v>
      </c>
      <c r="N156" s="65">
        <f>IFERROR(__xludf.DUMMYFUNCTION("""COMPUTED_VALUE"""),32337.0)</f>
        <v>32337</v>
      </c>
      <c r="O156" s="65">
        <f>IFERROR(__xludf.DUMMYFUNCTION("""COMPUTED_VALUE"""),9473.5)</f>
        <v>9473.5</v>
      </c>
      <c r="P156" s="66" t="str">
        <f>IFERROR(__xludf.DUMMYFUNCTION("""COMPUTED_VALUE"""),"Indie")</f>
        <v>Indie</v>
      </c>
      <c r="Q156" s="64" t="str">
        <f>IFERROR(__xludf.DUMMYFUNCTION("""COMPUTED_VALUE"""),"$")</f>
        <v>$</v>
      </c>
      <c r="R156" s="68" t="str">
        <f>IFERROR(__xludf.DUMMYFUNCTION("""COMPUTED_VALUE"""),"★★★")</f>
        <v>★★★</v>
      </c>
      <c r="S156" s="25" t="str">
        <f>IFERROR(__xludf.DUMMYFUNCTION("""COMPUTED_VALUE"""),"Tactical RPG, Dungeon Crawler, Sandbox, Action RPG, Roguelike, Open World, Gambling, Psychological Horror, Card Game")</f>
        <v>Tactical RPG, Dungeon Crawler, Sandbox, Action RPG, Roguelike, Open World, Gambling, Psychological Horror, Card Game</v>
      </c>
      <c r="T156" s="40" t="str">
        <f>IFERROR(__xludf.DUMMYFUNCTION("""COMPUTED_VALUE"""),"Sealed Bite, Dreamed Away, Greek Tragedy, Death and Taxes, Of Blades and Tails, Dance of Cards")</f>
        <v>Sealed Bite, Dreamed Away, Greek Tragedy, Death and Taxes, Of Blades and Tails, Dance of Cards</v>
      </c>
      <c r="U156" s="69" t="str">
        <f>IFERROR(__xludf.DUMMYFUNCTION("""COMPUTED_VALUE"""),"Specializes in crowdfunding and console porting. Does not do direct ""money in exchange for revenue"" deals. Not accepting new pitches until at least Jan 2026.")</f>
        <v>Specializes in crowdfunding and console porting. Does not do direct "money in exchange for revenue" deals. Not accepting new pitches until at least Jan 2026.</v>
      </c>
    </row>
    <row r="157">
      <c r="A157" s="49" t="str">
        <f>IFERROR(__xludf.DUMMYFUNCTION("""COMPUTED_VALUE"""),"Green Man Gaming")</f>
        <v>Green Man Gaming</v>
      </c>
      <c r="B157" s="40" t="str">
        <f>IFERROR(__xludf.DUMMYFUNCTION("""COMPUTED_VALUE"""),"UK")</f>
        <v>UK</v>
      </c>
      <c r="C157" s="52" t="str">
        <f>IFERROR(__xludf.DUMMYFUNCTION("""COMPUTED_VALUE"""),"https://www.greenmangaming.com/")</f>
        <v>https://www.greenmangaming.com/</v>
      </c>
      <c r="D157" s="40" t="str">
        <f>IFERROR(__xludf.DUMMYFUNCTION("""COMPUTED_VALUE"""),"-")</f>
        <v>-</v>
      </c>
      <c r="E157" s="40" t="str">
        <f>IFERROR(__xludf.DUMMYFUNCTION("""COMPUTED_VALUE"""),"alex.cook@greenmangaming.com ")</f>
        <v>alex.cook@greenmangaming.com </v>
      </c>
      <c r="F157" s="56" t="str">
        <f>IFERROR(__xludf.DUMMYFUNCTION("""COMPUTED_VALUE"""),"Ben Tucker")</f>
        <v>Ben Tucker</v>
      </c>
      <c r="G157" s="59" t="str">
        <f>IFERROR(__xludf.DUMMYFUNCTION("""COMPUTED_VALUE"""),"https://store.steampowered.com/publisher/GMG")</f>
        <v>https://store.steampowered.com/publisher/GMG</v>
      </c>
      <c r="H157" s="61" t="str">
        <f>IFERROR(__xludf.DUMMYFUNCTION("""COMPUTED_VALUE"""),"https://gamalytic.com/publisher/Green%20Man%20Gaming%20Publishing")</f>
        <v>https://gamalytic.com/publisher/Green%20Man%20Gaming%20Publishing</v>
      </c>
      <c r="I157" s="62" t="str">
        <f>IFERROR(__xludf.DUMMYFUNCTION("""COMPUTED_VALUE"""),"2K")</f>
        <v>2K</v>
      </c>
      <c r="J157" s="63">
        <f>IFERROR(__xludf.DUMMYFUNCTION("""COMPUTED_VALUE"""),17.0)</f>
        <v>17</v>
      </c>
      <c r="K157" s="64" t="str">
        <f>IFERROR(__xludf.DUMMYFUNCTION("""COMPUTED_VALUE"""),"Feb 2015")</f>
        <v>Feb 2015</v>
      </c>
      <c r="L157" s="64" t="str">
        <f>IFERROR(__xludf.DUMMYFUNCTION("""COMPUTED_VALUE"""),"Oct 2023")</f>
        <v>Oct 2023</v>
      </c>
      <c r="M157" s="65">
        <f>IFERROR(__xludf.DUMMYFUNCTION("""COMPUTED_VALUE"""),2557679.0)</f>
        <v>2557679</v>
      </c>
      <c r="N157" s="65">
        <f>IFERROR(__xludf.DUMMYFUNCTION("""COMPUTED_VALUE"""),150451.705882352)</f>
        <v>150451.7059</v>
      </c>
      <c r="O157" s="65">
        <f>IFERROR(__xludf.DUMMYFUNCTION("""COMPUTED_VALUE"""),8803.0)</f>
        <v>8803</v>
      </c>
      <c r="P157" s="66" t="str">
        <f>IFERROR(__xludf.DUMMYFUNCTION("""COMPUTED_VALUE"""),"Indie")</f>
        <v>Indie</v>
      </c>
      <c r="Q157" s="64" t="str">
        <f>IFERROR(__xludf.DUMMYFUNCTION("""COMPUTED_VALUE"""),"$")</f>
        <v>$</v>
      </c>
      <c r="R157" s="68" t="str">
        <f>IFERROR(__xludf.DUMMYFUNCTION("""COMPUTED_VALUE"""),"★★")</f>
        <v>★★</v>
      </c>
      <c r="S157" s="25" t="str">
        <f>IFERROR(__xludf.DUMMYFUNCTION("""COMPUTED_VALUE"""),"Immersive Sim, Automobile Sim, Open World, Driving, Puzzle, Sandbox, Survival, Flight")</f>
        <v>Immersive Sim, Automobile Sim, Open World, Driving, Puzzle, Sandbox, Survival, Flight</v>
      </c>
      <c r="T157" s="40" t="str">
        <f>IFERROR(__xludf.DUMMYFUNCTION("""COMPUTED_VALUE"""),"Model Builder, Kainga")</f>
        <v>Model Builder, Kainga</v>
      </c>
      <c r="U157" s="69" t="str">
        <f>IFERROR(__xludf.DUMMYFUNCTION("""COMPUTED_VALUE"""),"They have a store front, but also publish indies. Little succes, and complaints have been raised by their developers on Reddit about the treatement they recieved. There has been an overhaul of the Publishing division and after a fallow couple of years, th"&amp;"ey plan to be publishing in 2026 and beyond
")</f>
        <v>They have a store front, but also publish indies. Little succes, and complaints have been raised by their developers on Reddit about the treatement they recieved. There has been an overhaul of the Publishing division and after a fallow couple of years, they plan to be publishing in 2026 and beyond
</v>
      </c>
    </row>
    <row r="158" ht="16.5" customHeight="1">
      <c r="A158" s="49" t="str">
        <f>IFERROR(__xludf.DUMMYFUNCTION("""COMPUTED_VALUE"""),"Dionous Games")</f>
        <v>Dionous Games</v>
      </c>
      <c r="B158" s="40" t="str">
        <f>IFERROR(__xludf.DUMMYFUNCTION("""COMPUTED_VALUE"""),"Cyprus")</f>
        <v>Cyprus</v>
      </c>
      <c r="C158" s="52" t="str">
        <f>IFERROR(__xludf.DUMMYFUNCTION("""COMPUTED_VALUE"""),"https://www.dionous.com")</f>
        <v>https://www.dionous.com</v>
      </c>
      <c r="D158" s="40" t="str">
        <f>IFERROR(__xludf.DUMMYFUNCTION("""COMPUTED_VALUE"""),"-")</f>
        <v>-</v>
      </c>
      <c r="E158" s="55" t="str">
        <f>IFERROR(__xludf.DUMMYFUNCTION("""COMPUTED_VALUE"""),"https://www.dionous.com/game-pitches/")</f>
        <v>https://www.dionous.com/game-pitches/</v>
      </c>
      <c r="F158" s="56" t="str">
        <f>IFERROR(__xludf.DUMMYFUNCTION("""COMPUTED_VALUE"""),"Chris Tikkos")</f>
        <v>Chris Tikkos</v>
      </c>
      <c r="G158" s="59" t="str">
        <f>IFERROR(__xludf.DUMMYFUNCTION("""COMPUTED_VALUE"""),"https://store.steampowered.com/developer/dionous")</f>
        <v>https://store.steampowered.com/developer/dionous</v>
      </c>
      <c r="H158" s="61" t="str">
        <f>IFERROR(__xludf.DUMMYFUNCTION("""COMPUTED_VALUE"""),"https://gamalytic.com/publisher/Dionous%20Games")</f>
        <v>https://gamalytic.com/publisher/Dionous%20Games</v>
      </c>
      <c r="I158" s="62">
        <f>IFERROR(__xludf.DUMMYFUNCTION("""COMPUTED_VALUE"""),313.0)</f>
        <v>313</v>
      </c>
      <c r="J158" s="63">
        <f>IFERROR(__xludf.DUMMYFUNCTION("""COMPUTED_VALUE"""),12.0)</f>
        <v>12</v>
      </c>
      <c r="K158" s="64" t="str">
        <f>IFERROR(__xludf.DUMMYFUNCTION("""COMPUTED_VALUE"""),"May 2021")</f>
        <v>May 2021</v>
      </c>
      <c r="L158" s="64" t="str">
        <f>IFERROR(__xludf.DUMMYFUNCTION("""COMPUTED_VALUE"""),"Sep 2026")</f>
        <v>Sep 2026</v>
      </c>
      <c r="M158" s="65">
        <f>IFERROR(__xludf.DUMMYFUNCTION("""COMPUTED_VALUE"""),102363.0)</f>
        <v>102363</v>
      </c>
      <c r="N158" s="65">
        <f>IFERROR(__xludf.DUMMYFUNCTION("""COMPUTED_VALUE"""),8530.25)</f>
        <v>8530.25</v>
      </c>
      <c r="O158" s="65">
        <f>IFERROR(__xludf.DUMMYFUNCTION("""COMPUTED_VALUE"""),7523.5)</f>
        <v>7523.5</v>
      </c>
      <c r="P158" s="66" t="str">
        <f>IFERROR(__xludf.DUMMYFUNCTION("""COMPUTED_VALUE"""),"Indie")</f>
        <v>Indie</v>
      </c>
      <c r="Q158" s="64" t="str">
        <f>IFERROR(__xludf.DUMMYFUNCTION("""COMPUTED_VALUE"""),"$")</f>
        <v>$</v>
      </c>
      <c r="R158" s="68" t="str">
        <f>IFERROR(__xludf.DUMMYFUNCTION("""COMPUTED_VALUE"""),"?")</f>
        <v>?</v>
      </c>
      <c r="S158" s="25" t="str">
        <f>IFERROR(__xludf.DUMMYFUNCTION("""COMPUTED_VALUE"""),"Point &amp; Click, Puzzle")</f>
        <v>Point &amp; Click, Puzzle</v>
      </c>
      <c r="T158" s="40" t="str">
        <f>IFERROR(__xludf.DUMMYFUNCTION("""COMPUTED_VALUE"""),"Not Another Weekend, Watch Over Christmas")</f>
        <v>Not Another Weekend, Watch Over Christmas</v>
      </c>
      <c r="U158" s="69" t="str">
        <f>IFERROR(__xludf.DUMMYFUNCTION("""COMPUTED_VALUE"""),"Mainly focused on narrative / puzzle and point and click adventure games. They can also publish to all consoles and mobiles. They are specializing on Visionaire Studio game engine.")</f>
        <v>Mainly focused on narrative / puzzle and point and click adventure games. They can also publish to all consoles and mobiles. They are specializing on Visionaire Studio game engine.</v>
      </c>
    </row>
    <row r="159">
      <c r="A159" s="49" t="str">
        <f>IFERROR(__xludf.DUMMYFUNCTION("""COMPUTED_VALUE"""),"Catness Game Studios")</f>
        <v>Catness Game Studios</v>
      </c>
      <c r="B159" s="40" t="str">
        <f>IFERROR(__xludf.DUMMYFUNCTION("""COMPUTED_VALUE"""),"Spain")</f>
        <v>Spain</v>
      </c>
      <c r="C159" s="52" t="str">
        <f>IFERROR(__xludf.DUMMYFUNCTION("""COMPUTED_VALUE"""),"https://catnessgames.com/")</f>
        <v>https://catnessgames.com/</v>
      </c>
      <c r="D159" s="40" t="str">
        <f>IFERROR(__xludf.DUMMYFUNCTION("""COMPUTED_VALUE"""),"-")</f>
        <v>-</v>
      </c>
      <c r="E159" s="40" t="str">
        <f>IFERROR(__xludf.DUMMYFUNCTION("""COMPUTED_VALUE"""),"info@catnessgames.com")</f>
        <v>info@catnessgames.com</v>
      </c>
      <c r="F159" s="56" t="str">
        <f>IFERROR(__xludf.DUMMYFUNCTION("""COMPUTED_VALUE"""),"?")</f>
        <v>?</v>
      </c>
      <c r="G159" s="59" t="str">
        <f>IFERROR(__xludf.DUMMYFUNCTION("""COMPUTED_VALUE"""),"https://store.steampowered.com/publisher/catnessgames")</f>
        <v>https://store.steampowered.com/publisher/catnessgames</v>
      </c>
      <c r="H159" s="61" t="str">
        <f>IFERROR(__xludf.DUMMYFUNCTION("""COMPUTED_VALUE"""),"https://gamalytic.com/publisher/Catness%20Game%20Studios")</f>
        <v>https://gamalytic.com/publisher/Catness%20Game%20Studios</v>
      </c>
      <c r="I159" s="62">
        <f>IFERROR(__xludf.DUMMYFUNCTION("""COMPUTED_VALUE"""),24.0)</f>
        <v>24</v>
      </c>
      <c r="J159" s="63">
        <f>IFERROR(__xludf.DUMMYFUNCTION("""COMPUTED_VALUE"""),2.0)</f>
        <v>2</v>
      </c>
      <c r="K159" s="64" t="str">
        <f>IFERROR(__xludf.DUMMYFUNCTION("""COMPUTED_VALUE"""),"Mar 2024")</f>
        <v>Mar 2024</v>
      </c>
      <c r="L159" s="64" t="str">
        <f>IFERROR(__xludf.DUMMYFUNCTION("""COMPUTED_VALUE"""),"Feb 2025")</f>
        <v>Feb 2025</v>
      </c>
      <c r="M159" s="65">
        <f>IFERROR(__xludf.DUMMYFUNCTION("""COMPUTED_VALUE"""),12461.0)</f>
        <v>12461</v>
      </c>
      <c r="N159" s="65">
        <f>IFERROR(__xludf.DUMMYFUNCTION("""COMPUTED_VALUE"""),6230.5)</f>
        <v>6230.5</v>
      </c>
      <c r="O159" s="65">
        <f>IFERROR(__xludf.DUMMYFUNCTION("""COMPUTED_VALUE"""),6230.5)</f>
        <v>6230.5</v>
      </c>
      <c r="P159" s="66" t="str">
        <f>IFERROR(__xludf.DUMMYFUNCTION("""COMPUTED_VALUE"""),"Indie")</f>
        <v>Indie</v>
      </c>
      <c r="Q159" s="64" t="str">
        <f>IFERROR(__xludf.DUMMYFUNCTION("""COMPUTED_VALUE"""),"$")</f>
        <v>$</v>
      </c>
      <c r="R159" s="68" t="str">
        <f>IFERROR(__xludf.DUMMYFUNCTION("""COMPUTED_VALUE"""),"?")</f>
        <v>?</v>
      </c>
      <c r="S159" s="25" t="str">
        <f>IFERROR(__xludf.DUMMYFUNCTION("""COMPUTED_VALUE"""),"Puzzle, Platformer, 2.5D, Horror, Puzzle Platformer")</f>
        <v>Puzzle, Platformer, 2.5D, Horror, Puzzle Platformer</v>
      </c>
      <c r="T159" s="40" t="str">
        <f>IFERROR(__xludf.DUMMYFUNCTION("""COMPUTED_VALUE"""),"One Last Breath, The Savior's Gang")</f>
        <v>One Last Breath, The Savior's Gang</v>
      </c>
      <c r="U159" s="69" t="str">
        <f>IFERROR(__xludf.DUMMYFUNCTION("""COMPUTED_VALUE"""),"We are focused on creating, porting, and publishing Unreal Engine games. ")</f>
        <v>We are focused on creating, porting, and publishing Unreal Engine games. </v>
      </c>
    </row>
    <row r="160">
      <c r="A160" s="49" t="str">
        <f>IFERROR(__xludf.DUMMYFUNCTION("""COMPUTED_VALUE"""),"PerfectGen")</f>
        <v>PerfectGen</v>
      </c>
      <c r="B160" s="40" t="str">
        <f>IFERROR(__xludf.DUMMYFUNCTION("""COMPUTED_VALUE"""),"Tunisia")</f>
        <v>Tunisia</v>
      </c>
      <c r="C160" s="52" t="str">
        <f>IFERROR(__xludf.DUMMYFUNCTION("""COMPUTED_VALUE"""),"https://www.pg-publishing.com/")</f>
        <v>https://www.pg-publishing.com/</v>
      </c>
      <c r="D160" s="40" t="str">
        <f>IFERROR(__xludf.DUMMYFUNCTION("""COMPUTED_VALUE"""),"-")</f>
        <v>-</v>
      </c>
      <c r="E160" s="55" t="str">
        <f>IFERROR(__xludf.DUMMYFUNCTION("""COMPUTED_VALUE"""),"https://docs.google.com/forms/d/e/1FAIpQLSfptLb2VsdkmVH1T1eq_kTgzs2uFUtAIp3zRo5caQzcy4CYfQ/viewform")</f>
        <v>https://docs.google.com/forms/d/e/1FAIpQLSfptLb2VsdkmVH1T1eq_kTgzs2uFUtAIp3zRo5caQzcy4CYfQ/viewform</v>
      </c>
      <c r="F160" s="56" t="str">
        <f>IFERROR(__xludf.DUMMYFUNCTION("""COMPUTED_VALUE"""),"contact@pg-publishing.com")</f>
        <v>contact@pg-publishing.com</v>
      </c>
      <c r="G160" s="59" t="str">
        <f>IFERROR(__xludf.DUMMYFUNCTION("""COMPUTED_VALUE"""),"https://store.steampowered.com/search/?developer=Perfect%20Gen")</f>
        <v>https://store.steampowered.com/search/?developer=Perfect%20Gen</v>
      </c>
      <c r="H160" s="61" t="str">
        <f>IFERROR(__xludf.DUMMYFUNCTION("""COMPUTED_VALUE"""),"https://gamalytic.com/publisher/Perfect%20Gen")</f>
        <v>https://gamalytic.com/publisher/Perfect%20Gen</v>
      </c>
      <c r="I160" s="62" t="str">
        <f>IFERROR(__xludf.DUMMYFUNCTION("""COMPUTED_VALUE"""),"-")</f>
        <v>-</v>
      </c>
      <c r="J160" s="63">
        <f>IFERROR(__xludf.DUMMYFUNCTION("""COMPUTED_VALUE"""),1.0)</f>
        <v>1</v>
      </c>
      <c r="K160" s="64" t="str">
        <f>IFERROR(__xludf.DUMMYFUNCTION("""COMPUTED_VALUE"""),"Apr 2026")</f>
        <v>Apr 2026</v>
      </c>
      <c r="L160" s="64" t="str">
        <f>IFERROR(__xludf.DUMMYFUNCTION("""COMPUTED_VALUE"""),"Apr 2026")</f>
        <v>Apr 2026</v>
      </c>
      <c r="M160" s="65">
        <f>IFERROR(__xludf.DUMMYFUNCTION("""COMPUTED_VALUE"""),4768.0)</f>
        <v>4768</v>
      </c>
      <c r="N160" s="65">
        <f>IFERROR(__xludf.DUMMYFUNCTION("""COMPUTED_VALUE"""),4768.0)</f>
        <v>4768</v>
      </c>
      <c r="O160" s="65">
        <f>IFERROR(__xludf.DUMMYFUNCTION("""COMPUTED_VALUE"""),4768.0)</f>
        <v>4768</v>
      </c>
      <c r="P160" s="66" t="str">
        <f>IFERROR(__xludf.DUMMYFUNCTION("""COMPUTED_VALUE"""),"Hobbyist")</f>
        <v>Hobbyist</v>
      </c>
      <c r="Q160" s="64" t="str">
        <f>IFERROR(__xludf.DUMMYFUNCTION("""COMPUTED_VALUE"""),"$")</f>
        <v>$</v>
      </c>
      <c r="R160" s="68" t="str">
        <f>IFERROR(__xludf.DUMMYFUNCTION("""COMPUTED_VALUE"""),"?")</f>
        <v>?</v>
      </c>
      <c r="S160" s="25" t="str">
        <f>IFERROR(__xludf.DUMMYFUNCTION("""COMPUTED_VALUE"""),"Co-op, Cooking, Management, Party Game, Arcade, Farming Sim, Life Sim, PvP")</f>
        <v>Co-op, Cooking, Management, Party Game, Arcade, Farming Sim, Life Sim, PvP</v>
      </c>
      <c r="T160" s="40" t="str">
        <f>IFERROR(__xludf.DUMMYFUNCTION("""COMPUTED_VALUE"""),"Kitchen Wars")</f>
        <v>Kitchen Wars</v>
      </c>
      <c r="U160" s="69" t="str">
        <f>IFERROR(__xludf.DUMMYFUNCTION("""COMPUTED_VALUE"""),"A newly founded indie Publisher for Steam games with possibility to port on Switch")</f>
        <v>A newly founded indie Publisher for Steam games with possibility to port on Switch</v>
      </c>
    </row>
    <row r="161">
      <c r="A161" s="49" t="str">
        <f>IFERROR(__xludf.DUMMYFUNCTION("""COMPUTED_VALUE"""),"Tiny Dragon Games")</f>
        <v>Tiny Dragon Games</v>
      </c>
      <c r="B161" s="40" t="str">
        <f>IFERROR(__xludf.DUMMYFUNCTION("""COMPUTED_VALUE"""),"UK")</f>
        <v>UK</v>
      </c>
      <c r="C161" s="52" t="str">
        <f>IFERROR(__xludf.DUMMYFUNCTION("""COMPUTED_VALUE"""),"https://www.tinydragongames.com/")</f>
        <v>https://www.tinydragongames.com/</v>
      </c>
      <c r="D161" s="40" t="str">
        <f>IFERROR(__xludf.DUMMYFUNCTION("""COMPUTED_VALUE"""),"-")</f>
        <v>-</v>
      </c>
      <c r="E161" s="55" t="str">
        <f>IFERROR(__xludf.DUMMYFUNCTION("""COMPUTED_VALUE"""),"https://www.tinydragongames.com/services")</f>
        <v>https://www.tinydragongames.com/services</v>
      </c>
      <c r="F161" s="56" t="str">
        <f>IFERROR(__xludf.DUMMYFUNCTION("""COMPUTED_VALUE"""),"Sean Phillips")</f>
        <v>Sean Phillips</v>
      </c>
      <c r="G161" s="59" t="str">
        <f>IFERROR(__xludf.DUMMYFUNCTION("""COMPUTED_VALUE"""),"https://store.steampowered.com/publisher/tinydragon")</f>
        <v>https://store.steampowered.com/publisher/tinydragon</v>
      </c>
      <c r="H161" s="61" t="str">
        <f>IFERROR(__xludf.DUMMYFUNCTION("""COMPUTED_VALUE"""),"https://gamalytic.com/publisher/Tiny%20Dragon")</f>
        <v>https://gamalytic.com/publisher/Tiny%20Dragon</v>
      </c>
      <c r="I161" s="62">
        <f>IFERROR(__xludf.DUMMYFUNCTION("""COMPUTED_VALUE"""),27.0)</f>
        <v>27</v>
      </c>
      <c r="J161" s="63">
        <f>IFERROR(__xludf.DUMMYFUNCTION("""COMPUTED_VALUE"""),4.0)</f>
        <v>4</v>
      </c>
      <c r="K161" s="64" t="str">
        <f>IFERROR(__xludf.DUMMYFUNCTION("""COMPUTED_VALUE"""),"Apr 2025")</f>
        <v>Apr 2025</v>
      </c>
      <c r="L161" s="64" t="str">
        <f>IFERROR(__xludf.DUMMYFUNCTION("""COMPUTED_VALUE"""),"Aug 2026")</f>
        <v>Aug 2026</v>
      </c>
      <c r="M161" s="65">
        <f>IFERROR(__xludf.DUMMYFUNCTION("""COMPUTED_VALUE"""),27414.0)</f>
        <v>27414</v>
      </c>
      <c r="N161" s="65">
        <f>IFERROR(__xludf.DUMMYFUNCTION("""COMPUTED_VALUE"""),6853.5)</f>
        <v>6853.5</v>
      </c>
      <c r="O161" s="65">
        <f>IFERROR(__xludf.DUMMYFUNCTION("""COMPUTED_VALUE"""),4424.5)</f>
        <v>4424.5</v>
      </c>
      <c r="P161" s="66" t="str">
        <f>IFERROR(__xludf.DUMMYFUNCTION("""COMPUTED_VALUE"""),"Indie")</f>
        <v>Indie</v>
      </c>
      <c r="Q161" s="64" t="str">
        <f>IFERROR(__xludf.DUMMYFUNCTION("""COMPUTED_VALUE"""),"$")</f>
        <v>$</v>
      </c>
      <c r="R161" s="68" t="str">
        <f>IFERROR(__xludf.DUMMYFUNCTION("""COMPUTED_VALUE"""),"?")</f>
        <v>?</v>
      </c>
      <c r="S161" s="25" t="str">
        <f>IFERROR(__xludf.DUMMYFUNCTION("""COMPUTED_VALUE"""),"Golf, PvP, Flight, Bullet Hell, Open World, Turn-Based Strategy, Deckbuilding")</f>
        <v>Golf, PvP, Flight, Bullet Hell, Open World, Turn-Based Strategy, Deckbuilding</v>
      </c>
      <c r="T161" s="40"/>
      <c r="U161" s="69" t="str">
        <f>IFERROR(__xludf.DUMMYFUNCTION("""COMPUTED_VALUE"""),"They offer revenue share structure, no funds for development")</f>
        <v>They offer revenue share structure, no funds for development</v>
      </c>
    </row>
    <row r="162">
      <c r="A162" s="49" t="str">
        <f>IFERROR(__xludf.DUMMYFUNCTION("""COMPUTED_VALUE"""),"Bonus Stage Publishing")</f>
        <v>Bonus Stage Publishing</v>
      </c>
      <c r="B162" s="40" t="str">
        <f>IFERROR(__xludf.DUMMYFUNCTION("""COMPUTED_VALUE"""),"Finland")</f>
        <v>Finland</v>
      </c>
      <c r="C162" s="52" t="str">
        <f>IFERROR(__xludf.DUMMYFUNCTION("""COMPUTED_VALUE"""),"https://www.bonusstage.co/")</f>
        <v>https://www.bonusstage.co/</v>
      </c>
      <c r="D162" s="40" t="str">
        <f>IFERROR(__xludf.DUMMYFUNCTION("""COMPUTED_VALUE"""),"-")</f>
        <v>-</v>
      </c>
      <c r="E162" s="55" t="str">
        <f>IFERROR(__xludf.DUMMYFUNCTION("""COMPUTED_VALUE"""),"https://www.bonusstage.co/developers")</f>
        <v>https://www.bonusstage.co/developers</v>
      </c>
      <c r="F162" s="56" t="str">
        <f>IFERROR(__xludf.DUMMYFUNCTION("""COMPUTED_VALUE"""),"?")</f>
        <v>?</v>
      </c>
      <c r="G162" s="59" t="str">
        <f>IFERROR(__xludf.DUMMYFUNCTION("""COMPUTED_VALUE"""),"https://store.steampowered.com/publisher/bonusstage")</f>
        <v>https://store.steampowered.com/publisher/bonusstage</v>
      </c>
      <c r="H162" s="61" t="str">
        <f>IFERROR(__xludf.DUMMYFUNCTION("""COMPUTED_VALUE"""),"https://gamalytic.com/publisher/Bonus%20Stage%20Publishing")</f>
        <v>https://gamalytic.com/publisher/Bonus%20Stage%20Publishing</v>
      </c>
      <c r="I162" s="62">
        <f>IFERROR(__xludf.DUMMYFUNCTION("""COMPUTED_VALUE"""),775.0)</f>
        <v>775</v>
      </c>
      <c r="J162" s="63">
        <f>IFERROR(__xludf.DUMMYFUNCTION("""COMPUTED_VALUE"""),23.0)</f>
        <v>23</v>
      </c>
      <c r="K162" s="64" t="str">
        <f>IFERROR(__xludf.DUMMYFUNCTION("""COMPUTED_VALUE"""),"Jun 2020")</f>
        <v>Jun 2020</v>
      </c>
      <c r="L162" s="64" t="str">
        <f>IFERROR(__xludf.DUMMYFUNCTION("""COMPUTED_VALUE"""),"Sep 2026")</f>
        <v>Sep 2026</v>
      </c>
      <c r="M162" s="65">
        <f>IFERROR(__xludf.DUMMYFUNCTION("""COMPUTED_VALUE"""),4763301.0)</f>
        <v>4763301</v>
      </c>
      <c r="N162" s="65">
        <f>IFERROR(__xludf.DUMMYFUNCTION("""COMPUTED_VALUE"""),207100.04347826)</f>
        <v>207100.0435</v>
      </c>
      <c r="O162" s="65">
        <f>IFERROR(__xludf.DUMMYFUNCTION("""COMPUTED_VALUE"""),4099.0)</f>
        <v>4099</v>
      </c>
      <c r="P162" s="66" t="str">
        <f>IFERROR(__xludf.DUMMYFUNCTION("""COMPUTED_VALUE"""),"Indie")</f>
        <v>Indie</v>
      </c>
      <c r="Q162" s="64" t="str">
        <f>IFERROR(__xludf.DUMMYFUNCTION("""COMPUTED_VALUE"""),"$")</f>
        <v>$</v>
      </c>
      <c r="R162" s="68" t="str">
        <f>IFERROR(__xludf.DUMMYFUNCTION("""COMPUTED_VALUE"""),"★★★")</f>
        <v>★★★</v>
      </c>
      <c r="S162" s="25" t="str">
        <f>IFERROR(__xludf.DUMMYFUNCTION("""COMPUTED_VALUE"""),"Motorbike, Driving, Sandbox, Hack and Slash, Fighting, 2D Platformer, Golf")</f>
        <v>Motorbike, Driving, Sandbox, Hack and Slash, Fighting, 2D Platformer, Golf</v>
      </c>
      <c r="T162" s="40" t="str">
        <f>IFERROR(__xludf.DUMMYFUNCTION("""COMPUTED_VALUE"""),"Sledders, Sunblaze, Dreams in the Witch House")</f>
        <v>Sledders, Sunblaze, Dreams in the Witch House</v>
      </c>
      <c r="U162" s="69" t="str">
        <f>IFERROR(__xludf.DUMMYFUNCTION("""COMPUTED_VALUE"""),"All genres. Budget less than $250k. 30/70% revenue share deal if no development funding. Also porting for consoles. ")</f>
        <v>All genres. Budget less than $250k. 30/70% revenue share deal if no development funding. Also porting for consoles. </v>
      </c>
    </row>
    <row r="163">
      <c r="A163" s="49" t="str">
        <f>IFERROR(__xludf.DUMMYFUNCTION("""COMPUTED_VALUE"""),"Practical Media")</f>
        <v>Practical Media</v>
      </c>
      <c r="B163" s="40" t="str">
        <f>IFERROR(__xludf.DUMMYFUNCTION("""COMPUTED_VALUE"""),"USA")</f>
        <v>USA</v>
      </c>
      <c r="C163" s="52" t="str">
        <f>IFERROR(__xludf.DUMMYFUNCTION("""COMPUTED_VALUE"""),"https://practicalmedia.com")</f>
        <v>https://practicalmedia.com</v>
      </c>
      <c r="D163" s="40" t="str">
        <f>IFERROR(__xludf.DUMMYFUNCTION("""COMPUTED_VALUE"""),"-")</f>
        <v>-</v>
      </c>
      <c r="E163" s="55" t="str">
        <f>IFERROR(__xludf.DUMMYFUNCTION("""COMPUTED_VALUE"""),"https://practicalmedia.com/contact")</f>
        <v>https://practicalmedia.com/contact</v>
      </c>
      <c r="F163" s="56" t="str">
        <f>IFERROR(__xludf.DUMMYFUNCTION("""COMPUTED_VALUE"""),"Joseph Ng")</f>
        <v>Joseph Ng</v>
      </c>
      <c r="G163" s="59" t="str">
        <f>IFERROR(__xludf.DUMMYFUNCTION("""COMPUTED_VALUE"""),"https://store.steampowered.com/publisher/practicalmedia")</f>
        <v>https://store.steampowered.com/publisher/practicalmedia</v>
      </c>
      <c r="H163" s="61" t="str">
        <f>IFERROR(__xludf.DUMMYFUNCTION("""COMPUTED_VALUE"""),"https://gamalytic.com/publisher/Practical%20Media")</f>
        <v>https://gamalytic.com/publisher/Practical%20Media</v>
      </c>
      <c r="I163" s="62">
        <f>IFERROR(__xludf.DUMMYFUNCTION("""COMPUTED_VALUE"""),7.0)</f>
        <v>7</v>
      </c>
      <c r="J163" s="63">
        <f>IFERROR(__xludf.DUMMYFUNCTION("""COMPUTED_VALUE"""),1.0)</f>
        <v>1</v>
      </c>
      <c r="K163" s="64" t="str">
        <f>IFERROR(__xludf.DUMMYFUNCTION("""COMPUTED_VALUE"""),"Jul 2025")</f>
        <v>Jul 2025</v>
      </c>
      <c r="L163" s="64" t="str">
        <f>IFERROR(__xludf.DUMMYFUNCTION("""COMPUTED_VALUE"""),"Jul 2025")</f>
        <v>Jul 2025</v>
      </c>
      <c r="M163" s="65">
        <f>IFERROR(__xludf.DUMMYFUNCTION("""COMPUTED_VALUE"""),3704.0)</f>
        <v>3704</v>
      </c>
      <c r="N163" s="65">
        <f>IFERROR(__xludf.DUMMYFUNCTION("""COMPUTED_VALUE"""),3704.0)</f>
        <v>3704</v>
      </c>
      <c r="O163" s="65">
        <f>IFERROR(__xludf.DUMMYFUNCTION("""COMPUTED_VALUE"""),3704.0)</f>
        <v>3704</v>
      </c>
      <c r="P163" s="66" t="str">
        <f>IFERROR(__xludf.DUMMYFUNCTION("""COMPUTED_VALUE"""),"Hobbyist")</f>
        <v>Hobbyist</v>
      </c>
      <c r="Q163" s="64" t="str">
        <f>IFERROR(__xludf.DUMMYFUNCTION("""COMPUTED_VALUE"""),"$")</f>
        <v>$</v>
      </c>
      <c r="R163" s="68" t="str">
        <f>IFERROR(__xludf.DUMMYFUNCTION("""COMPUTED_VALUE"""),"?")</f>
        <v>?</v>
      </c>
      <c r="S163" s="25" t="str">
        <f>IFERROR(__xludf.DUMMYFUNCTION("""COMPUTED_VALUE"""),"Precision Platformer, 2D Platformer, Puzzle Platformer, Puzzle, Competitive, Platformer, Arcade")</f>
        <v>Precision Platformer, 2D Platformer, Puzzle Platformer, Puzzle, Competitive, Platformer, Arcade</v>
      </c>
      <c r="T163" s="40" t="str">
        <f>IFERROR(__xludf.DUMMYFUNCTION("""COMPUTED_VALUE"""),"-")</f>
        <v>-</v>
      </c>
      <c r="U163" s="69" t="str">
        <f>IFERROR(__xludf.DUMMYFUNCTION("""COMPUTED_VALUE"""),"Publishing with honor. New publisher for true indie games, accepting unannounced, announced and even released games.")</f>
        <v>Publishing with honor. New publisher for true indie games, accepting unannounced, announced and even released games.</v>
      </c>
    </row>
    <row r="164">
      <c r="A164" s="49" t="str">
        <f>IFERROR(__xludf.DUMMYFUNCTION("""COMPUTED_VALUE"""),"Dark Product")</f>
        <v>Dark Product</v>
      </c>
      <c r="B164" s="40" t="str">
        <f>IFERROR(__xludf.DUMMYFUNCTION("""COMPUTED_VALUE"""),"Korea")</f>
        <v>Korea</v>
      </c>
      <c r="C164" s="52" t="str">
        <f>IFERROR(__xludf.DUMMYFUNCTION("""COMPUTED_VALUE"""),"https://www.darkproduct.com/")</f>
        <v>https://www.darkproduct.com/</v>
      </c>
      <c r="D164" s="40"/>
      <c r="E164" s="40" t="str">
        <f>IFERROR(__xludf.DUMMYFUNCTION("""COMPUTED_VALUE"""),"office@darkproduct.com ")</f>
        <v>office@darkproduct.com </v>
      </c>
      <c r="F164" s="56" t="str">
        <f>IFERROR(__xludf.DUMMYFUNCTION("""COMPUTED_VALUE"""),"Scott Millard")</f>
        <v>Scott Millard</v>
      </c>
      <c r="G164" s="247" t="str">
        <f>IFERROR(__xludf.DUMMYFUNCTION("""COMPUTED_VALUE"""),"Console Publisher")</f>
        <v>Console Publisher</v>
      </c>
      <c r="H164" s="61" t="str">
        <f>IFERROR(__xludf.DUMMYFUNCTION("""COMPUTED_VALUE"""),"Console Publisher")</f>
        <v>Console Publisher</v>
      </c>
      <c r="I164" s="62"/>
      <c r="J164" s="63">
        <f>IFERROR(__xludf.DUMMYFUNCTION("""COMPUTED_VALUE"""),5.0)</f>
        <v>5</v>
      </c>
      <c r="K164" s="64" t="str">
        <f>IFERROR(__xludf.DUMMYFUNCTION("""COMPUTED_VALUE"""),"Sep 2024")</f>
        <v>Sep 2024</v>
      </c>
      <c r="L164" s="64" t="str">
        <f>IFERROR(__xludf.DUMMYFUNCTION("""COMPUTED_VALUE"""),"Aug 2026")</f>
        <v>Aug 2026</v>
      </c>
      <c r="M164" s="65">
        <f>IFERROR(__xludf.DUMMYFUNCTION("""COMPUTED_VALUE"""),298440.0)</f>
        <v>298440</v>
      </c>
      <c r="N164" s="65">
        <f>IFERROR(__xludf.DUMMYFUNCTION("""COMPUTED_VALUE"""),59688.0)</f>
        <v>59688</v>
      </c>
      <c r="O164" s="65">
        <f>IFERROR(__xludf.DUMMYFUNCTION("""COMPUTED_VALUE"""),3117.0)</f>
        <v>3117</v>
      </c>
      <c r="P164" s="66" t="str">
        <f>IFERROR(__xludf.DUMMYFUNCTION("""COMPUTED_VALUE"""),"Indie")</f>
        <v>Indie</v>
      </c>
      <c r="Q164" s="64" t="str">
        <f>IFERROR(__xludf.DUMMYFUNCTION("""COMPUTED_VALUE"""),"$")</f>
        <v>$</v>
      </c>
      <c r="R164" s="68" t="str">
        <f>IFERROR(__xludf.DUMMYFUNCTION("""COMPUTED_VALUE"""),"?")</f>
        <v>?</v>
      </c>
      <c r="S164" s="25"/>
      <c r="T164" s="40" t="str">
        <f>IFERROR(__xludf.DUMMYFUNCTION("""COMPUTED_VALUE"""),"Ratshaker, The Axis Unseen, Loan Shark ")</f>
        <v>Ratshaker, The Axis Unseen, Loan Shark </v>
      </c>
      <c r="U164" s="69" t="str">
        <f>IFERROR(__xludf.DUMMYFUNCTION("""COMPUTED_VALUE"""),"A publisher focused on Dark experiences that can translate to console founded by Scott Millard, formerly Namco Bandai, Atari, Feardemic ")</f>
        <v>A publisher focused on Dark experiences that can translate to console founded by Scott Millard, formerly Namco Bandai, Atari, Feardemic </v>
      </c>
    </row>
    <row r="165">
      <c r="A165" s="49" t="str">
        <f>IFERROR(__xludf.DUMMYFUNCTION("""COMPUTED_VALUE"""),"QUByte Interactive")</f>
        <v>QUByte Interactive</v>
      </c>
      <c r="B165" s="40" t="str">
        <f>IFERROR(__xludf.DUMMYFUNCTION("""COMPUTED_VALUE"""),"Brazil")</f>
        <v>Brazil</v>
      </c>
      <c r="C165" s="52" t="str">
        <f>IFERROR(__xludf.DUMMYFUNCTION("""COMPUTED_VALUE"""),"https://www.qubyteinteractive.com/site/")</f>
        <v>https://www.qubyteinteractive.com/site/</v>
      </c>
      <c r="D165" s="40"/>
      <c r="E165" s="40"/>
      <c r="F165" s="56" t="str">
        <f>IFERROR(__xludf.DUMMYFUNCTION("""COMPUTED_VALUE"""),"?")</f>
        <v>?</v>
      </c>
      <c r="G165" s="59" t="str">
        <f>IFERROR(__xludf.DUMMYFUNCTION("""COMPUTED_VALUE"""),"https://store.steampowered.com/publisher/qubyte")</f>
        <v>https://store.steampowered.com/publisher/qubyte</v>
      </c>
      <c r="H165" s="61" t="str">
        <f>IFERROR(__xludf.DUMMYFUNCTION("""COMPUTED_VALUE"""),"https://gamalytic.com/publisher/QUByte%20Interactive")</f>
        <v>https://gamalytic.com/publisher/QUByte%20Interactive</v>
      </c>
      <c r="I165" s="62" t="str">
        <f>IFERROR(__xludf.DUMMYFUNCTION("""COMPUTED_VALUE"""),"2K")</f>
        <v>2K</v>
      </c>
      <c r="J165" s="63">
        <f>IFERROR(__xludf.DUMMYFUNCTION("""COMPUTED_VALUE"""),43.0)</f>
        <v>43</v>
      </c>
      <c r="K165" s="64" t="str">
        <f>IFERROR(__xludf.DUMMYFUNCTION("""COMPUTED_VALUE"""),"Dec 2016")</f>
        <v>Dec 2016</v>
      </c>
      <c r="L165" s="64" t="str">
        <f>IFERROR(__xludf.DUMMYFUNCTION("""COMPUTED_VALUE"""),"Oct 2026")</f>
        <v>Oct 2026</v>
      </c>
      <c r="M165" s="65">
        <f>IFERROR(__xludf.DUMMYFUNCTION("""COMPUTED_VALUE"""),751386.0)</f>
        <v>751386</v>
      </c>
      <c r="N165" s="65">
        <f>IFERROR(__xludf.DUMMYFUNCTION("""COMPUTED_VALUE"""),17474.0930232558)</f>
        <v>17474.09302</v>
      </c>
      <c r="O165" s="65">
        <f>IFERROR(__xludf.DUMMYFUNCTION("""COMPUTED_VALUE"""),3111.0)</f>
        <v>3111</v>
      </c>
      <c r="P165" s="66" t="str">
        <f>IFERROR(__xludf.DUMMYFUNCTION("""COMPUTED_VALUE"""),"Indie")</f>
        <v>Indie</v>
      </c>
      <c r="Q165" s="64" t="str">
        <f>IFERROR(__xludf.DUMMYFUNCTION("""COMPUTED_VALUE"""),"$")</f>
        <v>$</v>
      </c>
      <c r="R165" s="68" t="str">
        <f>IFERROR(__xludf.DUMMYFUNCTION("""COMPUTED_VALUE"""),"?")</f>
        <v>?</v>
      </c>
      <c r="S165" s="25" t="str">
        <f>IFERROR(__xludf.DUMMYFUNCTION("""COMPUTED_VALUE"""),"Arcade, Beat 'em up, Fighting, Team-Based, PvP, Platformer, Hack and Slash, Creature Collector")</f>
        <v>Arcade, Beat 'em up, Fighting, Team-Based, PvP, Platformer, Hack and Slash, Creature Collector</v>
      </c>
      <c r="T165" s="40"/>
      <c r="U165" s="69" t="str">
        <f>IFERROR(__xludf.DUMMYFUNCTION("""COMPUTED_VALUE"""),"Focused on Latin American games and bringing classics to the new generation")</f>
        <v>Focused on Latin American games and bringing classics to the new generation</v>
      </c>
    </row>
    <row r="166">
      <c r="A166" s="49" t="str">
        <f>IFERROR(__xludf.DUMMYFUNCTION("""COMPUTED_VALUE"""),"JanduSoft")</f>
        <v>JanduSoft</v>
      </c>
      <c r="B166" s="40" t="str">
        <f>IFERROR(__xludf.DUMMYFUNCTION("""COMPUTED_VALUE"""),"Spain")</f>
        <v>Spain</v>
      </c>
      <c r="C166" s="52" t="str">
        <f>IFERROR(__xludf.DUMMYFUNCTION("""COMPUTED_VALUE"""),"https://www.jandusoft.com")</f>
        <v>https://www.jandusoft.com</v>
      </c>
      <c r="D166" s="40" t="str">
        <f>IFERROR(__xludf.DUMMYFUNCTION("""COMPUTED_VALUE"""),"-")</f>
        <v>-</v>
      </c>
      <c r="E166" s="55" t="str">
        <f>IFERROR(__xludf.DUMMYFUNCTION("""COMPUTED_VALUE"""),"https://www.jandusoft.com/pitchusyourgame/")</f>
        <v>https://www.jandusoft.com/pitchusyourgame/</v>
      </c>
      <c r="F166" s="56" t="str">
        <f>IFERROR(__xludf.DUMMYFUNCTION("""COMPUTED_VALUE"""),"Jose A. Andujar")</f>
        <v>Jose A. Andujar</v>
      </c>
      <c r="G166" s="59" t="str">
        <f>IFERROR(__xludf.DUMMYFUNCTION("""COMPUTED_VALUE"""),"https://store.steampowered.com/publisher/jandusoft")</f>
        <v>https://store.steampowered.com/publisher/jandusoft</v>
      </c>
      <c r="H166" s="61" t="str">
        <f>IFERROR(__xludf.DUMMYFUNCTION("""COMPUTED_VALUE"""),"https://gamalytic.com/publisher/JanduSoft")</f>
        <v>https://gamalytic.com/publisher/JanduSoft</v>
      </c>
      <c r="I166" s="62" t="str">
        <f>IFERROR(__xludf.DUMMYFUNCTION("""COMPUTED_VALUE"""),"2K")</f>
        <v>2K</v>
      </c>
      <c r="J166" s="63">
        <f>IFERROR(__xludf.DUMMYFUNCTION("""COMPUTED_VALUE"""),64.0)</f>
        <v>64</v>
      </c>
      <c r="K166" s="64" t="str">
        <f>IFERROR(__xludf.DUMMYFUNCTION("""COMPUTED_VALUE"""),"Sep 2017")</f>
        <v>Sep 2017</v>
      </c>
      <c r="L166" s="64" t="str">
        <f>IFERROR(__xludf.DUMMYFUNCTION("""COMPUTED_VALUE"""),"Aug 2026")</f>
        <v>Aug 2026</v>
      </c>
      <c r="M166" s="65">
        <f>IFERROR(__xludf.DUMMYFUNCTION("""COMPUTED_VALUE"""),1015290.0)</f>
        <v>1015290</v>
      </c>
      <c r="N166" s="65">
        <f>IFERROR(__xludf.DUMMYFUNCTION("""COMPUTED_VALUE"""),15863.90625)</f>
        <v>15863.90625</v>
      </c>
      <c r="O166" s="65">
        <f>IFERROR(__xludf.DUMMYFUNCTION("""COMPUTED_VALUE"""),1883.5)</f>
        <v>1883.5</v>
      </c>
      <c r="P166" s="66" t="str">
        <f>IFERROR(__xludf.DUMMYFUNCTION("""COMPUTED_VALUE"""),"Indie")</f>
        <v>Indie</v>
      </c>
      <c r="Q166" s="64" t="str">
        <f>IFERROR(__xludf.DUMMYFUNCTION("""COMPUTED_VALUE"""),"$")</f>
        <v>$</v>
      </c>
      <c r="R166" s="68" t="str">
        <f>IFERROR(__xludf.DUMMYFUNCTION("""COMPUTED_VALUE"""),"?")</f>
        <v>?</v>
      </c>
      <c r="S166" s="25" t="str">
        <f>IFERROR(__xludf.DUMMYFUNCTION("""COMPUTED_VALUE"""),"Platformer, Horror, Psychological Horror, 2D Platformer, Farming Sim, Souls-like, Arcade, Crafting, Puzzle")</f>
        <v>Platformer, Horror, Psychological Horror, 2D Platformer, Farming Sim, Souls-like, Arcade, Crafting, Puzzle</v>
      </c>
      <c r="T166" s="40" t="str">
        <f>IFERROR(__xludf.DUMMYFUNCTION("""COMPUTED_VALUE"""),"The Last Case of John Morley Abathor, Farlands, Evil Inside, Aureole - Wings of hope")</f>
        <v>The Last Case of John Morley Abathor, Farlands, Evil Inside, Aureole - Wings of hope</v>
      </c>
      <c r="U166" s="69" t="str">
        <f>IFERROR(__xludf.DUMMYFUNCTION("""COMPUTED_VALUE"""),"Publisher for all platforms. Steam / PS4 / PS5 / NS / XB / XBSX and all regions (EU/NA/JP/Asia) (excluding China)")</f>
        <v>Publisher for all platforms. Steam / PS4 / PS5 / NS / XB / XBSX and all regions (EU/NA/JP/Asia) (excluding China)</v>
      </c>
    </row>
    <row r="167">
      <c r="A167" s="49" t="str">
        <f>IFERROR(__xludf.DUMMYFUNCTION("""COMPUTED_VALUE"""),"No Gravity")</f>
        <v>No Gravity</v>
      </c>
      <c r="B167" s="40" t="str">
        <f>IFERROR(__xludf.DUMMYFUNCTION("""COMPUTED_VALUE"""),"Poland")</f>
        <v>Poland</v>
      </c>
      <c r="C167" s="52" t="str">
        <f>IFERROR(__xludf.DUMMYFUNCTION("""COMPUTED_VALUE"""),"www.nogravitygames.com")</f>
        <v>www.nogravitygames.com</v>
      </c>
      <c r="D167" s="40" t="str">
        <f>IFERROR(__xludf.DUMMYFUNCTION("""COMPUTED_VALUE"""),"-")</f>
        <v>-</v>
      </c>
      <c r="E167" s="40" t="str">
        <f>IFERROR(__xludf.DUMMYFUNCTION("""COMPUTED_VALUE"""),"submit@nogravitygames.com")</f>
        <v>submit@nogravitygames.com</v>
      </c>
      <c r="F167" s="56" t="str">
        <f>IFERROR(__xludf.DUMMYFUNCTION("""COMPUTED_VALUE"""),"https://www.linkedin.com/in/aleksierzega/")</f>
        <v>https://www.linkedin.com/in/aleksierzega/</v>
      </c>
      <c r="G167" s="59" t="str">
        <f>IFERROR(__xludf.DUMMYFUNCTION("""COMPUTED_VALUE"""),"https://store.steampowered.com/publisher/nogravitygames")</f>
        <v>https://store.steampowered.com/publisher/nogravitygames</v>
      </c>
      <c r="H167" s="61" t="str">
        <f>IFERROR(__xludf.DUMMYFUNCTION("""COMPUTED_VALUE"""),"https://gamalytic.com/publisher/No%20Gravity%20Games")</f>
        <v>https://gamalytic.com/publisher/No%20Gravity%20Games</v>
      </c>
      <c r="I167" s="62">
        <f>IFERROR(__xludf.DUMMYFUNCTION("""COMPUTED_VALUE"""),660.0)</f>
        <v>660</v>
      </c>
      <c r="J167" s="63">
        <f>IFERROR(__xludf.DUMMYFUNCTION("""COMPUTED_VALUE"""),16.0)</f>
        <v>16</v>
      </c>
      <c r="K167" s="64" t="str">
        <f>IFERROR(__xludf.DUMMYFUNCTION("""COMPUTED_VALUE"""),"May 2017")</f>
        <v>May 2017</v>
      </c>
      <c r="L167" s="64" t="str">
        <f>IFERROR(__xludf.DUMMYFUNCTION("""COMPUTED_VALUE"""),"Sep 2026")</f>
        <v>Sep 2026</v>
      </c>
      <c r="M167" s="65">
        <f>IFERROR(__xludf.DUMMYFUNCTION("""COMPUTED_VALUE"""),217307.0)</f>
        <v>217307</v>
      </c>
      <c r="N167" s="65">
        <f>IFERROR(__xludf.DUMMYFUNCTION("""COMPUTED_VALUE"""),13581.6875)</f>
        <v>13581.6875</v>
      </c>
      <c r="O167" s="65">
        <f>IFERROR(__xludf.DUMMYFUNCTION("""COMPUTED_VALUE"""),1431.5)</f>
        <v>1431.5</v>
      </c>
      <c r="P167" s="66" t="str">
        <f>IFERROR(__xludf.DUMMYFUNCTION("""COMPUTED_VALUE"""),"Indie")</f>
        <v>Indie</v>
      </c>
      <c r="Q167" s="64" t="str">
        <f>IFERROR(__xludf.DUMMYFUNCTION("""COMPUTED_VALUE"""),"$")</f>
        <v>$</v>
      </c>
      <c r="R167" s="68" t="str">
        <f>IFERROR(__xludf.DUMMYFUNCTION("""COMPUTED_VALUE"""),"?")</f>
        <v>?</v>
      </c>
      <c r="S167" s="25" t="str">
        <f>IFERROR(__xludf.DUMMYFUNCTION("""COMPUTED_VALUE"""),"Horror, Turn-Based Tactics, Stealth, JRPG, Psychological Horror, Procedural Generation, Puzzle Platformer, 2D Platformer, Platformer")</f>
        <v>Horror, Turn-Based Tactics, Stealth, JRPG, Psychological Horror, Procedural Generation, Puzzle Platformer, 2D Platformer, Platformer</v>
      </c>
      <c r="T167" s="40" t="str">
        <f>IFERROR(__xludf.DUMMYFUNCTION("""COMPUTED_VALUE"""),"Alder's Blood, Chronicles of Nyanya, Apparition")</f>
        <v>Alder's Blood, Chronicles of Nyanya, Apparition</v>
      </c>
      <c r="U167" s="69" t="str">
        <f>IFERROR(__xludf.DUMMYFUNCTION("""COMPUTED_VALUE"""),"Publisher for all platforms, indie, focused on Nintendo Switch. Has serious communication problems; several developers didn’t receive their revenue share, ignores messages, and I recommend avoiding them, or ask signed developers for their feedback first.")</f>
        <v>Publisher for all platforms, indie, focused on Nintendo Switch. Has serious communication problems; several developers didn’t receive their revenue share, ignores messages, and I recommend avoiding them, or ask signed developers for their feedback first.</v>
      </c>
    </row>
    <row r="168">
      <c r="A168" s="49" t="str">
        <f>IFERROR(__xludf.DUMMYFUNCTION("""COMPUTED_VALUE"""),"Alchemy Games")</f>
        <v>Alchemy Games</v>
      </c>
      <c r="B168" s="40" t="str">
        <f>IFERROR(__xludf.DUMMYFUNCTION("""COMPUTED_VALUE"""),"Brazil")</f>
        <v>Brazil</v>
      </c>
      <c r="C168" s="52" t="str">
        <f>IFERROR(__xludf.DUMMYFUNCTION("""COMPUTED_VALUE"""),"https://www.alchemy.games/")</f>
        <v>https://www.alchemy.games/</v>
      </c>
      <c r="D168" s="55" t="str">
        <f>IFERROR(__xludf.DUMMYFUNCTION("""COMPUTED_VALUE"""),"For Developers | Alchemy Games")</f>
        <v>For Developers | Alchemy Games</v>
      </c>
      <c r="E168" s="40" t="str">
        <f>IFERROR(__xludf.DUMMYFUNCTION("""COMPUTED_VALUE"""),"sales@alchemy.games")</f>
        <v>sales@alchemy.games</v>
      </c>
      <c r="F168" s="56" t="str">
        <f>IFERROR(__xludf.DUMMYFUNCTION("""COMPUTED_VALUE"""),"Eduardo Menezes")</f>
        <v>Eduardo Menezes</v>
      </c>
      <c r="G168" s="247" t="str">
        <f>IFERROR(__xludf.DUMMYFUNCTION("""COMPUTED_VALUE"""),"Console Publisher")</f>
        <v>Console Publisher</v>
      </c>
      <c r="H168" s="61" t="str">
        <f>IFERROR(__xludf.DUMMYFUNCTION("""COMPUTED_VALUE"""),"Console Publisher")</f>
        <v>Console Publisher</v>
      </c>
      <c r="I168" s="62" t="str">
        <f>IFERROR(__xludf.DUMMYFUNCTION("""COMPUTED_VALUE"""),"-")</f>
        <v>-</v>
      </c>
      <c r="J168" s="63">
        <f>IFERROR(__xludf.DUMMYFUNCTION("""COMPUTED_VALUE"""),1.0)</f>
        <v>1</v>
      </c>
      <c r="K168" s="64" t="str">
        <f>IFERROR(__xludf.DUMMYFUNCTION("""COMPUTED_VALUE"""),"Jan 2019")</f>
        <v>Jan 2019</v>
      </c>
      <c r="L168" s="64" t="str">
        <f>IFERROR(__xludf.DUMMYFUNCTION("""COMPUTED_VALUE"""),"Jan 2019")</f>
        <v>Jan 2019</v>
      </c>
      <c r="M168" s="65">
        <f>IFERROR(__xludf.DUMMYFUNCTION("""COMPUTED_VALUE"""),448.0)</f>
        <v>448</v>
      </c>
      <c r="N168" s="65">
        <f>IFERROR(__xludf.DUMMYFUNCTION("""COMPUTED_VALUE"""),448.0)</f>
        <v>448</v>
      </c>
      <c r="O168" s="65">
        <f>IFERROR(__xludf.DUMMYFUNCTION("""COMPUTED_VALUE"""),448.0)</f>
        <v>448</v>
      </c>
      <c r="P168" s="66" t="str">
        <f>IFERROR(__xludf.DUMMYFUNCTION("""COMPUTED_VALUE"""),"Hobbyist")</f>
        <v>Hobbyist</v>
      </c>
      <c r="Q168" s="64" t="str">
        <f>IFERROR(__xludf.DUMMYFUNCTION("""COMPUTED_VALUE"""),"$")</f>
        <v>$</v>
      </c>
      <c r="R168" s="68" t="str">
        <f>IFERROR(__xludf.DUMMYFUNCTION("""COMPUTED_VALUE"""),"?")</f>
        <v>?</v>
      </c>
      <c r="S168" s="25"/>
      <c r="T168" s="40" t="str">
        <f>IFERROR(__xludf.DUMMYFUNCTION("""COMPUTED_VALUE"""),"Jay and Silent Bob: Chronic Blunt Punch; Mind Over Magnet, Cryptical Path, Hell is Other Demons ...")</f>
        <v>Jay and Silent Bob: Chronic Blunt Punch; Mind Over Magnet, Cryptical Path, Hell is Other Demons ...</v>
      </c>
      <c r="U168" s="69" t="str">
        <f>IFERROR(__xludf.DUMMYFUNCTION("""COMPUTED_VALUE"""),"Console publisher and porting experts. Founded by Indie industry veterans with +13 years of experience in the market.")</f>
        <v>Console publisher and porting experts. Founded by Indie industry veterans with +13 years of experience in the market.</v>
      </c>
    </row>
    <row r="169">
      <c r="A169" s="49" t="str">
        <f>IFERROR(__xludf.DUMMYFUNCTION("""COMPUTED_VALUE"""),"GIGATANK 3000")</f>
        <v>GIGATANK 3000</v>
      </c>
      <c r="B169" s="40" t="str">
        <f>IFERROR(__xludf.DUMMYFUNCTION("""COMPUTED_VALUE"""),"USA")</f>
        <v>USA</v>
      </c>
      <c r="C169" s="52" t="str">
        <f>IFERROR(__xludf.DUMMYFUNCTION("""COMPUTED_VALUE"""),"https://gigatank3000.com/")</f>
        <v>https://gigatank3000.com/</v>
      </c>
      <c r="D169" s="55" t="str">
        <f>IFERROR(__xludf.DUMMYFUNCTION("""COMPUTED_VALUE"""),"https://gigatank3000.com/publishing/")</f>
        <v>https://gigatank3000.com/publishing/</v>
      </c>
      <c r="E169" s="40" t="str">
        <f>IFERROR(__xludf.DUMMYFUNCTION("""COMPUTED_VALUE"""),"publish@gigatank3000.com")</f>
        <v>publish@gigatank3000.com</v>
      </c>
      <c r="F169" s="56" t="str">
        <f>IFERROR(__xludf.DUMMYFUNCTION("""COMPUTED_VALUE"""),"Antonio Delgado")</f>
        <v>Antonio Delgado</v>
      </c>
      <c r="G169" s="59" t="str">
        <f>IFERROR(__xludf.DUMMYFUNCTION("""COMPUTED_VALUE"""),"https://store.steampowered.com/publisher/GIGATANK3000")</f>
        <v>https://store.steampowered.com/publisher/GIGATANK3000</v>
      </c>
      <c r="H169" s="61" t="str">
        <f>IFERROR(__xludf.DUMMYFUNCTION("""COMPUTED_VALUE"""),"https://gamalytic.com/publisher/GIGATANK%203000")</f>
        <v>https://gamalytic.com/publisher/GIGATANK%203000</v>
      </c>
      <c r="I169" s="62">
        <f>IFERROR(__xludf.DUMMYFUNCTION("""COMPUTED_VALUE"""),364.0)</f>
        <v>364</v>
      </c>
      <c r="J169" s="63">
        <f>IFERROR(__xludf.DUMMYFUNCTION("""COMPUTED_VALUE"""),14.0)</f>
        <v>14</v>
      </c>
      <c r="K169" s="64" t="str">
        <f>IFERROR(__xludf.DUMMYFUNCTION("""COMPUTED_VALUE"""),"Apr 2023")</f>
        <v>Apr 2023</v>
      </c>
      <c r="L169" s="64" t="str">
        <f>IFERROR(__xludf.DUMMYFUNCTION("""COMPUTED_VALUE"""),"Aug 2026")</f>
        <v>Aug 2026</v>
      </c>
      <c r="M169" s="65">
        <f>IFERROR(__xludf.DUMMYFUNCTION("""COMPUTED_VALUE"""),1469586.0)</f>
        <v>1469586</v>
      </c>
      <c r="N169" s="65">
        <f>IFERROR(__xludf.DUMMYFUNCTION("""COMPUTED_VALUE"""),104970.428571428)</f>
        <v>104970.4286</v>
      </c>
      <c r="O169" s="65">
        <f>IFERROR(__xludf.DUMMYFUNCTION("""COMPUTED_VALUE"""),249.0)</f>
        <v>249</v>
      </c>
      <c r="P169" s="66" t="str">
        <f>IFERROR(__xludf.DUMMYFUNCTION("""COMPUTED_VALUE"""),"Indie")</f>
        <v>Indie</v>
      </c>
      <c r="Q169" s="64" t="str">
        <f>IFERROR(__xludf.DUMMYFUNCTION("""COMPUTED_VALUE"""),"$")</f>
        <v>$</v>
      </c>
      <c r="R169" s="68" t="str">
        <f>IFERROR(__xludf.DUMMYFUNCTION("""COMPUTED_VALUE"""),"?")</f>
        <v>?</v>
      </c>
      <c r="S169" s="25" t="str">
        <f>IFERROR(__xludf.DUMMYFUNCTION("""COMPUTED_VALUE"""),"Co-op, Automation, Idler, Auto Battler, Dungeon Crawler, Action Roguelike, Looter Shooter, Action RPG")</f>
        <v>Co-op, Automation, Idler, Auto Battler, Dungeon Crawler, Action Roguelike, Looter Shooter, Action RPG</v>
      </c>
      <c r="T169" s="40" t="str">
        <f>IFERROR(__xludf.DUMMYFUNCTION("""COMPUTED_VALUE"""),"Wyvia, Kaiju Catastrophe")</f>
        <v>Wyvia, Kaiju Catastrophe</v>
      </c>
      <c r="U169" s="69" t="str">
        <f>IFERROR(__xludf.DUMMYFUNCTION("""COMPUTED_VALUE"""),"New publisher. Focuses on indie games.")</f>
        <v>New publisher. Focuses on indie games.</v>
      </c>
    </row>
    <row r="170">
      <c r="A170" s="49" t="str">
        <f>IFERROR(__xludf.DUMMYFUNCTION("""COMPUTED_VALUE"""),"Static City Games")</f>
        <v>Static City Games</v>
      </c>
      <c r="B170" s="40" t="str">
        <f>IFERROR(__xludf.DUMMYFUNCTION("""COMPUTED_VALUE"""),"USA")</f>
        <v>USA</v>
      </c>
      <c r="C170" s="52" t="str">
        <f>IFERROR(__xludf.DUMMYFUNCTION("""COMPUTED_VALUE"""),"https://staticcitygames.com")</f>
        <v>https://staticcitygames.com</v>
      </c>
      <c r="D170" s="40" t="str">
        <f>IFERROR(__xludf.DUMMYFUNCTION("""COMPUTED_VALUE"""),"-")</f>
        <v>-</v>
      </c>
      <c r="E170" s="40" t="str">
        <f>IFERROR(__xludf.DUMMYFUNCTION("""COMPUTED_VALUE"""),"coffee@staticcitygames.com")</f>
        <v>coffee@staticcitygames.com</v>
      </c>
      <c r="F170" s="56" t="str">
        <f>IFERROR(__xludf.DUMMYFUNCTION("""COMPUTED_VALUE"""),"Josh Krassenstein")</f>
        <v>Josh Krassenstein</v>
      </c>
      <c r="G170" s="59" t="str">
        <f>IFERROR(__xludf.DUMMYFUNCTION("""COMPUTED_VALUE"""),"https://store.steampowered.com/dev/staticcitygames")</f>
        <v>https://store.steampowered.com/dev/staticcitygames</v>
      </c>
      <c r="H170" s="61" t="str">
        <f>IFERROR(__xludf.DUMMYFUNCTION("""COMPUTED_VALUE"""),"https://gamalytic.com/publisher/Static%20City%20Games")</f>
        <v>https://gamalytic.com/publisher/Static%20City%20Games</v>
      </c>
      <c r="I170" s="62">
        <f>IFERROR(__xludf.DUMMYFUNCTION("""COMPUTED_VALUE"""),46.0)</f>
        <v>46</v>
      </c>
      <c r="J170" s="63">
        <f>IFERROR(__xludf.DUMMYFUNCTION("""COMPUTED_VALUE"""),5.0)</f>
        <v>5</v>
      </c>
      <c r="K170" s="64" t="str">
        <f>IFERROR(__xludf.DUMMYFUNCTION("""COMPUTED_VALUE"""),"Sep 2017")</f>
        <v>Sep 2017</v>
      </c>
      <c r="L170" s="64" t="str">
        <f>IFERROR(__xludf.DUMMYFUNCTION("""COMPUTED_VALUE"""),"May 2025")</f>
        <v>May 2025</v>
      </c>
      <c r="M170" s="65">
        <f>IFERROR(__xludf.DUMMYFUNCTION("""COMPUTED_VALUE"""),19048.0)</f>
        <v>19048</v>
      </c>
      <c r="N170" s="65">
        <f>IFERROR(__xludf.DUMMYFUNCTION("""COMPUTED_VALUE"""),3809.6)</f>
        <v>3809.6</v>
      </c>
      <c r="O170" s="65">
        <f>IFERROR(__xludf.DUMMYFUNCTION("""COMPUTED_VALUE"""),188.0)</f>
        <v>188</v>
      </c>
      <c r="P170" s="66" t="str">
        <f>IFERROR(__xludf.DUMMYFUNCTION("""COMPUTED_VALUE"""),"Indie")</f>
        <v>Indie</v>
      </c>
      <c r="Q170" s="64" t="str">
        <f>IFERROR(__xludf.DUMMYFUNCTION("""COMPUTED_VALUE"""),"$")</f>
        <v>$</v>
      </c>
      <c r="R170" s="68" t="str">
        <f>IFERROR(__xludf.DUMMYFUNCTION("""COMPUTED_VALUE"""),"?")</f>
        <v>?</v>
      </c>
      <c r="S170" s="25" t="str">
        <f>IFERROR(__xludf.DUMMYFUNCTION("""COMPUTED_VALUE"""),"Bullet Hell, Arcade, Shooter, Life Sim, Action Roguelike, Economy, Top-Down Shooter, Roguelite")</f>
        <v>Bullet Hell, Arcade, Shooter, Life Sim, Action Roguelike, Economy, Top-Down Shooter, Roguelite</v>
      </c>
      <c r="T170" s="40" t="str">
        <f>IFERROR(__xludf.DUMMYFUNCTION("""COMPUTED_VALUE"""),"Chronicle: Unit Eight")</f>
        <v>Chronicle: Unit Eight</v>
      </c>
      <c r="U170" s="69" t="str">
        <f>IFERROR(__xludf.DUMMYFUNCTION("""COMPUTED_VALUE"""),"They published 3 games so far and have a large IP in progress. ")</f>
        <v>They published 3 games so far and have a large IP in progress. </v>
      </c>
    </row>
    <row r="171">
      <c r="A171" s="49" t="str">
        <f>IFERROR(__xludf.DUMMYFUNCTION("""COMPUTED_VALUE"""),"Entalto Studios")</f>
        <v>Entalto Studios</v>
      </c>
      <c r="B171" s="40" t="str">
        <f>IFERROR(__xludf.DUMMYFUNCTION("""COMPUTED_VALUE"""),"Spain")</f>
        <v>Spain</v>
      </c>
      <c r="C171" s="52" t="str">
        <f>IFERROR(__xludf.DUMMYFUNCTION("""COMPUTED_VALUE"""),"https://www.entaltostudios.com/")</f>
        <v>https://www.entaltostudios.com/</v>
      </c>
      <c r="D171" s="40" t="str">
        <f>IFERROR(__xludf.DUMMYFUNCTION("""COMPUTED_VALUE"""),"-")</f>
        <v>-</v>
      </c>
      <c r="E171" s="55" t="str">
        <f>IFERROR(__xludf.DUMMYFUNCTION("""COMPUTED_VALUE"""),"https://www.entaltostudios.com/contact")</f>
        <v>https://www.entaltostudios.com/contact</v>
      </c>
      <c r="F171" s="56" t="str">
        <f>IFERROR(__xludf.DUMMYFUNCTION("""COMPUTED_VALUE"""),"Enrique Martínez Romero")</f>
        <v>Enrique Martínez Romero</v>
      </c>
      <c r="G171" s="59" t="str">
        <f>IFERROR(__xludf.DUMMYFUNCTION("""COMPUTED_VALUE"""),"https://store.steampowered.com/publisher/EntaltoStudios/")</f>
        <v>https://store.steampowered.com/publisher/EntaltoStudios/</v>
      </c>
      <c r="H171" s="61" t="str">
        <f>IFERROR(__xludf.DUMMYFUNCTION("""COMPUTED_VALUE"""),"https://gamalytic.com/publisher/Entalto%20Publishing")</f>
        <v>https://gamalytic.com/publisher/Entalto%20Publishing</v>
      </c>
      <c r="I171" s="62">
        <f>IFERROR(__xludf.DUMMYFUNCTION("""COMPUTED_VALUE"""),518.0)</f>
        <v>518</v>
      </c>
      <c r="J171" s="63">
        <f>IFERROR(__xludf.DUMMYFUNCTION("""COMPUTED_VALUE"""),3.0)</f>
        <v>3</v>
      </c>
      <c r="K171" s="64" t="str">
        <f>IFERROR(__xludf.DUMMYFUNCTION("""COMPUTED_VALUE"""),"Mar 2022")</f>
        <v>Mar 2022</v>
      </c>
      <c r="L171" s="64" t="str">
        <f>IFERROR(__xludf.DUMMYFUNCTION("""COMPUTED_VALUE"""),"Dec 2022")</f>
        <v>Dec 2022</v>
      </c>
      <c r="M171" s="65">
        <f>IFERROR(__xludf.DUMMYFUNCTION("""COMPUTED_VALUE"""),248.0)</f>
        <v>248</v>
      </c>
      <c r="N171" s="65">
        <f>IFERROR(__xludf.DUMMYFUNCTION("""COMPUTED_VALUE"""),82.6666666666666)</f>
        <v>82.66666667</v>
      </c>
      <c r="O171" s="65">
        <f>IFERROR(__xludf.DUMMYFUNCTION("""COMPUTED_VALUE"""),4.0)</f>
        <v>4</v>
      </c>
      <c r="P171" s="66" t="str">
        <f>IFERROR(__xludf.DUMMYFUNCTION("""COMPUTED_VALUE"""),"Hobbyist")</f>
        <v>Hobbyist</v>
      </c>
      <c r="Q171" s="64" t="str">
        <f>IFERROR(__xludf.DUMMYFUNCTION("""COMPUTED_VALUE"""),"$")</f>
        <v>$</v>
      </c>
      <c r="R171" s="68" t="str">
        <f>IFERROR(__xludf.DUMMYFUNCTION("""COMPUTED_VALUE"""),"?")</f>
        <v>?</v>
      </c>
      <c r="S171" s="25" t="str">
        <f>IFERROR(__xludf.DUMMYFUNCTION("""COMPUTED_VALUE"""),"Fighting, Hack and Slash, PvP, Arcade, Puzzle")</f>
        <v>Fighting, Hack and Slash, PvP, Arcade, Puzzle</v>
      </c>
      <c r="T171" s="40" t="str">
        <f>IFERROR(__xludf.DUMMYFUNCTION("""COMPUTED_VALUE"""),"Manitas Kitchen, Neonhat, Grabitoons!")</f>
        <v>Manitas Kitchen, Neonhat, Grabitoons!</v>
      </c>
      <c r="U171" s="69" t="str">
        <f>IFERROR(__xludf.DUMMYFUNCTION("""COMPUTED_VALUE"""),"Announced its first published title during wholesome direct.")</f>
        <v>Announced its first published title during wholesome direct.</v>
      </c>
    </row>
    <row r="172">
      <c r="A172" s="49" t="str">
        <f>IFERROR(__xludf.DUMMYFUNCTION("""COMPUTED_VALUE"""),"Farmear Games")</f>
        <v>Farmear Games</v>
      </c>
      <c r="B172" s="40" t="str">
        <f>IFERROR(__xludf.DUMMYFUNCTION("""COMPUTED_VALUE"""),"Argentina")</f>
        <v>Argentina</v>
      </c>
      <c r="C172" s="52" t="str">
        <f>IFERROR(__xludf.DUMMYFUNCTION("""COMPUTED_VALUE"""),"https://www.farmeargames.com/")</f>
        <v>https://www.farmeargames.com/</v>
      </c>
      <c r="D172" s="40" t="str">
        <f>IFERROR(__xludf.DUMMYFUNCTION("""COMPUTED_VALUE"""),"-")</f>
        <v>-</v>
      </c>
      <c r="E172" s="40"/>
      <c r="F172" s="56" t="str">
        <f>IFERROR(__xludf.DUMMYFUNCTION("""COMPUTED_VALUE"""),"https://www.linkedin.com/in/diegofreijo/")</f>
        <v>https://www.linkedin.com/in/diegofreijo/</v>
      </c>
      <c r="G172" s="59" t="str">
        <f>IFERROR(__xludf.DUMMYFUNCTION("""COMPUTED_VALUE"""),"https://store.steampowered.com/publisher/Farmear%20Games")</f>
        <v>https://store.steampowered.com/publisher/Farmear%20Games</v>
      </c>
      <c r="H172" s="61" t="str">
        <f>IFERROR(__xludf.DUMMYFUNCTION("""COMPUTED_VALUE"""),"https://gamalytic.com/publisher/Farmear%20Games")</f>
        <v>https://gamalytic.com/publisher/Farmear%20Games</v>
      </c>
      <c r="I172" s="62"/>
      <c r="J172" s="63"/>
      <c r="K172" s="64"/>
      <c r="L172" s="64"/>
      <c r="M172" s="65"/>
      <c r="N172" s="65"/>
      <c r="O172" s="65"/>
      <c r="P172" s="66" t="str">
        <f>IFERROR(__xludf.DUMMYFUNCTION("""COMPUTED_VALUE"""),"Hobbyist")</f>
        <v>Hobbyist</v>
      </c>
      <c r="Q172" s="64" t="str">
        <f>IFERROR(__xludf.DUMMYFUNCTION("""COMPUTED_VALUE"""),"$")</f>
        <v>$</v>
      </c>
      <c r="R172" s="68"/>
      <c r="S172" s="25"/>
      <c r="T172" s="40"/>
      <c r="U172" s="69" t="str">
        <f>IFERROR(__xludf.DUMMYFUNCTION("""COMPUTED_VALUE"""),"Micro-publisher, specialized in helping new gamedevs with marketing, PS5 and VR porting and some funding")</f>
        <v>Micro-publisher, specialized in helping new gamedevs with marketing, PS5 and VR porting and some funding</v>
      </c>
    </row>
    <row r="173">
      <c r="A173" s="49" t="str">
        <f>IFERROR(__xludf.DUMMYFUNCTION("""COMPUTED_VALUE"""),"Nightsight")</f>
        <v>Nightsight</v>
      </c>
      <c r="B173" s="40" t="str">
        <f>IFERROR(__xludf.DUMMYFUNCTION("""COMPUTED_VALUE"""),"Germany, Australia")</f>
        <v>Germany, Australia</v>
      </c>
      <c r="C173" s="52" t="str">
        <f>IFERROR(__xludf.DUMMYFUNCTION("""COMPUTED_VALUE"""),"https://www.nightsight.games/")</f>
        <v>https://www.nightsight.games/</v>
      </c>
      <c r="D173" s="40"/>
      <c r="E173" s="40"/>
      <c r="F173" s="56" t="str">
        <f>IFERROR(__xludf.DUMMYFUNCTION("""COMPUTED_VALUE"""),"Michael Anderson")</f>
        <v>Michael Anderson</v>
      </c>
      <c r="G173" s="247" t="str">
        <f>IFERROR(__xludf.DUMMYFUNCTION("""COMPUTED_VALUE"""),"-")</f>
        <v>-</v>
      </c>
      <c r="H173" s="61" t="str">
        <f>IFERROR(__xludf.DUMMYFUNCTION("""COMPUTED_VALUE"""),"-")</f>
        <v>-</v>
      </c>
      <c r="I173" s="62" t="str">
        <f>IFERROR(__xludf.DUMMYFUNCTION("""COMPUTED_VALUE"""),"-")</f>
        <v>-</v>
      </c>
      <c r="J173" s="63" t="str">
        <f>IFERROR(__xludf.DUMMYFUNCTION("""COMPUTED_VALUE"""),"-")</f>
        <v>-</v>
      </c>
      <c r="K173" s="64" t="str">
        <f>IFERROR(__xludf.DUMMYFUNCTION("""COMPUTED_VALUE"""),"-")</f>
        <v>-</v>
      </c>
      <c r="L173" s="64" t="str">
        <f>IFERROR(__xludf.DUMMYFUNCTION("""COMPUTED_VALUE"""),"-")</f>
        <v>-</v>
      </c>
      <c r="M173" s="65"/>
      <c r="N173" s="65"/>
      <c r="O173" s="65"/>
      <c r="P173" s="66" t="str">
        <f>IFERROR(__xludf.DUMMYFUNCTION("""COMPUTED_VALUE"""),"Hobbyist")</f>
        <v>Hobbyist</v>
      </c>
      <c r="Q173" s="64" t="str">
        <f>IFERROR(__xludf.DUMMYFUNCTION("""COMPUTED_VALUE"""),"$")</f>
        <v>$</v>
      </c>
      <c r="R173" s="68" t="str">
        <f>IFERROR(__xludf.DUMMYFUNCTION("""COMPUTED_VALUE"""),"★★★")</f>
        <v>★★★</v>
      </c>
      <c r="S173" s="25"/>
      <c r="T173" s="40" t="str">
        <f>IFERROR(__xludf.DUMMYFUNCTION("""COMPUTED_VALUE"""),"-")</f>
        <v>-</v>
      </c>
      <c r="U173" s="69" t="str">
        <f>IFERROR(__xludf.DUMMYFUNCTION("""COMPUTED_VALUE"""),"A new independent game financier and publisher with very flexible terms. Typical budget is under EUR 100k. Focus on games with depth, including engaging gameplay, rich storytelling or meaningful player choice. General preference for releases within 1 year"&amp;".")</f>
        <v>A new independent game financier and publisher with very flexible terms. Typical budget is under EUR 100k. Focus on games with depth, including engaging gameplay, rich storytelling or meaningful player choice. General preference for releases within 1 year.</v>
      </c>
    </row>
    <row r="174">
      <c r="A174" s="49" t="str">
        <f>IFERROR(__xludf.DUMMYFUNCTION("""COMPUTED_VALUE"""),"Agora Gaming Partners Asia")</f>
        <v>Agora Gaming Partners Asia</v>
      </c>
      <c r="B174" s="40" t="str">
        <f>IFERROR(__xludf.DUMMYFUNCTION("""COMPUTED_VALUE"""),"Thailand")</f>
        <v>Thailand</v>
      </c>
      <c r="C174" s="52" t="str">
        <f>IFERROR(__xludf.DUMMYFUNCTION("""COMPUTED_VALUE"""),"https://www.agoragamingpartners.com/")</f>
        <v>https://www.agoragamingpartners.com/</v>
      </c>
      <c r="D174" s="40" t="str">
        <f>IFERROR(__xludf.DUMMYFUNCTION("""COMPUTED_VALUE"""),"-")</f>
        <v>-</v>
      </c>
      <c r="E174" s="40" t="str">
        <f>IFERROR(__xludf.DUMMYFUNCTION("""COMPUTED_VALUE"""),"Scouting@AgoraGamingPartners.com")</f>
        <v>Scouting@AgoraGamingPartners.com</v>
      </c>
      <c r="F174" s="56" t="str">
        <f>IFERROR(__xludf.DUMMYFUNCTION("""COMPUTED_VALUE"""),"Lili ZANG")</f>
        <v>Lili ZANG</v>
      </c>
      <c r="G174" s="247"/>
      <c r="H174" s="61"/>
      <c r="I174" s="62"/>
      <c r="J174" s="63"/>
      <c r="K174" s="64" t="str">
        <f>IFERROR(__xludf.DUMMYFUNCTION("""COMPUTED_VALUE"""),"Jul 2014")</f>
        <v>Jul 2014</v>
      </c>
      <c r="L174" s="64" t="str">
        <f>IFERROR(__xludf.DUMMYFUNCTION("""COMPUTED_VALUE"""),"Oct 2025")</f>
        <v>Oct 2025</v>
      </c>
      <c r="M174" s="65"/>
      <c r="N174" s="65"/>
      <c r="O174" s="65"/>
      <c r="P174" s="66" t="str">
        <f>IFERROR(__xludf.DUMMYFUNCTION("""COMPUTED_VALUE"""),"Hobbyist")</f>
        <v>Hobbyist</v>
      </c>
      <c r="Q174" s="64" t="str">
        <f>IFERROR(__xludf.DUMMYFUNCTION("""COMPUTED_VALUE"""),"$")</f>
        <v>$</v>
      </c>
      <c r="R174" s="68"/>
      <c r="S174" s="25"/>
      <c r="T174" s="40"/>
      <c r="U174" s="69" t="str">
        <f>IFERROR(__xludf.DUMMYFUNCTION("""COMPUTED_VALUE"""),"A new investment / consulting venture founded by the GTR people")</f>
        <v>A new investment / consulting venture founded by the GTR people</v>
      </c>
    </row>
    <row r="175">
      <c r="A175" s="49" t="str">
        <f>IFERROR(__xludf.DUMMYFUNCTION("""COMPUTED_VALUE"""),"Re-Koup")</f>
        <v>Re-Koup</v>
      </c>
      <c r="B175" s="40" t="str">
        <f>IFERROR(__xludf.DUMMYFUNCTION("""COMPUTED_VALUE"""),"Sweden")</f>
        <v>Sweden</v>
      </c>
      <c r="C175" s="52" t="str">
        <f>IFERROR(__xludf.DUMMYFUNCTION("""COMPUTED_VALUE"""),"https://www.re-koup.com")</f>
        <v>https://www.re-koup.com</v>
      </c>
      <c r="D175" s="40"/>
      <c r="E175" s="40" t="str">
        <f>IFERROR(__xludf.DUMMYFUNCTION("""COMPUTED_VALUE"""),"info@re-koup.com")</f>
        <v>info@re-koup.com</v>
      </c>
      <c r="F175" s="56" t="str">
        <f>IFERROR(__xludf.DUMMYFUNCTION("""COMPUTED_VALUE"""),"Sebastian Bastani")</f>
        <v>Sebastian Bastani</v>
      </c>
      <c r="G175" s="247"/>
      <c r="H175" s="61"/>
      <c r="I175" s="62"/>
      <c r="J175" s="63">
        <f>IFERROR(__xludf.DUMMYFUNCTION("""COMPUTED_VALUE"""),4.0)</f>
        <v>4</v>
      </c>
      <c r="K175" s="64">
        <f>IFERROR(__xludf.DUMMYFUNCTION("""COMPUTED_VALUE"""),46143.0)</f>
        <v>46143</v>
      </c>
      <c r="L175" s="64">
        <f>IFERROR(__xludf.DUMMYFUNCTION("""COMPUTED_VALUE"""),46357.0)</f>
        <v>46357</v>
      </c>
      <c r="M175" s="65"/>
      <c r="N175" s="65"/>
      <c r="O175" s="65"/>
      <c r="P175" s="66" t="str">
        <f>IFERROR(__xludf.DUMMYFUNCTION("""COMPUTED_VALUE"""),"Hobbyist")</f>
        <v>Hobbyist</v>
      </c>
      <c r="Q175" s="64" t="str">
        <f>IFERROR(__xludf.DUMMYFUNCTION("""COMPUTED_VALUE"""),"$")</f>
        <v>$</v>
      </c>
      <c r="R175" s="68" t="str">
        <f>IFERROR(__xludf.DUMMYFUNCTION("""COMPUTED_VALUE"""),"?")</f>
        <v>?</v>
      </c>
      <c r="S175" s="25"/>
      <c r="T175" s="40" t="str">
        <f>IFERROR(__xludf.DUMMYFUNCTION("""COMPUTED_VALUE"""),"Prime Monster, Map Map: A Game about Maps, Snacktorio, Dawn of Defense")</f>
        <v>Prime Monster, Map Map: A Game about Maps, Snacktorio, Dawn of Defense</v>
      </c>
      <c r="U175" s="69" t="str">
        <f>IFERROR(__xludf.DUMMYFUNCTION("""COMPUTED_VALUE"""),"Publisher based in Stockholm, Sweden. Publish games on all plattforms and offers 2 types of publishing services; classic publishing and ghost publishing (self publishing support). Genre agnostic. Do both production investments and marketing investments.")</f>
        <v>Publisher based in Stockholm, Sweden. Publish games on all plattforms and offers 2 types of publishing services; classic publishing and ghost publishing (self publishing support). Genre agnostic. Do both production investments and marketing investments.</v>
      </c>
    </row>
    <row r="176">
      <c r="A176" s="49" t="str">
        <f>IFERROR(__xludf.DUMMYFUNCTION("""COMPUTED_VALUE"""),"Neon Hearth")</f>
        <v>Neon Hearth</v>
      </c>
      <c r="B176" s="40" t="str">
        <f>IFERROR(__xludf.DUMMYFUNCTION("""COMPUTED_VALUE"""),"Canada")</f>
        <v>Canada</v>
      </c>
      <c r="C176" s="52" t="str">
        <f>IFERROR(__xludf.DUMMYFUNCTION("""COMPUTED_VALUE"""),"https://neonhearth.ca")</f>
        <v>https://neonhearth.ca</v>
      </c>
      <c r="D176" s="55" t="str">
        <f>IFERROR(__xludf.DUMMYFUNCTION("""COMPUTED_VALUE"""),"https://www.neonhearth.ca/pitch")</f>
        <v>https://www.neonhearth.ca/pitch</v>
      </c>
      <c r="E176" s="40"/>
      <c r="F176" s="56"/>
      <c r="G176" s="247"/>
      <c r="H176" s="61"/>
      <c r="I176" s="62"/>
      <c r="J176" s="63"/>
      <c r="K176" s="64"/>
      <c r="L176" s="64"/>
      <c r="M176" s="65"/>
      <c r="N176" s="65"/>
      <c r="O176" s="65"/>
      <c r="P176" s="66" t="str">
        <f>IFERROR(__xludf.DUMMYFUNCTION("""COMPUTED_VALUE"""),"Hobbyist")</f>
        <v>Hobbyist</v>
      </c>
      <c r="Q176" s="64" t="str">
        <f>IFERROR(__xludf.DUMMYFUNCTION("""COMPUTED_VALUE"""),"$")</f>
        <v>$</v>
      </c>
      <c r="R176" s="68" t="str">
        <f>IFERROR(__xludf.DUMMYFUNCTION("""COMPUTED_VALUE"""),"?")</f>
        <v>?</v>
      </c>
      <c r="S176" s="25"/>
      <c r="T176" s="40"/>
      <c r="U176" s="69" t="str">
        <f>IFERROR(__xludf.DUMMYFUNCTION("""COMPUTED_VALUE"""),"Indie publisher dedicated to strong narratives. Proudly Canadian we dedicate ourselves to each project. Our services are primarily marketing and distribution with funding available for the right projects.")</f>
        <v>Indie publisher dedicated to strong narratives. Proudly Canadian we dedicate ourselves to each project. Our services are primarily marketing and distribution with funding available for the right projects.</v>
      </c>
    </row>
    <row r="177">
      <c r="A177" s="49"/>
      <c r="B177" s="40"/>
      <c r="C177" s="86"/>
      <c r="D177" s="40"/>
      <c r="E177" s="40"/>
      <c r="F177" s="56"/>
      <c r="G177" s="247"/>
      <c r="H177" s="61"/>
      <c r="I177" s="62"/>
      <c r="J177" s="63"/>
      <c r="K177" s="64"/>
      <c r="L177" s="64"/>
      <c r="M177" s="65"/>
      <c r="N177" s="65"/>
      <c r="O177" s="65"/>
      <c r="P177" s="66"/>
      <c r="Q177" s="64"/>
      <c r="R177" s="68"/>
      <c r="S177" s="25"/>
      <c r="T177" s="40"/>
      <c r="U177" s="69"/>
    </row>
    <row r="178">
      <c r="A178" s="49"/>
      <c r="B178" s="40"/>
      <c r="C178" s="86"/>
      <c r="D178" s="40"/>
      <c r="E178" s="40"/>
      <c r="F178" s="56"/>
      <c r="G178" s="247"/>
      <c r="H178" s="61"/>
      <c r="I178" s="62"/>
      <c r="J178" s="63"/>
      <c r="K178" s="64"/>
      <c r="L178" s="64"/>
      <c r="M178" s="65"/>
      <c r="N178" s="65"/>
      <c r="O178" s="65"/>
      <c r="P178" s="66"/>
      <c r="Q178" s="64"/>
      <c r="R178" s="68"/>
      <c r="S178" s="25"/>
      <c r="T178" s="40"/>
      <c r="U178" s="69"/>
    </row>
    <row r="179">
      <c r="A179" s="49"/>
      <c r="B179" s="40"/>
      <c r="C179" s="86"/>
      <c r="D179" s="40"/>
      <c r="E179" s="40"/>
      <c r="F179" s="56"/>
      <c r="G179" s="247"/>
      <c r="H179" s="61"/>
      <c r="I179" s="62"/>
      <c r="J179" s="63"/>
      <c r="K179" s="64"/>
      <c r="L179" s="64"/>
      <c r="M179" s="65"/>
      <c r="N179" s="65"/>
      <c r="O179" s="65"/>
      <c r="P179" s="66"/>
      <c r="Q179" s="64"/>
      <c r="R179" s="68"/>
      <c r="S179" s="25"/>
      <c r="T179" s="40"/>
      <c r="U179" s="69"/>
    </row>
    <row r="180">
      <c r="A180" s="49"/>
      <c r="B180" s="40"/>
      <c r="C180" s="86"/>
      <c r="D180" s="40"/>
      <c r="E180" s="40"/>
      <c r="F180" s="56"/>
      <c r="G180" s="247"/>
      <c r="H180" s="61"/>
      <c r="I180" s="62"/>
      <c r="J180" s="63"/>
      <c r="K180" s="64"/>
      <c r="L180" s="64"/>
      <c r="M180" s="65"/>
      <c r="N180" s="65"/>
      <c r="O180" s="65"/>
      <c r="P180" s="66"/>
      <c r="Q180" s="64"/>
      <c r="R180" s="68"/>
      <c r="S180" s="25"/>
      <c r="T180" s="40"/>
      <c r="U180" s="69"/>
    </row>
    <row r="181">
      <c r="A181" s="49"/>
      <c r="B181" s="40"/>
      <c r="C181" s="86"/>
      <c r="D181" s="40"/>
      <c r="E181" s="40"/>
      <c r="F181" s="56"/>
      <c r="G181" s="247"/>
      <c r="H181" s="61"/>
      <c r="I181" s="62"/>
      <c r="J181" s="63"/>
      <c r="K181" s="64"/>
      <c r="L181" s="64"/>
      <c r="M181" s="65"/>
      <c r="N181" s="65"/>
      <c r="O181" s="65"/>
      <c r="P181" s="66"/>
      <c r="Q181" s="64"/>
      <c r="R181" s="68"/>
      <c r="S181" s="25"/>
      <c r="T181" s="40"/>
      <c r="U181" s="69"/>
    </row>
    <row r="182">
      <c r="A182" s="49"/>
      <c r="B182" s="40"/>
      <c r="C182" s="86"/>
      <c r="D182" s="40"/>
      <c r="E182" s="40"/>
      <c r="F182" s="56"/>
      <c r="G182" s="247"/>
      <c r="H182" s="61"/>
      <c r="I182" s="62"/>
      <c r="J182" s="63"/>
      <c r="K182" s="64"/>
      <c r="L182" s="64"/>
      <c r="M182" s="65"/>
      <c r="N182" s="65"/>
      <c r="O182" s="65"/>
      <c r="P182" s="66"/>
      <c r="Q182" s="64"/>
      <c r="R182" s="68"/>
      <c r="S182" s="25"/>
      <c r="T182" s="40"/>
      <c r="U182" s="69"/>
    </row>
    <row r="183">
      <c r="A183" s="49"/>
      <c r="B183" s="40"/>
      <c r="C183" s="86"/>
      <c r="D183" s="40"/>
      <c r="E183" s="40"/>
      <c r="F183" s="56"/>
      <c r="G183" s="247"/>
      <c r="H183" s="61"/>
      <c r="I183" s="62"/>
      <c r="J183" s="63"/>
      <c r="K183" s="64"/>
      <c r="L183" s="64"/>
      <c r="M183" s="65"/>
      <c r="N183" s="65"/>
      <c r="O183" s="65"/>
      <c r="P183" s="66"/>
      <c r="Q183" s="64"/>
      <c r="R183" s="68"/>
      <c r="S183" s="25"/>
      <c r="T183" s="40"/>
      <c r="U183" s="69"/>
    </row>
    <row r="184">
      <c r="A184" s="49"/>
      <c r="B184" s="40"/>
      <c r="C184" s="86"/>
      <c r="D184" s="40"/>
      <c r="E184" s="40"/>
      <c r="F184" s="56"/>
      <c r="G184" s="247"/>
      <c r="H184" s="61"/>
      <c r="I184" s="62"/>
      <c r="J184" s="63"/>
      <c r="K184" s="64"/>
      <c r="L184" s="64"/>
      <c r="M184" s="65"/>
      <c r="N184" s="65"/>
      <c r="O184" s="65"/>
      <c r="P184" s="66"/>
      <c r="Q184" s="64"/>
      <c r="R184" s="68"/>
      <c r="S184" s="25"/>
      <c r="T184" s="40"/>
      <c r="U184" s="69"/>
    </row>
    <row r="185">
      <c r="A185" s="49"/>
      <c r="B185" s="40"/>
      <c r="C185" s="86"/>
      <c r="D185" s="40"/>
      <c r="E185" s="40"/>
      <c r="F185" s="56"/>
      <c r="G185" s="247"/>
      <c r="H185" s="61"/>
      <c r="I185" s="62"/>
      <c r="J185" s="63"/>
      <c r="K185" s="64"/>
      <c r="L185" s="64"/>
      <c r="M185" s="65"/>
      <c r="N185" s="65"/>
      <c r="O185" s="65"/>
      <c r="P185" s="66"/>
      <c r="Q185" s="64"/>
      <c r="R185" s="68"/>
      <c r="S185" s="25"/>
      <c r="T185" s="40"/>
      <c r="U185" s="69"/>
    </row>
    <row r="186">
      <c r="A186" s="49"/>
      <c r="B186" s="40"/>
      <c r="C186" s="86"/>
      <c r="D186" s="40"/>
      <c r="E186" s="40"/>
      <c r="F186" s="56"/>
      <c r="G186" s="247"/>
      <c r="H186" s="61"/>
      <c r="I186" s="62"/>
      <c r="J186" s="63"/>
      <c r="K186" s="64"/>
      <c r="L186" s="64"/>
      <c r="M186" s="65"/>
      <c r="N186" s="65"/>
      <c r="O186" s="65"/>
      <c r="P186" s="66"/>
      <c r="Q186" s="64"/>
      <c r="R186" s="68"/>
      <c r="S186" s="25"/>
      <c r="T186" s="40"/>
      <c r="U186" s="69"/>
    </row>
    <row r="187">
      <c r="A187" s="49"/>
      <c r="B187" s="40"/>
      <c r="C187" s="86"/>
      <c r="D187" s="40"/>
      <c r="E187" s="40"/>
      <c r="F187" s="56"/>
      <c r="G187" s="247"/>
      <c r="H187" s="61"/>
      <c r="I187" s="62"/>
      <c r="J187" s="63"/>
      <c r="K187" s="64"/>
      <c r="L187" s="64"/>
      <c r="M187" s="65"/>
      <c r="N187" s="65"/>
      <c r="O187" s="65"/>
      <c r="P187" s="66"/>
      <c r="Q187" s="64"/>
      <c r="R187" s="68"/>
      <c r="S187" s="25"/>
      <c r="T187" s="40"/>
      <c r="U187" s="69"/>
    </row>
    <row r="188">
      <c r="A188" s="49"/>
      <c r="B188" s="40"/>
      <c r="C188" s="86"/>
      <c r="D188" s="40"/>
      <c r="E188" s="40"/>
      <c r="F188" s="56"/>
      <c r="G188" s="247"/>
      <c r="H188" s="61"/>
      <c r="I188" s="62"/>
      <c r="J188" s="63"/>
      <c r="K188" s="64"/>
      <c r="L188" s="64"/>
      <c r="M188" s="65"/>
      <c r="N188" s="65"/>
      <c r="O188" s="65"/>
      <c r="P188" s="66"/>
      <c r="Q188" s="64"/>
      <c r="R188" s="68"/>
      <c r="S188" s="25"/>
      <c r="T188" s="40"/>
      <c r="U188" s="69"/>
    </row>
    <row r="189">
      <c r="A189" s="49"/>
      <c r="B189" s="40"/>
      <c r="C189" s="86"/>
      <c r="D189" s="40"/>
      <c r="E189" s="40"/>
      <c r="F189" s="56"/>
      <c r="G189" s="247"/>
      <c r="H189" s="61"/>
      <c r="I189" s="62"/>
      <c r="J189" s="63"/>
      <c r="K189" s="64"/>
      <c r="L189" s="64"/>
      <c r="M189" s="65"/>
      <c r="N189" s="65"/>
      <c r="O189" s="65"/>
      <c r="P189" s="66"/>
      <c r="Q189" s="64"/>
      <c r="R189" s="68"/>
      <c r="S189" s="25"/>
      <c r="T189" s="40"/>
      <c r="U189" s="69"/>
    </row>
    <row r="190">
      <c r="A190" s="49"/>
      <c r="B190" s="40"/>
      <c r="C190" s="86"/>
      <c r="D190" s="40"/>
      <c r="E190" s="40"/>
      <c r="F190" s="56"/>
      <c r="G190" s="247"/>
      <c r="H190" s="61"/>
      <c r="I190" s="62"/>
      <c r="J190" s="63"/>
      <c r="K190" s="64"/>
      <c r="L190" s="64"/>
      <c r="M190" s="65"/>
      <c r="N190" s="65"/>
      <c r="O190" s="65"/>
      <c r="P190" s="66"/>
      <c r="Q190" s="64"/>
      <c r="R190" s="68"/>
      <c r="S190" s="25"/>
      <c r="T190" s="40"/>
      <c r="U190" s="69"/>
    </row>
    <row r="191">
      <c r="A191" s="49"/>
      <c r="B191" s="40"/>
      <c r="C191" s="86"/>
      <c r="D191" s="40"/>
      <c r="E191" s="40"/>
      <c r="F191" s="56"/>
      <c r="G191" s="247"/>
      <c r="H191" s="61"/>
      <c r="I191" s="62"/>
      <c r="J191" s="63"/>
      <c r="K191" s="64"/>
      <c r="L191" s="64"/>
      <c r="M191" s="65"/>
      <c r="N191" s="65"/>
      <c r="O191" s="65"/>
      <c r="P191" s="66"/>
      <c r="Q191" s="64"/>
      <c r="R191" s="68"/>
      <c r="S191" s="25"/>
      <c r="T191" s="40"/>
      <c r="U191" s="69"/>
    </row>
    <row r="192">
      <c r="A192" s="49"/>
      <c r="B192" s="40"/>
      <c r="C192" s="86"/>
      <c r="D192" s="40"/>
      <c r="E192" s="40"/>
      <c r="F192" s="56"/>
      <c r="G192" s="247"/>
      <c r="H192" s="61"/>
      <c r="I192" s="62"/>
      <c r="J192" s="63"/>
      <c r="K192" s="64"/>
      <c r="L192" s="64"/>
      <c r="M192" s="65"/>
      <c r="N192" s="65"/>
      <c r="O192" s="65"/>
      <c r="P192" s="66"/>
      <c r="Q192" s="64"/>
      <c r="R192" s="68"/>
      <c r="S192" s="25"/>
      <c r="T192" s="40"/>
      <c r="U192" s="69"/>
    </row>
    <row r="193">
      <c r="A193" s="49"/>
      <c r="B193" s="40"/>
      <c r="C193" s="86"/>
      <c r="D193" s="40"/>
      <c r="E193" s="40"/>
      <c r="F193" s="56"/>
      <c r="G193" s="247"/>
      <c r="H193" s="61"/>
      <c r="I193" s="62"/>
      <c r="J193" s="63"/>
      <c r="K193" s="64"/>
      <c r="L193" s="64"/>
      <c r="M193" s="65"/>
      <c r="N193" s="65"/>
      <c r="O193" s="65"/>
      <c r="P193" s="66"/>
      <c r="Q193" s="64"/>
      <c r="R193" s="68"/>
      <c r="S193" s="25"/>
      <c r="T193" s="40"/>
      <c r="U193" s="69"/>
    </row>
    <row r="194">
      <c r="A194" s="49"/>
      <c r="B194" s="40"/>
      <c r="C194" s="86"/>
      <c r="D194" s="40"/>
      <c r="E194" s="40"/>
      <c r="F194" s="56"/>
      <c r="G194" s="247"/>
      <c r="H194" s="61"/>
      <c r="I194" s="62"/>
      <c r="J194" s="63"/>
      <c r="K194" s="64"/>
      <c r="L194" s="64"/>
      <c r="M194" s="65"/>
      <c r="N194" s="65"/>
      <c r="O194" s="65"/>
      <c r="P194" s="66"/>
      <c r="Q194" s="64"/>
      <c r="R194" s="68"/>
      <c r="S194" s="25"/>
      <c r="T194" s="40"/>
      <c r="U194" s="69"/>
    </row>
    <row r="195">
      <c r="A195" s="49"/>
      <c r="B195" s="40"/>
      <c r="C195" s="86"/>
      <c r="D195" s="40"/>
      <c r="E195" s="40"/>
      <c r="F195" s="56"/>
      <c r="G195" s="247"/>
      <c r="H195" s="61"/>
      <c r="I195" s="62"/>
      <c r="J195" s="63"/>
      <c r="K195" s="64"/>
      <c r="L195" s="64"/>
      <c r="M195" s="65"/>
      <c r="N195" s="65"/>
      <c r="O195" s="65"/>
      <c r="P195" s="66"/>
      <c r="Q195" s="64"/>
      <c r="R195" s="68"/>
      <c r="S195" s="25"/>
      <c r="T195" s="40"/>
      <c r="U195" s="69"/>
    </row>
    <row r="196">
      <c r="A196" s="49"/>
      <c r="B196" s="40"/>
      <c r="C196" s="86"/>
      <c r="D196" s="40"/>
      <c r="E196" s="40"/>
      <c r="F196" s="56"/>
      <c r="G196" s="247"/>
      <c r="H196" s="61"/>
      <c r="I196" s="62"/>
      <c r="J196" s="63"/>
      <c r="K196" s="64"/>
      <c r="L196" s="64"/>
      <c r="M196" s="65"/>
      <c r="N196" s="65"/>
      <c r="O196" s="65"/>
      <c r="P196" s="66"/>
      <c r="Q196" s="64"/>
      <c r="R196" s="68"/>
      <c r="S196" s="25"/>
      <c r="T196" s="40"/>
      <c r="U196" s="69"/>
    </row>
    <row r="197">
      <c r="A197" s="49"/>
      <c r="B197" s="40"/>
      <c r="C197" s="86"/>
      <c r="D197" s="40"/>
      <c r="E197" s="40"/>
      <c r="F197" s="56"/>
      <c r="G197" s="247"/>
      <c r="H197" s="61"/>
      <c r="I197" s="62"/>
      <c r="J197" s="63"/>
      <c r="K197" s="64"/>
      <c r="L197" s="64"/>
      <c r="M197" s="65"/>
      <c r="N197" s="65"/>
      <c r="O197" s="65"/>
      <c r="P197" s="66"/>
      <c r="Q197" s="64"/>
      <c r="R197" s="68"/>
      <c r="S197" s="25"/>
      <c r="T197" s="40"/>
      <c r="U197" s="69"/>
    </row>
    <row r="198">
      <c r="A198" s="49"/>
      <c r="B198" s="40"/>
      <c r="C198" s="86"/>
      <c r="D198" s="40"/>
      <c r="E198" s="40"/>
      <c r="F198" s="56"/>
      <c r="G198" s="247"/>
      <c r="H198" s="61"/>
      <c r="I198" s="62"/>
      <c r="J198" s="63"/>
      <c r="K198" s="64"/>
      <c r="L198" s="64"/>
      <c r="M198" s="65"/>
      <c r="N198" s="65"/>
      <c r="O198" s="65"/>
      <c r="P198" s="66"/>
      <c r="Q198" s="64"/>
      <c r="R198" s="68"/>
      <c r="S198" s="25"/>
      <c r="T198" s="40"/>
      <c r="U198" s="69"/>
    </row>
    <row r="199">
      <c r="A199" s="49"/>
      <c r="B199" s="40"/>
      <c r="C199" s="86"/>
      <c r="D199" s="40"/>
      <c r="E199" s="40"/>
      <c r="F199" s="56"/>
      <c r="G199" s="247"/>
      <c r="H199" s="61"/>
      <c r="I199" s="62"/>
      <c r="J199" s="63"/>
      <c r="K199" s="64"/>
      <c r="L199" s="64"/>
      <c r="M199" s="65"/>
      <c r="N199" s="65"/>
      <c r="O199" s="65"/>
      <c r="P199" s="66"/>
      <c r="Q199" s="64"/>
      <c r="R199" s="68"/>
      <c r="S199" s="25"/>
      <c r="T199" s="40"/>
      <c r="U199" s="69"/>
    </row>
    <row r="200">
      <c r="A200" s="49"/>
      <c r="B200" s="40"/>
      <c r="C200" s="86"/>
      <c r="D200" s="40"/>
      <c r="E200" s="40"/>
      <c r="F200" s="56"/>
      <c r="G200" s="247"/>
      <c r="H200" s="61"/>
      <c r="I200" s="62"/>
      <c r="J200" s="63"/>
      <c r="K200" s="64"/>
      <c r="L200" s="64"/>
      <c r="M200" s="65"/>
      <c r="N200" s="65"/>
      <c r="O200" s="65"/>
      <c r="P200" s="66"/>
      <c r="Q200" s="64"/>
      <c r="R200" s="68"/>
      <c r="S200" s="25"/>
      <c r="T200" s="40"/>
      <c r="U200" s="69"/>
    </row>
    <row r="201">
      <c r="A201" s="153"/>
      <c r="B201" s="153"/>
      <c r="C201" s="153"/>
      <c r="D201" s="332"/>
      <c r="E201" s="153"/>
      <c r="F201" s="333"/>
      <c r="G201" s="153"/>
      <c r="H201" s="153"/>
      <c r="I201" s="153"/>
      <c r="J201" s="153"/>
      <c r="K201" s="153"/>
      <c r="L201" s="153"/>
      <c r="M201" s="153"/>
      <c r="N201" s="153"/>
      <c r="O201" s="153"/>
      <c r="P201" s="153"/>
      <c r="Q201" s="153"/>
      <c r="R201" s="153"/>
      <c r="S201" s="153"/>
      <c r="T201" s="153"/>
      <c r="U201" s="153"/>
    </row>
    <row r="202">
      <c r="A202" s="153"/>
      <c r="B202" s="153"/>
      <c r="C202" s="153"/>
      <c r="D202" s="332"/>
      <c r="E202" s="153"/>
      <c r="F202" s="333"/>
      <c r="G202" s="153"/>
      <c r="H202" s="153"/>
      <c r="I202" s="153"/>
      <c r="J202" s="153"/>
      <c r="K202" s="153"/>
      <c r="L202" s="153"/>
      <c r="M202" s="153"/>
      <c r="N202" s="153"/>
      <c r="O202" s="153"/>
      <c r="P202" s="153"/>
      <c r="Q202" s="153"/>
      <c r="R202" s="153"/>
      <c r="S202" s="153"/>
      <c r="T202" s="153"/>
      <c r="U202" s="153"/>
    </row>
    <row r="203">
      <c r="A203" s="153"/>
      <c r="B203" s="153"/>
      <c r="C203" s="153"/>
      <c r="D203" s="332"/>
      <c r="E203" s="153"/>
      <c r="F203" s="333"/>
      <c r="G203" s="153"/>
      <c r="H203" s="153"/>
      <c r="I203" s="153"/>
      <c r="J203" s="153"/>
      <c r="K203" s="153"/>
      <c r="L203" s="153"/>
      <c r="M203" s="153"/>
      <c r="N203" s="153"/>
      <c r="O203" s="153"/>
      <c r="P203" s="153"/>
      <c r="Q203" s="153"/>
      <c r="R203" s="153"/>
      <c r="S203" s="153"/>
      <c r="T203" s="153"/>
      <c r="U203" s="153"/>
    </row>
    <row r="204">
      <c r="A204" s="153"/>
      <c r="B204" s="153"/>
      <c r="C204" s="153"/>
      <c r="D204" s="332"/>
      <c r="E204" s="153"/>
      <c r="F204" s="333"/>
      <c r="G204" s="153"/>
      <c r="H204" s="153"/>
      <c r="I204" s="153"/>
      <c r="J204" s="153"/>
      <c r="K204" s="153"/>
      <c r="L204" s="153"/>
      <c r="M204" s="153"/>
      <c r="N204" s="153"/>
      <c r="O204" s="153"/>
      <c r="P204" s="153"/>
      <c r="Q204" s="153"/>
      <c r="R204" s="153"/>
      <c r="S204" s="153"/>
      <c r="T204" s="153"/>
      <c r="U204" s="153"/>
    </row>
  </sheetData>
  <mergeCells count="8">
    <mergeCell ref="B4:E4"/>
    <mergeCell ref="B5:E5"/>
    <mergeCell ref="B6:E6"/>
    <mergeCell ref="B7:E7"/>
    <mergeCell ref="B8:E8"/>
    <mergeCell ref="B9:E9"/>
    <mergeCell ref="B10:E10"/>
    <mergeCell ref="B11:E11"/>
  </mergeCells>
  <dataValidations>
    <dataValidation type="list" allowBlank="1" showErrorMessage="1" sqref="B9">
      <formula1>"Any,★ or better,★★ or better,★★★ only"</formula1>
    </dataValidation>
    <dataValidation type="list" allowBlank="1" showErrorMessage="1" sqref="B11">
      <formula1>"Any,3+ games,10+ games,25+ games"</formula1>
    </dataValidation>
    <dataValidation type="list" allowBlank="1" showErrorMessage="1" sqref="P15:P200">
      <formula1>"AAA,AA,Indie,Hobbyist"</formula1>
    </dataValidation>
    <dataValidation type="list" allowBlank="1" showErrorMessage="1" sqref="B6">
      <formula1>"Any position,Strong (top 5),Main genre (top 3),Primary genre (top 1)"</formula1>
    </dataValidation>
    <dataValidation type="list" allowBlank="1" showErrorMessage="1" sqref="Q15:Q200">
      <formula1>"$$$,$$,$"</formula1>
    </dataValidation>
    <dataValidation type="list" allowBlank="1" showErrorMessage="1" sqref="B10">
      <formula1>"Any,Released in last 6 months,Released in last 12 months,Released in last 24 months"</formula1>
    </dataValidation>
    <dataValidation type="list" allowBlank="1" showErrorMessage="1" sqref="B4 S15:S200">
      <formula1>"4X,Grand Strategy,Turn-Based Strategy,RTS,Real Time Tactics,Turn-Based Tactics,Tactical RPG,Wargame,Tower Defense,Auto Battler,Real-Time with Pause,Strategy RPG,Hex Grid,Political Sim,God Game,Management,City Builder,Base Building,Colony Sim,Economy,Resou"&amp;"rce Management,Automation,Farming Sim,Life Sim,Driving,Automobile Sim,Flight,Space Sim,Cooking,Time Management,Cleaning,Job Simulator,Shop Keeper,Mining,Capitalism,Idler,Incremental,Fishing,Motorbike,Golf,Football (Soccer),Programming,Hacking,Gambling,Sur"&amp;"vival,Crafting,Sandbox,Open World Survival Craft,Open World,Voxel,Level Editor,Procedural Generation,Shooter,FPS,Hack and Slash,Action-Adventure,Action RPG,Souls-like,Beat 'em up,Fighting,Bullet Hell,Bullet Heaven,Top-Down Shooter,Looter Shooter,Extractio"&amp;"n Shooter,Twin Stick Shooter,Stealth,Martial Arts,Action Roguelike,On-Rails Shooter,Parkour,Arcade,Immersive Sim,Roguelike,Roguelite,Deckbuilding,Roguelike Deckbuilder,Card Game,Dungeon Crawler,Board Game,Tabletop,Dice,JRPG,Party-Based RPG,Turn-Based Comb"&amp;"at,CRPG,Creature Collector,Puzzle,Point &amp; Click,Visual Novel,Walking Simulator,Interactive Fiction,Choose Your Own Adventure,Hidden Object,Investigation,Escape Room,Dating Sim,Puzzle Platformer,Logic,Text-Based,Typing,Horror,Psychological Horror,Survival "&amp;"Horror,Platformer,2D Platformer,3D Platformer,Metroidvania,Precision Platformer,Collectathon,2.5D,Co-op,PvP,Team-Based,Competitive,Party Game,Asynchronous Multiplayer,Rhythm,VR"</formula1>
    </dataValidation>
    <dataValidation type="list" allowBlank="1" showErrorMessage="1" sqref="R15:R200">
      <formula1>"★,★★★,★★,?"</formula1>
    </dataValidation>
    <dataValidation type="list" allowBlank="1" showErrorMessage="1" sqref="B5">
      <formula1>"Any selected genre,All selected genres"</formula1>
    </dataValidation>
    <dataValidation type="list" allowBlank="1" showErrorMessage="1" sqref="B7">
      <formula1>"Any,$$$,$$,$"</formula1>
    </dataValidation>
    <dataValidation type="list" allowBlank="1" showErrorMessage="1" sqref="B8 B15:B200">
      <formula1>"USA,Canada,UK,Germany,Netherlands,France,Poland,Switzerland,Belgium,Ireland,Sweden,Cyprus,Czech,Italy,Denmark,Finland,Lithuania,Spain,Greece,Russia,China,Korea,Japan,Singapore,Thailand,India,Indonesia,Georgia,UAE,Tunisia,Australia,Brazil"</formula1>
    </dataValidation>
  </dataValidations>
  <hyperlinks>
    <hyperlink r:id="rId1" ref="C15"/>
    <hyperlink r:id="rId2" ref="F15"/>
    <hyperlink r:id="rId3" ref="G15"/>
    <hyperlink r:id="rId4" ref="H15"/>
    <hyperlink r:id="rId5" ref="C16"/>
    <hyperlink r:id="rId6" ref="G16"/>
    <hyperlink r:id="rId7" ref="H16"/>
    <hyperlink r:id="rId8" ref="C17"/>
    <hyperlink r:id="rId9" ref="E17"/>
    <hyperlink r:id="rId10" ref="F17"/>
    <hyperlink r:id="rId11" ref="G17"/>
    <hyperlink r:id="rId12" ref="H17"/>
    <hyperlink r:id="rId13" ref="C18"/>
    <hyperlink r:id="rId14" ref="D18"/>
    <hyperlink r:id="rId15" ref="G18"/>
    <hyperlink r:id="rId16" ref="H18"/>
    <hyperlink r:id="rId17" ref="C19"/>
    <hyperlink r:id="rId18" ref="D19"/>
    <hyperlink r:id="rId19" ref="F19"/>
    <hyperlink r:id="rId20" ref="G19"/>
    <hyperlink r:id="rId21" ref="H19"/>
    <hyperlink r:id="rId22" ref="C20"/>
    <hyperlink r:id="rId23" ref="E20"/>
    <hyperlink r:id="rId24" ref="G20"/>
    <hyperlink r:id="rId25" ref="H20"/>
    <hyperlink r:id="rId26" ref="C21"/>
    <hyperlink r:id="rId27" ref="D21"/>
    <hyperlink r:id="rId28" ref="F21"/>
    <hyperlink r:id="rId29" ref="G21"/>
    <hyperlink r:id="rId30" ref="H21"/>
    <hyperlink r:id="rId31" ref="C22"/>
    <hyperlink r:id="rId32" ref="E22"/>
    <hyperlink r:id="rId33" ref="G22"/>
    <hyperlink r:id="rId34" ref="H22"/>
    <hyperlink r:id="rId35" ref="C23"/>
    <hyperlink r:id="rId36" ref="G23"/>
    <hyperlink r:id="rId37" ref="H23"/>
    <hyperlink r:id="rId38" ref="C24"/>
    <hyperlink r:id="rId39" location="pitch" ref="E24"/>
    <hyperlink r:id="rId40" ref="F24"/>
    <hyperlink r:id="rId41" ref="G24"/>
    <hyperlink r:id="rId42" ref="H24"/>
    <hyperlink r:id="rId43" ref="C25"/>
    <hyperlink r:id="rId44" ref="F25"/>
    <hyperlink r:id="rId45" ref="G25"/>
    <hyperlink r:id="rId46" ref="H25"/>
    <hyperlink r:id="rId47" ref="C26"/>
    <hyperlink r:id="rId48" ref="D26"/>
    <hyperlink r:id="rId49" ref="E26"/>
    <hyperlink r:id="rId50" ref="F26"/>
    <hyperlink r:id="rId51" ref="G26"/>
    <hyperlink r:id="rId52" ref="H26"/>
    <hyperlink r:id="rId53" ref="C27"/>
    <hyperlink r:id="rId54" ref="E27"/>
    <hyperlink r:id="rId55" ref="F27"/>
    <hyperlink r:id="rId56" ref="G27"/>
    <hyperlink r:id="rId57" ref="H27"/>
    <hyperlink r:id="rId58" ref="C28"/>
    <hyperlink r:id="rId59" ref="D28"/>
    <hyperlink r:id="rId60" ref="E28"/>
    <hyperlink r:id="rId61" ref="F28"/>
    <hyperlink r:id="rId62" ref="G28"/>
    <hyperlink r:id="rId63" ref="H28"/>
    <hyperlink r:id="rId64" ref="C29"/>
    <hyperlink r:id="rId65" ref="E29"/>
    <hyperlink r:id="rId66" ref="G29"/>
    <hyperlink r:id="rId67" ref="H29"/>
    <hyperlink r:id="rId68" ref="C30"/>
    <hyperlink r:id="rId69" ref="F30"/>
    <hyperlink r:id="rId70" ref="G30"/>
    <hyperlink r:id="rId71" ref="H30"/>
    <hyperlink r:id="rId72" ref="C31"/>
    <hyperlink r:id="rId73" ref="F31"/>
    <hyperlink r:id="rId74" ref="G31"/>
    <hyperlink r:id="rId75" ref="H31"/>
    <hyperlink r:id="rId76" ref="C32"/>
    <hyperlink r:id="rId77" ref="E32"/>
    <hyperlink r:id="rId78" ref="F32"/>
    <hyperlink r:id="rId79" ref="G32"/>
    <hyperlink r:id="rId80" ref="H32"/>
    <hyperlink r:id="rId81" ref="C33"/>
    <hyperlink r:id="rId82" ref="G33"/>
    <hyperlink r:id="rId83" ref="H33"/>
    <hyperlink r:id="rId84" ref="C34"/>
    <hyperlink r:id="rId85" ref="D34"/>
    <hyperlink r:id="rId86" ref="E34"/>
    <hyperlink r:id="rId87" ref="G34"/>
    <hyperlink r:id="rId88" ref="H34"/>
    <hyperlink r:id="rId89" ref="C35"/>
    <hyperlink r:id="rId90" ref="E35"/>
    <hyperlink r:id="rId91" ref="F35"/>
    <hyperlink r:id="rId92" ref="G35"/>
    <hyperlink r:id="rId93" ref="H35"/>
    <hyperlink r:id="rId94" ref="C36"/>
    <hyperlink r:id="rId95" ref="E36"/>
    <hyperlink r:id="rId96" ref="G36"/>
    <hyperlink r:id="rId97" ref="H36"/>
    <hyperlink r:id="rId98" ref="C37"/>
    <hyperlink r:id="rId99" ref="E37"/>
    <hyperlink r:id="rId100" ref="G37"/>
    <hyperlink r:id="rId101" ref="H37"/>
    <hyperlink r:id="rId102" ref="C38"/>
    <hyperlink r:id="rId103" ref="D38"/>
    <hyperlink r:id="rId104" ref="E38"/>
    <hyperlink r:id="rId105" ref="F38"/>
    <hyperlink r:id="rId106" ref="G38"/>
    <hyperlink r:id="rId107" ref="H38"/>
    <hyperlink r:id="rId108" ref="C39"/>
    <hyperlink r:id="rId109" ref="D39"/>
    <hyperlink r:id="rId110" ref="E39"/>
    <hyperlink r:id="rId111" ref="F39"/>
    <hyperlink r:id="rId112" ref="G39"/>
    <hyperlink r:id="rId113" ref="H39"/>
    <hyperlink r:id="rId114" ref="C40"/>
    <hyperlink r:id="rId115" ref="E40"/>
    <hyperlink r:id="rId116" ref="G40"/>
    <hyperlink r:id="rId117" ref="H40"/>
    <hyperlink r:id="rId118" ref="C41"/>
    <hyperlink r:id="rId119" ref="G41"/>
    <hyperlink r:id="rId120" ref="H41"/>
    <hyperlink r:id="rId121" ref="C42"/>
    <hyperlink r:id="rId122" ref="F42"/>
    <hyperlink r:id="rId123" ref="G42"/>
    <hyperlink r:id="rId124" ref="H42"/>
    <hyperlink r:id="rId125" ref="C43"/>
    <hyperlink r:id="rId126" ref="G43"/>
    <hyperlink r:id="rId127" ref="H43"/>
    <hyperlink r:id="rId128" ref="C44"/>
    <hyperlink r:id="rId129" ref="F44"/>
    <hyperlink r:id="rId130" ref="G44"/>
    <hyperlink r:id="rId131" ref="H44"/>
    <hyperlink r:id="rId132" ref="C45"/>
    <hyperlink r:id="rId133" ref="E45"/>
    <hyperlink r:id="rId134" ref="G45"/>
    <hyperlink r:id="rId135" ref="H45"/>
    <hyperlink r:id="rId136" ref="C46"/>
    <hyperlink r:id="rId137" ref="D46"/>
    <hyperlink r:id="rId138" ref="F46"/>
    <hyperlink r:id="rId139" ref="G46"/>
    <hyperlink r:id="rId140" ref="H46"/>
    <hyperlink r:id="rId141" ref="C47"/>
    <hyperlink r:id="rId142" ref="F47"/>
    <hyperlink r:id="rId143" ref="G47"/>
    <hyperlink r:id="rId144" ref="H47"/>
    <hyperlink r:id="rId145" ref="C48"/>
    <hyperlink r:id="rId146" ref="G48"/>
    <hyperlink r:id="rId147" ref="H48"/>
    <hyperlink r:id="rId148" ref="C49"/>
    <hyperlink r:id="rId149" ref="E49"/>
    <hyperlink r:id="rId150" ref="G49"/>
    <hyperlink r:id="rId151" ref="H49"/>
    <hyperlink r:id="rId152" ref="C50"/>
    <hyperlink r:id="rId153" ref="E50"/>
    <hyperlink r:id="rId154" ref="G50"/>
    <hyperlink r:id="rId155" ref="H50"/>
    <hyperlink r:id="rId156" ref="C51"/>
    <hyperlink r:id="rId157" location="slide=id.g25a4797f419_0_94" ref="D51"/>
    <hyperlink r:id="rId158" ref="E51"/>
    <hyperlink r:id="rId159" ref="F51"/>
    <hyperlink r:id="rId160" ref="G51"/>
    <hyperlink r:id="rId161" ref="H51"/>
    <hyperlink r:id="rId162" ref="C52"/>
    <hyperlink r:id="rId163" ref="G52"/>
    <hyperlink r:id="rId164" ref="H52"/>
    <hyperlink r:id="rId165" ref="C53"/>
    <hyperlink r:id="rId166" ref="E53"/>
    <hyperlink r:id="rId167" ref="F53"/>
    <hyperlink r:id="rId168" ref="G53"/>
    <hyperlink r:id="rId169" ref="H53"/>
    <hyperlink r:id="rId170" ref="C54"/>
    <hyperlink r:id="rId171" ref="G54"/>
    <hyperlink r:id="rId172" ref="H54"/>
    <hyperlink r:id="rId173" ref="C55"/>
    <hyperlink r:id="rId174" ref="F55"/>
    <hyperlink r:id="rId175" ref="G55"/>
    <hyperlink r:id="rId176" ref="H55"/>
    <hyperlink r:id="rId177" ref="C56"/>
    <hyperlink r:id="rId178" ref="E56"/>
    <hyperlink r:id="rId179" ref="G56"/>
    <hyperlink r:id="rId180" ref="H56"/>
    <hyperlink r:id="rId181" ref="C57"/>
    <hyperlink r:id="rId182" ref="F57"/>
    <hyperlink r:id="rId183" ref="G57"/>
    <hyperlink r:id="rId184" ref="H57"/>
    <hyperlink r:id="rId185" ref="C58"/>
    <hyperlink r:id="rId186" ref="E58"/>
    <hyperlink r:id="rId187" ref="F58"/>
    <hyperlink r:id="rId188" ref="G58"/>
    <hyperlink r:id="rId189" ref="H58"/>
    <hyperlink r:id="rId190" ref="C59"/>
    <hyperlink r:id="rId191" ref="E59"/>
    <hyperlink r:id="rId192" ref="G59"/>
    <hyperlink r:id="rId193" ref="H59"/>
    <hyperlink r:id="rId194" ref="C60"/>
    <hyperlink r:id="rId195" ref="D60"/>
    <hyperlink r:id="rId196" ref="F60"/>
    <hyperlink r:id="rId197" ref="G60"/>
    <hyperlink r:id="rId198" ref="H60"/>
    <hyperlink r:id="rId199" ref="C61"/>
    <hyperlink r:id="rId200" location="/publishing" ref="D61"/>
    <hyperlink r:id="rId201" ref="E61"/>
    <hyperlink r:id="rId202" ref="F61"/>
    <hyperlink r:id="rId203" ref="G61"/>
    <hyperlink r:id="rId204" ref="H61"/>
    <hyperlink r:id="rId205" ref="C62"/>
    <hyperlink r:id="rId206" ref="D62"/>
    <hyperlink r:id="rId207" ref="G62"/>
    <hyperlink r:id="rId208" ref="H62"/>
    <hyperlink r:id="rId209" ref="C63"/>
    <hyperlink r:id="rId210" ref="E63"/>
    <hyperlink r:id="rId211" ref="F63"/>
    <hyperlink r:id="rId212" ref="G63"/>
    <hyperlink r:id="rId213" ref="H63"/>
    <hyperlink r:id="rId214" ref="C64"/>
    <hyperlink r:id="rId215" ref="E64"/>
    <hyperlink r:id="rId216" ref="G64"/>
    <hyperlink r:id="rId217" ref="H64"/>
    <hyperlink r:id="rId218" ref="C65"/>
    <hyperlink r:id="rId219" ref="F65"/>
    <hyperlink r:id="rId220" ref="G65"/>
    <hyperlink r:id="rId221" ref="H65"/>
    <hyperlink r:id="rId222" ref="C66"/>
    <hyperlink r:id="rId223" ref="F66"/>
    <hyperlink r:id="rId224" ref="G66"/>
    <hyperlink r:id="rId225" ref="H66"/>
    <hyperlink r:id="rId226" ref="C67"/>
    <hyperlink r:id="rId227" ref="E67"/>
    <hyperlink r:id="rId228" ref="G67"/>
    <hyperlink r:id="rId229" ref="H67"/>
    <hyperlink r:id="rId230" ref="C68"/>
    <hyperlink r:id="rId231" ref="F68"/>
    <hyperlink r:id="rId232" ref="G68"/>
    <hyperlink r:id="rId233" ref="H68"/>
    <hyperlink r:id="rId234" ref="C69"/>
    <hyperlink r:id="rId235" ref="D69"/>
    <hyperlink r:id="rId236" ref="E69"/>
    <hyperlink r:id="rId237" ref="F69"/>
    <hyperlink r:id="rId238" ref="G69"/>
    <hyperlink r:id="rId239" ref="H69"/>
    <hyperlink r:id="rId240" ref="C70"/>
    <hyperlink r:id="rId241" ref="F70"/>
    <hyperlink r:id="rId242" ref="G70"/>
    <hyperlink r:id="rId243" ref="H70"/>
    <hyperlink r:id="rId244" ref="C71"/>
    <hyperlink r:id="rId245" ref="G71"/>
    <hyperlink r:id="rId246" ref="H71"/>
    <hyperlink r:id="rId247" ref="C72"/>
    <hyperlink r:id="rId248" ref="E72"/>
    <hyperlink r:id="rId249" ref="G72"/>
    <hyperlink r:id="rId250" ref="H72"/>
    <hyperlink r:id="rId251" ref="C73"/>
    <hyperlink r:id="rId252" ref="E73"/>
    <hyperlink r:id="rId253" ref="F73"/>
    <hyperlink r:id="rId254" ref="G73"/>
    <hyperlink r:id="rId255" ref="H73"/>
    <hyperlink r:id="rId256" ref="C74"/>
    <hyperlink r:id="rId257" ref="E74"/>
    <hyperlink r:id="rId258" ref="F74"/>
    <hyperlink r:id="rId259" ref="G74"/>
    <hyperlink r:id="rId260" ref="H74"/>
    <hyperlink r:id="rId261" ref="C75"/>
    <hyperlink r:id="rId262" ref="G75"/>
    <hyperlink r:id="rId263" ref="H75"/>
    <hyperlink r:id="rId264" ref="C76"/>
    <hyperlink r:id="rId265" ref="F76"/>
    <hyperlink r:id="rId266" ref="G76"/>
    <hyperlink r:id="rId267" ref="H76"/>
    <hyperlink r:id="rId268" ref="C77"/>
    <hyperlink r:id="rId269" ref="F77"/>
    <hyperlink r:id="rId270" ref="G77"/>
    <hyperlink r:id="rId271" ref="H77"/>
    <hyperlink r:id="rId272" ref="C78"/>
    <hyperlink r:id="rId273" ref="E78"/>
    <hyperlink r:id="rId274" ref="F78"/>
    <hyperlink r:id="rId275" ref="G78"/>
    <hyperlink r:id="rId276" ref="H78"/>
    <hyperlink r:id="rId277" ref="C79"/>
    <hyperlink r:id="rId278" ref="F79"/>
    <hyperlink r:id="rId279" ref="G79"/>
    <hyperlink r:id="rId280" ref="H79"/>
    <hyperlink r:id="rId281" ref="C80"/>
    <hyperlink r:id="rId282" ref="F80"/>
    <hyperlink r:id="rId283" ref="G80"/>
    <hyperlink r:id="rId284" ref="H80"/>
    <hyperlink r:id="rId285" ref="C81"/>
    <hyperlink r:id="rId286" ref="D81"/>
    <hyperlink r:id="rId287" ref="F81"/>
    <hyperlink r:id="rId288" ref="G81"/>
    <hyperlink r:id="rId289" ref="H81"/>
    <hyperlink r:id="rId290" ref="C82"/>
    <hyperlink r:id="rId291" ref="E82"/>
    <hyperlink r:id="rId292" ref="F82"/>
    <hyperlink r:id="rId293" ref="G82"/>
    <hyperlink r:id="rId294" ref="H82"/>
    <hyperlink r:id="rId295" ref="C83"/>
    <hyperlink r:id="rId296" ref="E83"/>
    <hyperlink r:id="rId297" ref="G83"/>
    <hyperlink r:id="rId298" ref="H83"/>
    <hyperlink r:id="rId299" ref="C84"/>
    <hyperlink r:id="rId300" ref="E84"/>
    <hyperlink r:id="rId301" ref="F84"/>
    <hyperlink r:id="rId302" ref="G84"/>
    <hyperlink r:id="rId303" ref="H84"/>
    <hyperlink r:id="rId304" ref="C85"/>
    <hyperlink r:id="rId305" ref="D85"/>
    <hyperlink r:id="rId306" ref="G85"/>
    <hyperlink r:id="rId307" ref="H85"/>
    <hyperlink r:id="rId308" ref="C86"/>
    <hyperlink r:id="rId309" ref="D86"/>
    <hyperlink r:id="rId310" ref="E86"/>
    <hyperlink r:id="rId311" ref="F86"/>
    <hyperlink r:id="rId312" ref="G86"/>
    <hyperlink r:id="rId313" ref="H86"/>
    <hyperlink r:id="rId314" ref="C87"/>
    <hyperlink r:id="rId315" ref="F87"/>
    <hyperlink r:id="rId316" ref="G87"/>
    <hyperlink r:id="rId317" ref="H87"/>
    <hyperlink r:id="rId318" ref="C88"/>
    <hyperlink r:id="rId319" ref="E88"/>
    <hyperlink r:id="rId320" ref="F88"/>
    <hyperlink r:id="rId321" ref="G88"/>
    <hyperlink r:id="rId322" ref="H88"/>
    <hyperlink r:id="rId323" ref="C89"/>
    <hyperlink r:id="rId324" ref="F89"/>
    <hyperlink r:id="rId325" ref="G89"/>
    <hyperlink r:id="rId326" ref="H89"/>
    <hyperlink r:id="rId327" ref="C90"/>
    <hyperlink r:id="rId328" ref="F90"/>
    <hyperlink r:id="rId329" ref="G90"/>
    <hyperlink r:id="rId330" ref="H90"/>
    <hyperlink r:id="rId331" ref="C91"/>
    <hyperlink r:id="rId332" ref="F91"/>
    <hyperlink r:id="rId333" ref="G91"/>
    <hyperlink r:id="rId334" ref="H91"/>
    <hyperlink r:id="rId335" ref="C92"/>
    <hyperlink r:id="rId336" ref="D92"/>
    <hyperlink r:id="rId337" ref="F92"/>
    <hyperlink r:id="rId338" ref="G92"/>
    <hyperlink r:id="rId339" ref="H92"/>
    <hyperlink r:id="rId340" ref="C93"/>
    <hyperlink r:id="rId341" ref="D93"/>
    <hyperlink r:id="rId342" ref="E93"/>
    <hyperlink r:id="rId343" ref="G93"/>
    <hyperlink r:id="rId344" ref="H93"/>
    <hyperlink r:id="rId345" ref="C94"/>
    <hyperlink r:id="rId346" ref="G94"/>
    <hyperlink r:id="rId347" ref="H94"/>
    <hyperlink r:id="rId348" ref="C95"/>
    <hyperlink r:id="rId349" location="slide=id.g31a65f9177f_0_0" ref="D95"/>
    <hyperlink r:id="rId350" ref="F95"/>
    <hyperlink r:id="rId351" ref="G95"/>
    <hyperlink r:id="rId352" ref="H95"/>
    <hyperlink r:id="rId353" ref="C96"/>
    <hyperlink r:id="rId354" ref="D96"/>
    <hyperlink r:id="rId355" ref="F96"/>
    <hyperlink r:id="rId356" ref="G96"/>
    <hyperlink r:id="rId357" ref="H96"/>
    <hyperlink r:id="rId358" ref="C97"/>
    <hyperlink r:id="rId359" ref="F97"/>
    <hyperlink r:id="rId360" ref="G97"/>
    <hyperlink r:id="rId361" ref="H97"/>
    <hyperlink r:id="rId362" ref="C98"/>
    <hyperlink r:id="rId363" ref="F98"/>
    <hyperlink r:id="rId364" ref="G98"/>
    <hyperlink r:id="rId365" ref="H98"/>
    <hyperlink r:id="rId366" ref="C99"/>
    <hyperlink r:id="rId367" ref="D99"/>
    <hyperlink r:id="rId368" ref="G99"/>
    <hyperlink r:id="rId369" ref="H99"/>
    <hyperlink r:id="rId370" ref="C100"/>
    <hyperlink r:id="rId371" ref="E100"/>
    <hyperlink r:id="rId372" ref="F100"/>
    <hyperlink r:id="rId373" ref="G100"/>
    <hyperlink r:id="rId374" ref="H100"/>
    <hyperlink r:id="rId375" ref="C101"/>
    <hyperlink r:id="rId376" ref="D101"/>
    <hyperlink r:id="rId377" ref="F101"/>
    <hyperlink r:id="rId378" ref="G101"/>
    <hyperlink r:id="rId379" ref="H101"/>
    <hyperlink r:id="rId380" ref="C102"/>
    <hyperlink r:id="rId381" ref="F102"/>
    <hyperlink r:id="rId382" ref="G102"/>
    <hyperlink r:id="rId383" ref="H102"/>
    <hyperlink r:id="rId384" ref="C103"/>
    <hyperlink r:id="rId385" ref="E103"/>
    <hyperlink r:id="rId386" ref="F103"/>
    <hyperlink r:id="rId387" ref="G103"/>
    <hyperlink r:id="rId388" ref="H103"/>
    <hyperlink r:id="rId389" ref="C104"/>
    <hyperlink r:id="rId390" ref="E104"/>
    <hyperlink r:id="rId391" ref="F104"/>
    <hyperlink r:id="rId392" ref="G104"/>
    <hyperlink r:id="rId393" ref="H104"/>
    <hyperlink r:id="rId394" ref="C105"/>
    <hyperlink r:id="rId395" ref="F105"/>
    <hyperlink r:id="rId396" ref="G105"/>
    <hyperlink r:id="rId397" ref="H105"/>
    <hyperlink r:id="rId398" ref="C106"/>
    <hyperlink r:id="rId399" ref="D106"/>
    <hyperlink r:id="rId400" ref="G106"/>
    <hyperlink r:id="rId401" ref="H106"/>
    <hyperlink r:id="rId402" ref="C107"/>
    <hyperlink r:id="rId403" ref="E107"/>
    <hyperlink r:id="rId404" ref="F107"/>
    <hyperlink r:id="rId405" ref="G107"/>
    <hyperlink r:id="rId406" ref="H107"/>
    <hyperlink r:id="rId407" ref="C108"/>
    <hyperlink r:id="rId408" ref="G108"/>
    <hyperlink r:id="rId409" ref="H108"/>
    <hyperlink r:id="rId410" ref="C109"/>
    <hyperlink r:id="rId411" ref="E109"/>
    <hyperlink r:id="rId412" ref="G109"/>
    <hyperlink r:id="rId413" ref="H109"/>
    <hyperlink r:id="rId414" ref="C110"/>
    <hyperlink r:id="rId415" ref="G110"/>
    <hyperlink r:id="rId416" ref="H110"/>
    <hyperlink r:id="rId417" ref="C111"/>
    <hyperlink r:id="rId418" ref="F111"/>
    <hyperlink r:id="rId419" ref="G111"/>
    <hyperlink r:id="rId420" ref="H111"/>
    <hyperlink r:id="rId421" ref="C112"/>
    <hyperlink r:id="rId422" ref="F112"/>
    <hyperlink r:id="rId423" ref="G112"/>
    <hyperlink r:id="rId424" ref="H112"/>
    <hyperlink r:id="rId425" ref="C113"/>
    <hyperlink r:id="rId426" ref="E113"/>
    <hyperlink r:id="rId427" ref="F113"/>
    <hyperlink r:id="rId428" ref="G113"/>
    <hyperlink r:id="rId429" ref="H113"/>
    <hyperlink r:id="rId430" ref="C114"/>
    <hyperlink r:id="rId431" ref="F114"/>
    <hyperlink r:id="rId432" ref="G114"/>
    <hyperlink r:id="rId433" ref="H114"/>
    <hyperlink r:id="rId434" ref="C115"/>
    <hyperlink r:id="rId435" ref="E115"/>
    <hyperlink r:id="rId436" ref="F115"/>
    <hyperlink r:id="rId437" ref="G115"/>
    <hyperlink r:id="rId438" ref="H115"/>
    <hyperlink r:id="rId439" ref="C116"/>
    <hyperlink r:id="rId440" ref="D116"/>
    <hyperlink r:id="rId441" ref="E116"/>
    <hyperlink r:id="rId442" ref="F116"/>
    <hyperlink r:id="rId443" ref="G116"/>
    <hyperlink r:id="rId444" ref="H116"/>
    <hyperlink r:id="rId445" ref="C117"/>
    <hyperlink r:id="rId446" ref="F117"/>
    <hyperlink r:id="rId447" ref="G117"/>
    <hyperlink r:id="rId448" ref="H117"/>
    <hyperlink r:id="rId449" ref="C118"/>
    <hyperlink r:id="rId450" ref="E118"/>
    <hyperlink r:id="rId451" ref="G118"/>
    <hyperlink r:id="rId452" ref="H118"/>
    <hyperlink r:id="rId453" ref="C119"/>
    <hyperlink r:id="rId454" ref="E119"/>
    <hyperlink r:id="rId455" ref="F119"/>
    <hyperlink r:id="rId456" ref="G119"/>
    <hyperlink r:id="rId457" ref="H119"/>
    <hyperlink r:id="rId458" ref="C120"/>
    <hyperlink r:id="rId459" ref="E120"/>
    <hyperlink r:id="rId460" ref="F120"/>
    <hyperlink r:id="rId461" ref="G120"/>
    <hyperlink r:id="rId462" ref="H120"/>
    <hyperlink r:id="rId463" ref="C121"/>
    <hyperlink r:id="rId464" ref="E121"/>
    <hyperlink r:id="rId465" ref="F121"/>
    <hyperlink r:id="rId466" ref="G121"/>
    <hyperlink r:id="rId467" ref="H121"/>
    <hyperlink r:id="rId468" ref="C122"/>
    <hyperlink r:id="rId469" ref="G122"/>
    <hyperlink r:id="rId470" ref="H122"/>
    <hyperlink r:id="rId471" ref="C123"/>
    <hyperlink r:id="rId472" ref="E123"/>
    <hyperlink r:id="rId473" ref="F123"/>
    <hyperlink r:id="rId474" ref="G123"/>
    <hyperlink r:id="rId475" ref="H123"/>
    <hyperlink r:id="rId476" ref="C124"/>
    <hyperlink r:id="rId477" ref="F124"/>
    <hyperlink r:id="rId478" ref="G124"/>
    <hyperlink r:id="rId479" ref="H124"/>
    <hyperlink r:id="rId480" ref="C125"/>
    <hyperlink r:id="rId481" ref="G125"/>
    <hyperlink r:id="rId482" ref="C126"/>
    <hyperlink r:id="rId483" ref="G126"/>
    <hyperlink r:id="rId484" ref="H126"/>
    <hyperlink r:id="rId485" ref="C127"/>
    <hyperlink r:id="rId486" ref="F127"/>
    <hyperlink r:id="rId487" ref="G127"/>
    <hyperlink r:id="rId488" ref="H127"/>
    <hyperlink r:id="rId489" ref="C128"/>
    <hyperlink r:id="rId490" ref="F128"/>
    <hyperlink r:id="rId491" ref="G128"/>
    <hyperlink r:id="rId492" ref="H128"/>
    <hyperlink r:id="rId493" ref="C129"/>
    <hyperlink r:id="rId494" ref="F129"/>
    <hyperlink r:id="rId495" ref="G129"/>
    <hyperlink r:id="rId496" ref="H129"/>
    <hyperlink r:id="rId497" ref="C130"/>
    <hyperlink r:id="rId498" ref="E130"/>
    <hyperlink r:id="rId499" ref="G130"/>
    <hyperlink r:id="rId500" ref="H130"/>
    <hyperlink r:id="rId501" ref="C131"/>
    <hyperlink r:id="rId502" ref="E131"/>
    <hyperlink r:id="rId503" ref="F131"/>
    <hyperlink r:id="rId504" ref="G131"/>
    <hyperlink r:id="rId505" ref="H131"/>
    <hyperlink r:id="rId506" ref="C132"/>
    <hyperlink r:id="rId507" ref="D132"/>
    <hyperlink r:id="rId508" ref="E132"/>
    <hyperlink r:id="rId509" ref="F132"/>
    <hyperlink r:id="rId510" ref="G132"/>
    <hyperlink r:id="rId511" ref="H132"/>
    <hyperlink r:id="rId512" ref="C133"/>
    <hyperlink r:id="rId513" ref="G133"/>
    <hyperlink r:id="rId514" ref="H133"/>
    <hyperlink r:id="rId515" ref="C134"/>
    <hyperlink r:id="rId516" ref="G134"/>
    <hyperlink r:id="rId517" ref="H134"/>
    <hyperlink r:id="rId518" ref="C135"/>
    <hyperlink r:id="rId519" ref="F135"/>
    <hyperlink r:id="rId520" ref="G135"/>
    <hyperlink r:id="rId521" ref="H135"/>
    <hyperlink r:id="rId522" ref="C136"/>
    <hyperlink r:id="rId523" ref="G136"/>
    <hyperlink r:id="rId524" ref="H136"/>
    <hyperlink r:id="rId525" ref="C137"/>
    <hyperlink r:id="rId526" ref="F137"/>
    <hyperlink r:id="rId527" ref="G137"/>
    <hyperlink r:id="rId528" ref="H137"/>
    <hyperlink r:id="rId529" ref="C138"/>
    <hyperlink r:id="rId530" ref="D138"/>
    <hyperlink r:id="rId531" ref="G138"/>
    <hyperlink r:id="rId532" ref="H138"/>
    <hyperlink r:id="rId533" ref="C139"/>
    <hyperlink r:id="rId534" ref="E139"/>
    <hyperlink r:id="rId535" ref="F139"/>
    <hyperlink r:id="rId536" ref="G139"/>
    <hyperlink r:id="rId537" ref="H139"/>
    <hyperlink r:id="rId538" ref="C140"/>
    <hyperlink r:id="rId539" ref="D140"/>
    <hyperlink r:id="rId540" ref="G140"/>
    <hyperlink r:id="rId541" ref="H140"/>
    <hyperlink r:id="rId542" ref="C141"/>
    <hyperlink r:id="rId543" ref="F141"/>
    <hyperlink r:id="rId544" ref="G141"/>
    <hyperlink r:id="rId545" ref="H141"/>
    <hyperlink r:id="rId546" ref="C142"/>
    <hyperlink r:id="rId547" ref="E142"/>
    <hyperlink r:id="rId548" ref="F142"/>
    <hyperlink r:id="rId549" ref="G142"/>
    <hyperlink r:id="rId550" ref="H142"/>
    <hyperlink r:id="rId551" ref="C143"/>
    <hyperlink r:id="rId552" ref="E143"/>
    <hyperlink r:id="rId553" ref="G143"/>
    <hyperlink r:id="rId554" ref="H143"/>
    <hyperlink r:id="rId555" ref="C144"/>
    <hyperlink r:id="rId556" ref="E144"/>
    <hyperlink r:id="rId557" ref="G144"/>
    <hyperlink r:id="rId558" ref="H144"/>
    <hyperlink r:id="rId559" ref="C145"/>
    <hyperlink r:id="rId560" ref="D145"/>
    <hyperlink r:id="rId561" ref="F145"/>
    <hyperlink r:id="rId562" ref="G145"/>
    <hyperlink r:id="rId563" ref="H145"/>
    <hyperlink r:id="rId564" ref="C146"/>
    <hyperlink r:id="rId565" ref="F146"/>
    <hyperlink r:id="rId566" ref="G146"/>
    <hyperlink r:id="rId567" ref="H146"/>
    <hyperlink r:id="rId568" ref="C147"/>
    <hyperlink r:id="rId569" ref="F147"/>
    <hyperlink r:id="rId570" ref="G147"/>
    <hyperlink r:id="rId571" ref="H147"/>
    <hyperlink r:id="rId572" ref="A148"/>
    <hyperlink r:id="rId573" ref="C148"/>
    <hyperlink r:id="rId574" ref="E148"/>
    <hyperlink r:id="rId575" ref="G148"/>
    <hyperlink r:id="rId576" ref="H148"/>
    <hyperlink r:id="rId577" ref="C149"/>
    <hyperlink r:id="rId578" ref="G149"/>
    <hyperlink r:id="rId579" ref="H149"/>
    <hyperlink r:id="rId580" ref="C150"/>
    <hyperlink r:id="rId581" ref="G150"/>
    <hyperlink r:id="rId582" ref="H150"/>
    <hyperlink r:id="rId583" ref="C151"/>
    <hyperlink r:id="rId584" ref="G151"/>
    <hyperlink r:id="rId585" ref="H151"/>
    <hyperlink r:id="rId586" ref="C152"/>
    <hyperlink r:id="rId587" ref="F152"/>
    <hyperlink r:id="rId588" ref="G152"/>
    <hyperlink r:id="rId589" ref="H152"/>
    <hyperlink r:id="rId590" ref="C153"/>
    <hyperlink r:id="rId591" location="slide=id.p" ref="D153"/>
    <hyperlink r:id="rId592" ref="F153"/>
    <hyperlink r:id="rId593" ref="G153"/>
    <hyperlink r:id="rId594" ref="H153"/>
    <hyperlink r:id="rId595" ref="C154"/>
    <hyperlink r:id="rId596" ref="F154"/>
    <hyperlink r:id="rId597" ref="G154"/>
    <hyperlink r:id="rId598" ref="H154"/>
    <hyperlink r:id="rId599" ref="C155"/>
    <hyperlink r:id="rId600" ref="G155"/>
    <hyperlink r:id="rId601" ref="H155"/>
    <hyperlink r:id="rId602" ref="C156"/>
    <hyperlink r:id="rId603" ref="G156"/>
    <hyperlink r:id="rId604" ref="H156"/>
    <hyperlink r:id="rId605" ref="C157"/>
    <hyperlink r:id="rId606" ref="F157"/>
    <hyperlink r:id="rId607" ref="G157"/>
    <hyperlink r:id="rId608" ref="H157"/>
    <hyperlink r:id="rId609" ref="C158"/>
    <hyperlink r:id="rId610" ref="E158"/>
    <hyperlink r:id="rId611" ref="G158"/>
    <hyperlink r:id="rId612" ref="H158"/>
    <hyperlink r:id="rId613" ref="C159"/>
    <hyperlink r:id="rId614" ref="G159"/>
    <hyperlink r:id="rId615" ref="H159"/>
    <hyperlink r:id="rId616" ref="C160"/>
    <hyperlink r:id="rId617" ref="E160"/>
    <hyperlink r:id="rId618" ref="G160"/>
    <hyperlink r:id="rId619" ref="H160"/>
    <hyperlink r:id="rId620" ref="C161"/>
    <hyperlink r:id="rId621" ref="E161"/>
    <hyperlink r:id="rId622" ref="F161"/>
    <hyperlink r:id="rId623" ref="G161"/>
    <hyperlink r:id="rId624" ref="H161"/>
    <hyperlink r:id="rId625" ref="C162"/>
    <hyperlink r:id="rId626" ref="E162"/>
    <hyperlink r:id="rId627" ref="G162"/>
    <hyperlink r:id="rId628" ref="H162"/>
    <hyperlink r:id="rId629" ref="C163"/>
    <hyperlink r:id="rId630" ref="E163"/>
    <hyperlink r:id="rId631" ref="F163"/>
    <hyperlink r:id="rId632" ref="G163"/>
    <hyperlink r:id="rId633" ref="H163"/>
    <hyperlink r:id="rId634" ref="C164"/>
    <hyperlink r:id="rId635" ref="C165"/>
    <hyperlink r:id="rId636" ref="G165"/>
    <hyperlink r:id="rId637" ref="H165"/>
    <hyperlink r:id="rId638" ref="C166"/>
    <hyperlink r:id="rId639" ref="E166"/>
    <hyperlink r:id="rId640" ref="F166"/>
    <hyperlink r:id="rId641" ref="G166"/>
    <hyperlink r:id="rId642" ref="H166"/>
    <hyperlink r:id="rId643" ref="C167"/>
    <hyperlink r:id="rId644" ref="F167"/>
    <hyperlink r:id="rId645" ref="G167"/>
    <hyperlink r:id="rId646" ref="H167"/>
    <hyperlink r:id="rId647" ref="C168"/>
    <hyperlink r:id="rId648" ref="D168"/>
    <hyperlink r:id="rId649" ref="F168"/>
    <hyperlink r:id="rId650" ref="C169"/>
    <hyperlink r:id="rId651" ref="D169"/>
    <hyperlink r:id="rId652" ref="F169"/>
    <hyperlink r:id="rId653" ref="G169"/>
    <hyperlink r:id="rId654" ref="H169"/>
    <hyperlink r:id="rId655" ref="C170"/>
    <hyperlink r:id="rId656" ref="F170"/>
    <hyperlink r:id="rId657" ref="G170"/>
    <hyperlink r:id="rId658" ref="H170"/>
    <hyperlink r:id="rId659" ref="C171"/>
    <hyperlink r:id="rId660" ref="E171"/>
    <hyperlink r:id="rId661" ref="F171"/>
    <hyperlink r:id="rId662" ref="G171"/>
    <hyperlink r:id="rId663" ref="H171"/>
    <hyperlink r:id="rId664" ref="C172"/>
    <hyperlink r:id="rId665" ref="F172"/>
    <hyperlink r:id="rId666" ref="G172"/>
    <hyperlink r:id="rId667" ref="H172"/>
    <hyperlink r:id="rId668" ref="C173"/>
    <hyperlink r:id="rId669" ref="F173"/>
    <hyperlink r:id="rId670" ref="C174"/>
    <hyperlink r:id="rId671" ref="F174"/>
    <hyperlink r:id="rId672" ref="C175"/>
    <hyperlink r:id="rId673" ref="C176"/>
    <hyperlink r:id="rId674" ref="D176"/>
  </hyperlinks>
  <drawing r:id="rId67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88"/>
    <col customWidth="1" min="2" max="2" width="15.13"/>
    <col customWidth="1" min="3" max="3" width="16.25"/>
    <col customWidth="1" min="5" max="5" width="19.25"/>
    <col customWidth="1" min="6" max="6" width="14.0"/>
    <col customWidth="1" min="7" max="7" width="15.38"/>
    <col customWidth="1" min="8" max="8" width="14.13"/>
    <col customWidth="1" min="9" max="9" width="7.63"/>
    <col customWidth="1" min="10" max="12" width="8.38"/>
    <col customWidth="1" min="13" max="13" width="7.88"/>
    <col customWidth="1" min="14" max="14" width="8.25"/>
    <col customWidth="1" min="15" max="15" width="7.5"/>
    <col customWidth="1" min="16" max="16" width="11.0"/>
    <col customWidth="1" min="17" max="17" width="12.13"/>
    <col customWidth="1" min="18" max="18" width="10.5"/>
    <col customWidth="1" min="19" max="19" width="57.13"/>
    <col customWidth="1" min="20" max="20" width="25.75"/>
    <col customWidth="1" min="21" max="21" width="94.63"/>
  </cols>
  <sheetData>
    <row r="1" ht="29.25" customHeight="1">
      <c r="A1" s="6" t="s">
        <v>3</v>
      </c>
      <c r="B1" s="8" t="s">
        <v>5</v>
      </c>
      <c r="C1" s="8" t="s">
        <v>7</v>
      </c>
      <c r="D1" s="6" t="s">
        <v>8</v>
      </c>
      <c r="E1" s="8" t="s">
        <v>10</v>
      </c>
      <c r="F1" s="6" t="s">
        <v>11</v>
      </c>
      <c r="G1" s="8" t="s">
        <v>12</v>
      </c>
      <c r="H1" s="8" t="s">
        <v>14</v>
      </c>
      <c r="I1" s="10" t="s">
        <v>16</v>
      </c>
      <c r="J1" s="12" t="s">
        <v>17</v>
      </c>
      <c r="K1" s="12" t="s">
        <v>21</v>
      </c>
      <c r="L1" s="12" t="s">
        <v>22</v>
      </c>
      <c r="M1" s="12" t="s">
        <v>23</v>
      </c>
      <c r="N1" s="12" t="s">
        <v>24</v>
      </c>
      <c r="O1" s="12" t="s">
        <v>26</v>
      </c>
      <c r="P1" s="15" t="s">
        <v>27</v>
      </c>
      <c r="Q1" s="15" t="s">
        <v>28</v>
      </c>
      <c r="R1" s="15" t="s">
        <v>29</v>
      </c>
      <c r="S1" s="8" t="s">
        <v>30</v>
      </c>
      <c r="T1" s="8" t="s">
        <v>31</v>
      </c>
      <c r="U1" s="16" t="s">
        <v>32</v>
      </c>
    </row>
    <row r="2">
      <c r="A2" s="17"/>
      <c r="B2" s="18"/>
      <c r="C2" s="21"/>
      <c r="D2" s="22"/>
      <c r="E2" s="22"/>
      <c r="F2" s="22"/>
      <c r="G2" s="22"/>
      <c r="H2" s="22"/>
      <c r="I2" s="24"/>
      <c r="J2" s="24"/>
      <c r="K2" s="24"/>
      <c r="L2" s="24"/>
      <c r="M2" s="26"/>
      <c r="N2" s="26"/>
      <c r="O2" s="26"/>
      <c r="P2" s="27"/>
      <c r="Q2" s="27"/>
      <c r="R2" s="27"/>
      <c r="S2" s="22"/>
      <c r="T2" s="22"/>
      <c r="U2" s="28"/>
    </row>
    <row r="3">
      <c r="A3" s="30" t="s">
        <v>39</v>
      </c>
      <c r="B3" s="32"/>
      <c r="C3" s="33"/>
      <c r="D3" s="32"/>
      <c r="E3" s="32"/>
      <c r="F3" s="32"/>
      <c r="G3" s="32"/>
      <c r="H3" s="32"/>
      <c r="I3" s="34"/>
      <c r="J3" s="34"/>
      <c r="K3" s="34"/>
      <c r="L3" s="34"/>
      <c r="M3" s="35"/>
      <c r="N3" s="35"/>
      <c r="O3" s="35"/>
      <c r="P3" s="36"/>
      <c r="Q3" s="36"/>
      <c r="R3" s="36"/>
      <c r="S3" s="32"/>
      <c r="T3" s="32"/>
      <c r="U3" s="38"/>
    </row>
    <row r="4">
      <c r="A4" s="39"/>
      <c r="B4" s="40"/>
      <c r="C4" s="41"/>
      <c r="D4" s="41"/>
      <c r="E4" s="41"/>
      <c r="F4" s="41"/>
      <c r="G4" s="41"/>
      <c r="H4" s="42"/>
      <c r="I4" s="43"/>
      <c r="J4" s="43"/>
      <c r="K4" s="43"/>
      <c r="L4" s="43"/>
      <c r="M4" s="44"/>
      <c r="N4" s="44"/>
      <c r="O4" s="44"/>
      <c r="P4" s="42"/>
      <c r="Q4" s="27"/>
      <c r="R4" s="27"/>
      <c r="S4" s="41"/>
      <c r="T4" s="41"/>
      <c r="U4" s="28"/>
    </row>
    <row r="5">
      <c r="A5" s="49" t="s">
        <v>56</v>
      </c>
      <c r="B5" s="40" t="s">
        <v>60</v>
      </c>
      <c r="C5" s="52" t="s">
        <v>61</v>
      </c>
      <c r="D5" s="55" t="s">
        <v>88</v>
      </c>
      <c r="E5" s="55" t="s">
        <v>88</v>
      </c>
      <c r="F5" s="56" t="s">
        <v>106</v>
      </c>
      <c r="G5" s="59" t="s">
        <v>109</v>
      </c>
      <c r="H5" s="61" t="s">
        <v>124</v>
      </c>
      <c r="I5" s="62" t="s">
        <v>136</v>
      </c>
      <c r="J5" s="63" t="s">
        <v>137</v>
      </c>
      <c r="K5" s="64" t="s">
        <v>138</v>
      </c>
      <c r="L5" s="64" t="s">
        <v>139</v>
      </c>
      <c r="M5" s="65">
        <v>1.076734202E9</v>
      </c>
      <c r="N5" s="65">
        <v>1.3983561064935E7</v>
      </c>
      <c r="O5" s="65">
        <v>1324446.0</v>
      </c>
      <c r="P5" s="66" t="s">
        <v>140</v>
      </c>
      <c r="Q5" s="64" t="s">
        <v>141</v>
      </c>
      <c r="R5" s="68" t="s">
        <v>116</v>
      </c>
      <c r="S5" s="25" t="s">
        <v>144</v>
      </c>
      <c r="T5" s="40" t="s">
        <v>145</v>
      </c>
      <c r="U5" s="69" t="s">
        <v>147</v>
      </c>
      <c r="V5" s="27"/>
    </row>
    <row r="6">
      <c r="A6" s="70" t="s">
        <v>151</v>
      </c>
      <c r="B6" s="40" t="s">
        <v>60</v>
      </c>
      <c r="C6" s="52" t="s">
        <v>152</v>
      </c>
      <c r="D6" s="40" t="s">
        <v>153</v>
      </c>
      <c r="E6" s="52" t="s">
        <v>154</v>
      </c>
      <c r="F6" s="59" t="s">
        <v>155</v>
      </c>
      <c r="G6" s="52" t="s">
        <v>156</v>
      </c>
      <c r="H6" s="71" t="s">
        <v>157</v>
      </c>
      <c r="I6" s="72" t="s">
        <v>158</v>
      </c>
      <c r="J6" s="63" t="s">
        <v>159</v>
      </c>
      <c r="K6" s="64" t="s">
        <v>160</v>
      </c>
      <c r="L6" s="64" t="s">
        <v>139</v>
      </c>
      <c r="M6" s="65">
        <v>6.24819942E8</v>
      </c>
      <c r="N6" s="65">
        <v>3.28852601052631E7</v>
      </c>
      <c r="O6" s="65">
        <v>6214371.0</v>
      </c>
      <c r="P6" s="66" t="s">
        <v>140</v>
      </c>
      <c r="Q6" s="64" t="s">
        <v>141</v>
      </c>
      <c r="R6" s="68" t="s">
        <v>116</v>
      </c>
      <c r="S6" s="40" t="s">
        <v>161</v>
      </c>
      <c r="T6" s="73" t="s">
        <v>162</v>
      </c>
      <c r="U6" s="74" t="s">
        <v>163</v>
      </c>
    </row>
    <row r="7">
      <c r="A7" s="70" t="s">
        <v>164</v>
      </c>
      <c r="B7" s="40" t="s">
        <v>165</v>
      </c>
      <c r="C7" s="52" t="s">
        <v>166</v>
      </c>
      <c r="D7" s="40" t="s">
        <v>153</v>
      </c>
      <c r="E7" s="40" t="s">
        <v>167</v>
      </c>
      <c r="F7" s="75" t="s">
        <v>170</v>
      </c>
      <c r="G7" s="52" t="s">
        <v>169</v>
      </c>
      <c r="H7" s="71" t="s">
        <v>171</v>
      </c>
      <c r="I7" s="62" t="s">
        <v>172</v>
      </c>
      <c r="J7" s="63" t="s">
        <v>173</v>
      </c>
      <c r="K7" s="64" t="s">
        <v>174</v>
      </c>
      <c r="L7" s="64" t="s">
        <v>139</v>
      </c>
      <c r="M7" s="65">
        <v>6.97585952E8</v>
      </c>
      <c r="N7" s="65">
        <v>9825154.25352112</v>
      </c>
      <c r="O7" s="65">
        <v>2159644.0</v>
      </c>
      <c r="P7" s="66" t="s">
        <v>140</v>
      </c>
      <c r="Q7" s="64" t="s">
        <v>141</v>
      </c>
      <c r="R7" s="68" t="s">
        <v>116</v>
      </c>
      <c r="S7" s="40" t="s">
        <v>175</v>
      </c>
      <c r="T7" s="40" t="s">
        <v>176</v>
      </c>
      <c r="U7" s="76" t="s">
        <v>177</v>
      </c>
    </row>
    <row r="8">
      <c r="A8" s="70" t="s">
        <v>178</v>
      </c>
      <c r="B8" s="77" t="s">
        <v>179</v>
      </c>
      <c r="C8" s="52" t="s">
        <v>180</v>
      </c>
      <c r="D8" s="55" t="s">
        <v>181</v>
      </c>
      <c r="E8" s="40" t="s">
        <v>182</v>
      </c>
      <c r="F8" s="59" t="s">
        <v>183</v>
      </c>
      <c r="G8" s="55" t="s">
        <v>184</v>
      </c>
      <c r="H8" s="71" t="s">
        <v>185</v>
      </c>
      <c r="I8" s="78" t="s">
        <v>186</v>
      </c>
      <c r="J8" s="62">
        <v>30.0</v>
      </c>
      <c r="K8" s="64" t="s">
        <v>187</v>
      </c>
      <c r="L8" s="78" t="s">
        <v>188</v>
      </c>
      <c r="M8" s="79">
        <v>3.05981569E8</v>
      </c>
      <c r="N8" s="65">
        <v>1.01993856333333E7</v>
      </c>
      <c r="O8" s="80">
        <v>5401521.5</v>
      </c>
      <c r="P8" s="65" t="s">
        <v>189</v>
      </c>
      <c r="Q8" s="74" t="s">
        <v>141</v>
      </c>
      <c r="R8" s="68" t="s">
        <v>116</v>
      </c>
      <c r="S8" s="40" t="s">
        <v>190</v>
      </c>
      <c r="T8" s="73" t="s">
        <v>191</v>
      </c>
      <c r="U8" s="81" t="s">
        <v>192</v>
      </c>
    </row>
    <row r="9" ht="16.5" customHeight="1">
      <c r="A9" s="82" t="s">
        <v>193</v>
      </c>
      <c r="B9" s="83" t="s">
        <v>194</v>
      </c>
      <c r="C9" s="84" t="s">
        <v>195</v>
      </c>
      <c r="D9" s="85" t="s">
        <v>153</v>
      </c>
      <c r="E9" s="52" t="s">
        <v>196</v>
      </c>
      <c r="F9" s="86" t="s">
        <v>197</v>
      </c>
      <c r="G9" s="52" t="s">
        <v>198</v>
      </c>
      <c r="H9" s="71" t="s">
        <v>199</v>
      </c>
      <c r="I9" s="72" t="s">
        <v>200</v>
      </c>
      <c r="J9" s="87" t="s">
        <v>201</v>
      </c>
      <c r="K9" s="64" t="s">
        <v>202</v>
      </c>
      <c r="L9" s="64" t="s">
        <v>203</v>
      </c>
      <c r="M9" s="80">
        <v>2.83815734E8</v>
      </c>
      <c r="N9" s="80">
        <v>2.02725524285714E7</v>
      </c>
      <c r="O9" s="80">
        <v>2442232.0</v>
      </c>
      <c r="P9" s="66" t="s">
        <v>189</v>
      </c>
      <c r="Q9" s="64" t="s">
        <v>141</v>
      </c>
      <c r="R9" s="64" t="s">
        <v>116</v>
      </c>
      <c r="S9" s="40" t="s">
        <v>204</v>
      </c>
      <c r="T9" s="40" t="s">
        <v>205</v>
      </c>
      <c r="U9" s="76" t="s">
        <v>206</v>
      </c>
      <c r="V9" s="27"/>
      <c r="W9" s="27"/>
      <c r="X9" s="27"/>
      <c r="Y9" s="27"/>
      <c r="Z9" s="27"/>
      <c r="AA9" s="27"/>
      <c r="AB9" s="27"/>
      <c r="AC9" s="27"/>
      <c r="AD9" s="27"/>
      <c r="AE9" s="27"/>
      <c r="AF9" s="27"/>
      <c r="AG9" s="27"/>
      <c r="AH9" s="27"/>
      <c r="AI9" s="27"/>
      <c r="AJ9" s="27"/>
      <c r="AK9" s="27"/>
      <c r="AL9" s="27"/>
      <c r="AM9" s="27"/>
      <c r="AN9" s="27"/>
    </row>
    <row r="10">
      <c r="A10" s="49" t="s">
        <v>207</v>
      </c>
      <c r="B10" s="25" t="s">
        <v>194</v>
      </c>
      <c r="C10" s="55" t="s">
        <v>208</v>
      </c>
      <c r="D10" s="40" t="s">
        <v>153</v>
      </c>
      <c r="E10" s="52" t="s">
        <v>209</v>
      </c>
      <c r="F10" s="59" t="s">
        <v>210</v>
      </c>
      <c r="G10" s="59" t="s">
        <v>211</v>
      </c>
      <c r="H10" s="61" t="s">
        <v>212</v>
      </c>
      <c r="I10" s="62" t="s">
        <v>213</v>
      </c>
      <c r="J10" s="62">
        <v>17.0</v>
      </c>
      <c r="K10" s="64" t="s">
        <v>214</v>
      </c>
      <c r="L10" s="64" t="s">
        <v>188</v>
      </c>
      <c r="M10" s="65">
        <v>1.71156347E8</v>
      </c>
      <c r="N10" s="65">
        <v>1.00680204117647E7</v>
      </c>
      <c r="O10" s="65">
        <v>2123509.0</v>
      </c>
      <c r="P10" s="65" t="s">
        <v>189</v>
      </c>
      <c r="Q10" s="64" t="s">
        <v>141</v>
      </c>
      <c r="R10" s="68" t="s">
        <v>120</v>
      </c>
      <c r="S10" s="77" t="s">
        <v>215</v>
      </c>
      <c r="T10" s="40" t="s">
        <v>216</v>
      </c>
      <c r="U10" s="76" t="s">
        <v>153</v>
      </c>
    </row>
    <row r="11">
      <c r="A11" s="88" t="s">
        <v>217</v>
      </c>
      <c r="B11" s="89" t="s">
        <v>218</v>
      </c>
      <c r="C11" s="52" t="s">
        <v>219</v>
      </c>
      <c r="D11" s="55" t="s">
        <v>220</v>
      </c>
      <c r="E11" s="52" t="s">
        <v>221</v>
      </c>
      <c r="F11" s="59" t="s">
        <v>222</v>
      </c>
      <c r="G11" s="52" t="s">
        <v>223</v>
      </c>
      <c r="H11" s="61" t="s">
        <v>224</v>
      </c>
      <c r="I11" s="62" t="s">
        <v>225</v>
      </c>
      <c r="J11" s="63" t="s">
        <v>226</v>
      </c>
      <c r="K11" s="64" t="s">
        <v>160</v>
      </c>
      <c r="L11" s="64" t="s">
        <v>139</v>
      </c>
      <c r="M11" s="65">
        <v>1.77143746E8</v>
      </c>
      <c r="N11" s="65">
        <v>8435416.47619047</v>
      </c>
      <c r="O11" s="65">
        <v>1914975.0</v>
      </c>
      <c r="P11" s="66" t="s">
        <v>189</v>
      </c>
      <c r="Q11" s="64" t="s">
        <v>141</v>
      </c>
      <c r="R11" s="68" t="s">
        <v>116</v>
      </c>
      <c r="S11" s="40" t="s">
        <v>227</v>
      </c>
      <c r="T11" s="40" t="s">
        <v>228</v>
      </c>
      <c r="U11" s="90" t="s">
        <v>229</v>
      </c>
    </row>
    <row r="12">
      <c r="A12" s="91" t="s">
        <v>230</v>
      </c>
      <c r="B12" s="92" t="s">
        <v>231</v>
      </c>
      <c r="C12" s="93" t="s">
        <v>232</v>
      </c>
      <c r="D12" s="93" t="s">
        <v>232</v>
      </c>
      <c r="E12" s="52" t="s">
        <v>233</v>
      </c>
      <c r="F12" s="93" t="s">
        <v>234</v>
      </c>
      <c r="G12" s="94" t="s">
        <v>235</v>
      </c>
      <c r="H12" s="93" t="s">
        <v>236</v>
      </c>
      <c r="I12" s="78" t="s">
        <v>237</v>
      </c>
      <c r="J12" s="63" t="s">
        <v>238</v>
      </c>
      <c r="K12" s="92" t="s">
        <v>174</v>
      </c>
      <c r="L12" s="92" t="s">
        <v>139</v>
      </c>
      <c r="M12" s="79">
        <v>1.031918797E9</v>
      </c>
      <c r="N12" s="79">
        <v>6788939.45394736</v>
      </c>
      <c r="O12" s="79">
        <v>1859443.0</v>
      </c>
      <c r="P12" s="95" t="s">
        <v>189</v>
      </c>
      <c r="Q12" s="74" t="s">
        <v>141</v>
      </c>
      <c r="R12" s="74" t="s">
        <v>116</v>
      </c>
      <c r="S12" s="73" t="s">
        <v>239</v>
      </c>
      <c r="T12" s="73" t="s">
        <v>240</v>
      </c>
      <c r="U12" s="74" t="s">
        <v>241</v>
      </c>
      <c r="V12" s="96"/>
    </row>
    <row r="13" ht="16.5" customHeight="1">
      <c r="A13" s="97" t="s">
        <v>242</v>
      </c>
      <c r="B13" s="40" t="s">
        <v>243</v>
      </c>
      <c r="C13" s="52" t="s">
        <v>244</v>
      </c>
      <c r="D13" s="40" t="s">
        <v>153</v>
      </c>
      <c r="E13" s="40" t="s">
        <v>245</v>
      </c>
      <c r="F13" s="86" t="s">
        <v>197</v>
      </c>
      <c r="G13" s="52" t="s">
        <v>244</v>
      </c>
      <c r="H13" s="98" t="s">
        <v>246</v>
      </c>
      <c r="I13" s="62" t="s">
        <v>247</v>
      </c>
      <c r="J13" s="62">
        <v>8.0</v>
      </c>
      <c r="K13" s="62" t="s">
        <v>248</v>
      </c>
      <c r="L13" s="62" t="s">
        <v>249</v>
      </c>
      <c r="M13" s="65">
        <v>1.35106292E8</v>
      </c>
      <c r="N13" s="65">
        <v>1.68882865E7</v>
      </c>
      <c r="O13" s="65">
        <v>6543390.5</v>
      </c>
      <c r="P13" s="64" t="s">
        <v>189</v>
      </c>
      <c r="Q13" s="64" t="s">
        <v>141</v>
      </c>
      <c r="R13" s="68" t="s">
        <v>197</v>
      </c>
      <c r="S13" s="40" t="s">
        <v>250</v>
      </c>
      <c r="T13" s="40" t="s">
        <v>251</v>
      </c>
      <c r="U13" s="76" t="s">
        <v>252</v>
      </c>
    </row>
    <row r="14">
      <c r="A14" s="99" t="s">
        <v>253</v>
      </c>
      <c r="B14" s="89" t="s">
        <v>254</v>
      </c>
      <c r="C14" s="71" t="s">
        <v>255</v>
      </c>
      <c r="D14" s="64" t="s">
        <v>153</v>
      </c>
      <c r="E14" s="61" t="s">
        <v>256</v>
      </c>
      <c r="F14" s="71" t="s">
        <v>257</v>
      </c>
      <c r="G14" s="71" t="s">
        <v>258</v>
      </c>
      <c r="H14" s="71" t="s">
        <v>259</v>
      </c>
      <c r="I14" s="62" t="s">
        <v>260</v>
      </c>
      <c r="J14" s="63" t="s">
        <v>261</v>
      </c>
      <c r="K14" s="64" t="s">
        <v>262</v>
      </c>
      <c r="L14" s="64" t="s">
        <v>249</v>
      </c>
      <c r="M14" s="65">
        <v>1.90625289E8</v>
      </c>
      <c r="N14" s="65">
        <v>2.3828161125E7</v>
      </c>
      <c r="O14" s="65">
        <v>1606915.5</v>
      </c>
      <c r="P14" s="66" t="s">
        <v>189</v>
      </c>
      <c r="Q14" s="64" t="s">
        <v>141</v>
      </c>
      <c r="R14" s="68" t="s">
        <v>116</v>
      </c>
      <c r="S14" s="64" t="s">
        <v>263</v>
      </c>
      <c r="T14" s="64" t="s">
        <v>264</v>
      </c>
      <c r="U14" s="90" t="s">
        <v>265</v>
      </c>
      <c r="V14" s="27"/>
      <c r="W14" s="27"/>
      <c r="X14" s="27"/>
      <c r="Y14" s="27"/>
      <c r="Z14" s="27"/>
      <c r="AA14" s="27"/>
      <c r="AB14" s="27"/>
      <c r="AC14" s="27"/>
      <c r="AD14" s="27"/>
      <c r="AE14" s="27"/>
      <c r="AF14" s="27"/>
      <c r="AG14" s="27"/>
      <c r="AH14" s="27"/>
      <c r="AI14" s="27"/>
      <c r="AJ14" s="27"/>
      <c r="AK14" s="27"/>
      <c r="AL14" s="27"/>
      <c r="AM14" s="27"/>
      <c r="AN14" s="27"/>
    </row>
    <row r="15">
      <c r="A15" s="100" t="s">
        <v>266</v>
      </c>
      <c r="B15" s="18" t="s">
        <v>267</v>
      </c>
      <c r="C15" s="55" t="s">
        <v>268</v>
      </c>
      <c r="D15" s="40" t="s">
        <v>153</v>
      </c>
      <c r="E15" s="40" t="s">
        <v>269</v>
      </c>
      <c r="F15" s="52" t="s">
        <v>270</v>
      </c>
      <c r="G15" s="52" t="s">
        <v>271</v>
      </c>
      <c r="H15" s="61" t="s">
        <v>272</v>
      </c>
      <c r="I15" s="62" t="s">
        <v>273</v>
      </c>
      <c r="J15" s="62">
        <v>32.0</v>
      </c>
      <c r="K15" s="64" t="s">
        <v>274</v>
      </c>
      <c r="L15" s="64" t="s">
        <v>188</v>
      </c>
      <c r="M15" s="65">
        <v>8.5214306E7</v>
      </c>
      <c r="N15" s="65">
        <v>2662947.0625</v>
      </c>
      <c r="O15" s="65">
        <v>1574380.0</v>
      </c>
      <c r="P15" s="65" t="s">
        <v>189</v>
      </c>
      <c r="Q15" s="64" t="s">
        <v>141</v>
      </c>
      <c r="R15" s="68" t="s">
        <v>116</v>
      </c>
      <c r="S15" s="40" t="s">
        <v>275</v>
      </c>
      <c r="T15" s="40" t="s">
        <v>276</v>
      </c>
      <c r="U15" s="76" t="s">
        <v>277</v>
      </c>
    </row>
    <row r="16">
      <c r="A16" s="99" t="s">
        <v>278</v>
      </c>
      <c r="B16" s="18" t="s">
        <v>194</v>
      </c>
      <c r="C16" s="101" t="s">
        <v>279</v>
      </c>
      <c r="D16" s="68" t="s">
        <v>153</v>
      </c>
      <c r="E16" s="102" t="s">
        <v>280</v>
      </c>
      <c r="F16" s="42"/>
      <c r="G16" s="101" t="s">
        <v>281</v>
      </c>
      <c r="H16" s="103" t="s">
        <v>282</v>
      </c>
      <c r="I16" s="62" t="s">
        <v>283</v>
      </c>
      <c r="J16" s="62">
        <v>11.0</v>
      </c>
      <c r="K16" s="64" t="s">
        <v>284</v>
      </c>
      <c r="L16" s="64" t="s">
        <v>285</v>
      </c>
      <c r="M16" s="65">
        <v>5.4522884E7</v>
      </c>
      <c r="N16" s="65">
        <v>4956625.81818181</v>
      </c>
      <c r="O16" s="65">
        <v>1452892.0</v>
      </c>
      <c r="P16" s="65" t="s">
        <v>189</v>
      </c>
      <c r="Q16" s="64" t="s">
        <v>141</v>
      </c>
      <c r="R16" s="68" t="s">
        <v>197</v>
      </c>
      <c r="S16" s="64" t="s">
        <v>286</v>
      </c>
      <c r="T16" s="68" t="s">
        <v>287</v>
      </c>
      <c r="U16" s="104"/>
      <c r="V16" s="27"/>
      <c r="W16" s="27"/>
      <c r="X16" s="27"/>
      <c r="Y16" s="27"/>
      <c r="Z16" s="27"/>
      <c r="AA16" s="27"/>
      <c r="AB16" s="27"/>
      <c r="AC16" s="27"/>
      <c r="AD16" s="27"/>
      <c r="AE16" s="27"/>
      <c r="AF16" s="27"/>
      <c r="AG16" s="27"/>
      <c r="AH16" s="27"/>
      <c r="AI16" s="27"/>
      <c r="AJ16" s="27"/>
      <c r="AK16" s="27"/>
      <c r="AL16" s="27"/>
      <c r="AM16" s="27"/>
      <c r="AN16" s="27"/>
    </row>
    <row r="17" ht="16.5" customHeight="1">
      <c r="A17" s="105" t="s">
        <v>288</v>
      </c>
      <c r="B17" s="106" t="s">
        <v>194</v>
      </c>
      <c r="C17" s="107" t="s">
        <v>289</v>
      </c>
      <c r="D17" s="108" t="s">
        <v>153</v>
      </c>
      <c r="E17" s="109" t="s">
        <v>290</v>
      </c>
      <c r="F17" s="110" t="s">
        <v>291</v>
      </c>
      <c r="G17" s="111" t="s">
        <v>292</v>
      </c>
      <c r="H17" s="109" t="s">
        <v>293</v>
      </c>
      <c r="I17" s="62" t="s">
        <v>294</v>
      </c>
      <c r="J17" s="63" t="s">
        <v>295</v>
      </c>
      <c r="K17" s="62" t="s">
        <v>296</v>
      </c>
      <c r="L17" s="62" t="s">
        <v>297</v>
      </c>
      <c r="M17" s="80">
        <v>5.9277141E7</v>
      </c>
      <c r="N17" s="80">
        <v>2279890.03846153</v>
      </c>
      <c r="O17" s="80">
        <v>1319567.0</v>
      </c>
      <c r="P17" s="66" t="s">
        <v>189</v>
      </c>
      <c r="Q17" s="64" t="s">
        <v>141</v>
      </c>
      <c r="R17" s="68" t="s">
        <v>197</v>
      </c>
      <c r="S17" s="112" t="s">
        <v>298</v>
      </c>
      <c r="T17" s="64" t="s">
        <v>299</v>
      </c>
      <c r="U17" s="113" t="s">
        <v>300</v>
      </c>
      <c r="V17" s="114"/>
      <c r="W17" s="114"/>
      <c r="X17" s="114"/>
      <c r="Y17" s="114"/>
      <c r="Z17" s="114"/>
      <c r="AA17" s="114"/>
      <c r="AB17" s="114"/>
      <c r="AC17" s="114"/>
      <c r="AD17" s="114"/>
      <c r="AE17" s="114"/>
      <c r="AF17" s="114"/>
      <c r="AG17" s="114"/>
      <c r="AH17" s="114"/>
      <c r="AI17" s="114"/>
      <c r="AJ17" s="114"/>
      <c r="AK17" s="114"/>
      <c r="AL17" s="114"/>
      <c r="AM17" s="114"/>
      <c r="AN17" s="114"/>
    </row>
    <row r="18">
      <c r="A18" s="100" t="s">
        <v>301</v>
      </c>
      <c r="B18" s="40" t="s">
        <v>302</v>
      </c>
      <c r="C18" s="52" t="s">
        <v>303</v>
      </c>
      <c r="D18" s="40" t="s">
        <v>153</v>
      </c>
      <c r="E18" s="52" t="s">
        <v>304</v>
      </c>
      <c r="F18" s="40" t="s">
        <v>197</v>
      </c>
      <c r="G18" s="59" t="s">
        <v>305</v>
      </c>
      <c r="H18" s="61" t="s">
        <v>306</v>
      </c>
      <c r="I18" s="62" t="s">
        <v>307</v>
      </c>
      <c r="J18" s="62">
        <v>7.0</v>
      </c>
      <c r="K18" s="64" t="s">
        <v>262</v>
      </c>
      <c r="L18" s="64" t="s">
        <v>308</v>
      </c>
      <c r="M18" s="65">
        <v>8.1300774E7</v>
      </c>
      <c r="N18" s="65">
        <v>1.16143962857142E7</v>
      </c>
      <c r="O18" s="65">
        <v>1310182.0</v>
      </c>
      <c r="P18" s="65" t="s">
        <v>189</v>
      </c>
      <c r="Q18" s="64" t="s">
        <v>141</v>
      </c>
      <c r="R18" s="74" t="s">
        <v>118</v>
      </c>
      <c r="S18" s="25" t="s">
        <v>309</v>
      </c>
      <c r="T18" s="40" t="s">
        <v>310</v>
      </c>
      <c r="U18" s="69" t="s">
        <v>153</v>
      </c>
      <c r="V18" s="27"/>
    </row>
    <row r="19">
      <c r="A19" s="70" t="s">
        <v>311</v>
      </c>
      <c r="B19" s="77" t="s">
        <v>194</v>
      </c>
      <c r="C19" s="55" t="s">
        <v>312</v>
      </c>
      <c r="D19" s="55" t="s">
        <v>313</v>
      </c>
      <c r="E19" s="52" t="s">
        <v>314</v>
      </c>
      <c r="F19" s="52" t="s">
        <v>315</v>
      </c>
      <c r="G19" s="59" t="s">
        <v>316</v>
      </c>
      <c r="H19" s="61" t="s">
        <v>317</v>
      </c>
      <c r="I19" s="62" t="s">
        <v>318</v>
      </c>
      <c r="J19" s="62">
        <v>13.0</v>
      </c>
      <c r="K19" s="64" t="s">
        <v>319</v>
      </c>
      <c r="L19" s="64" t="s">
        <v>320</v>
      </c>
      <c r="M19" s="65">
        <v>7.2732102E7</v>
      </c>
      <c r="N19" s="65">
        <v>5594777.07692307</v>
      </c>
      <c r="O19" s="65">
        <v>1159863.0</v>
      </c>
      <c r="P19" s="65" t="s">
        <v>189</v>
      </c>
      <c r="Q19" s="64" t="s">
        <v>141</v>
      </c>
      <c r="R19" s="68" t="s">
        <v>116</v>
      </c>
      <c r="S19" s="77" t="s">
        <v>321</v>
      </c>
      <c r="T19" s="40" t="s">
        <v>322</v>
      </c>
      <c r="U19" s="115" t="s">
        <v>153</v>
      </c>
      <c r="V19" s="27"/>
    </row>
    <row r="20">
      <c r="A20" s="49" t="s">
        <v>323</v>
      </c>
      <c r="B20" s="14" t="s">
        <v>194</v>
      </c>
      <c r="C20" s="59" t="s">
        <v>324</v>
      </c>
      <c r="D20" s="59" t="s">
        <v>325</v>
      </c>
      <c r="E20" s="59" t="s">
        <v>326</v>
      </c>
      <c r="F20" s="59" t="s">
        <v>327</v>
      </c>
      <c r="G20" s="116" t="s">
        <v>328</v>
      </c>
      <c r="H20" s="71" t="s">
        <v>329</v>
      </c>
      <c r="I20" s="72" t="s">
        <v>330</v>
      </c>
      <c r="J20" s="63" t="s">
        <v>331</v>
      </c>
      <c r="K20" s="64" t="s">
        <v>332</v>
      </c>
      <c r="L20" s="64" t="s">
        <v>188</v>
      </c>
      <c r="M20" s="65">
        <v>6.02863259E8</v>
      </c>
      <c r="N20" s="65">
        <v>5634236.06542056</v>
      </c>
      <c r="O20" s="65">
        <v>1048178.0</v>
      </c>
      <c r="P20" s="66" t="s">
        <v>189</v>
      </c>
      <c r="Q20" s="64" t="s">
        <v>141</v>
      </c>
      <c r="R20" s="68" t="s">
        <v>116</v>
      </c>
      <c r="S20" s="25" t="s">
        <v>333</v>
      </c>
      <c r="T20" s="25" t="s">
        <v>334</v>
      </c>
      <c r="U20" s="69" t="s">
        <v>335</v>
      </c>
      <c r="V20" s="27"/>
      <c r="W20" s="27"/>
      <c r="X20" s="27"/>
      <c r="Y20" s="27"/>
      <c r="Z20" s="27"/>
      <c r="AA20" s="27"/>
      <c r="AB20" s="27"/>
      <c r="AC20" s="27"/>
      <c r="AD20" s="27"/>
      <c r="AE20" s="27"/>
      <c r="AF20" s="27"/>
      <c r="AG20" s="27"/>
      <c r="AH20" s="27"/>
      <c r="AI20" s="27"/>
      <c r="AJ20" s="27"/>
      <c r="AK20" s="27"/>
      <c r="AL20" s="27"/>
      <c r="AM20" s="27"/>
      <c r="AN20" s="27"/>
    </row>
    <row r="21">
      <c r="A21" s="100" t="s">
        <v>336</v>
      </c>
      <c r="B21" s="89" t="s">
        <v>165</v>
      </c>
      <c r="C21" s="55" t="s">
        <v>337</v>
      </c>
      <c r="D21" s="40" t="s">
        <v>153</v>
      </c>
      <c r="E21" s="52" t="s">
        <v>338</v>
      </c>
      <c r="F21" s="52" t="s">
        <v>380</v>
      </c>
      <c r="G21" s="55" t="s">
        <v>340</v>
      </c>
      <c r="H21" s="61" t="s">
        <v>341</v>
      </c>
      <c r="I21" s="117" t="s">
        <v>342</v>
      </c>
      <c r="J21" s="63" t="s">
        <v>226</v>
      </c>
      <c r="K21" s="64" t="s">
        <v>343</v>
      </c>
      <c r="L21" s="64" t="s">
        <v>285</v>
      </c>
      <c r="M21" s="65">
        <v>5.2901205E7</v>
      </c>
      <c r="N21" s="65">
        <v>2519105.0</v>
      </c>
      <c r="O21" s="65">
        <v>992352.0</v>
      </c>
      <c r="P21" s="66" t="s">
        <v>189</v>
      </c>
      <c r="Q21" s="64" t="s">
        <v>141</v>
      </c>
      <c r="R21" s="68" t="s">
        <v>116</v>
      </c>
      <c r="S21" s="40" t="s">
        <v>344</v>
      </c>
      <c r="T21" s="40" t="s">
        <v>345</v>
      </c>
      <c r="U21" s="118" t="s">
        <v>346</v>
      </c>
    </row>
    <row r="22">
      <c r="A22" s="82" t="s">
        <v>347</v>
      </c>
      <c r="B22" s="89" t="s">
        <v>179</v>
      </c>
      <c r="C22" s="52" t="s">
        <v>348</v>
      </c>
      <c r="D22" s="86" t="s">
        <v>153</v>
      </c>
      <c r="E22" s="40" t="s">
        <v>153</v>
      </c>
      <c r="F22" s="86" t="s">
        <v>197</v>
      </c>
      <c r="G22" s="52" t="s">
        <v>349</v>
      </c>
      <c r="H22" s="61" t="s">
        <v>350</v>
      </c>
      <c r="I22" s="62" t="s">
        <v>351</v>
      </c>
      <c r="J22" s="63" t="s">
        <v>352</v>
      </c>
      <c r="K22" s="64" t="s">
        <v>353</v>
      </c>
      <c r="L22" s="64" t="s">
        <v>188</v>
      </c>
      <c r="M22" s="65">
        <v>2.00240501E8</v>
      </c>
      <c r="N22" s="65">
        <v>4449788.91111111</v>
      </c>
      <c r="O22" s="65">
        <v>800472.0</v>
      </c>
      <c r="P22" s="66" t="s">
        <v>189</v>
      </c>
      <c r="Q22" s="64" t="s">
        <v>141</v>
      </c>
      <c r="R22" s="119" t="s">
        <v>197</v>
      </c>
      <c r="S22" s="40" t="s">
        <v>354</v>
      </c>
      <c r="T22" s="40" t="s">
        <v>355</v>
      </c>
      <c r="U22" s="76" t="s">
        <v>153</v>
      </c>
    </row>
    <row r="23">
      <c r="A23" s="82" t="s">
        <v>356</v>
      </c>
      <c r="B23" s="89" t="s">
        <v>357</v>
      </c>
      <c r="C23" s="52" t="s">
        <v>358</v>
      </c>
      <c r="D23" s="40" t="s">
        <v>153</v>
      </c>
      <c r="E23" s="83" t="s">
        <v>359</v>
      </c>
      <c r="F23" s="52" t="s">
        <v>360</v>
      </c>
      <c r="G23" s="52" t="s">
        <v>361</v>
      </c>
      <c r="H23" s="120" t="s">
        <v>362</v>
      </c>
      <c r="I23" s="62" t="s">
        <v>363</v>
      </c>
      <c r="J23" s="63" t="s">
        <v>201</v>
      </c>
      <c r="K23" s="62" t="s">
        <v>364</v>
      </c>
      <c r="L23" s="62" t="s">
        <v>365</v>
      </c>
      <c r="M23" s="65">
        <v>1.35131758E8</v>
      </c>
      <c r="N23" s="65">
        <v>9652268.42857143</v>
      </c>
      <c r="O23" s="65">
        <v>790759.0</v>
      </c>
      <c r="P23" s="66" t="s">
        <v>189</v>
      </c>
      <c r="Q23" s="64" t="s">
        <v>141</v>
      </c>
      <c r="R23" s="68" t="s">
        <v>197</v>
      </c>
      <c r="S23" s="40" t="s">
        <v>366</v>
      </c>
      <c r="T23" s="40" t="s">
        <v>367</v>
      </c>
      <c r="U23" s="76" t="s">
        <v>153</v>
      </c>
      <c r="V23" s="27"/>
    </row>
    <row r="24">
      <c r="A24" s="88" t="s">
        <v>368</v>
      </c>
      <c r="B24" s="89" t="s">
        <v>179</v>
      </c>
      <c r="C24" s="101" t="s">
        <v>369</v>
      </c>
      <c r="D24" s="121" t="s">
        <v>153</v>
      </c>
      <c r="E24" s="71" t="s">
        <v>370</v>
      </c>
      <c r="F24" s="68" t="s">
        <v>197</v>
      </c>
      <c r="G24" s="61" t="s">
        <v>371</v>
      </c>
      <c r="H24" s="61" t="s">
        <v>372</v>
      </c>
      <c r="I24" s="62" t="s">
        <v>373</v>
      </c>
      <c r="J24" s="63" t="s">
        <v>374</v>
      </c>
      <c r="K24" s="64" t="s">
        <v>375</v>
      </c>
      <c r="L24" s="64" t="s">
        <v>376</v>
      </c>
      <c r="M24" s="65">
        <v>1.17982967E8</v>
      </c>
      <c r="N24" s="65">
        <v>1902951.08064516</v>
      </c>
      <c r="O24" s="65">
        <v>687813.5</v>
      </c>
      <c r="P24" s="66" t="s">
        <v>189</v>
      </c>
      <c r="Q24" s="64" t="s">
        <v>141</v>
      </c>
      <c r="R24" s="122" t="s">
        <v>197</v>
      </c>
      <c r="S24" s="40" t="s">
        <v>377</v>
      </c>
      <c r="T24" s="64" t="s">
        <v>299</v>
      </c>
      <c r="U24" s="90" t="s">
        <v>300</v>
      </c>
      <c r="V24" s="27"/>
      <c r="W24" s="27"/>
      <c r="X24" s="27"/>
      <c r="Y24" s="27"/>
      <c r="Z24" s="27"/>
      <c r="AA24" s="27"/>
      <c r="AB24" s="27"/>
      <c r="AC24" s="27"/>
      <c r="AD24" s="27"/>
      <c r="AE24" s="27"/>
      <c r="AF24" s="27"/>
      <c r="AG24" s="27"/>
      <c r="AH24" s="27"/>
      <c r="AI24" s="27"/>
      <c r="AJ24" s="27"/>
      <c r="AK24" s="27"/>
      <c r="AL24" s="27"/>
      <c r="AM24" s="27"/>
      <c r="AN24" s="27"/>
    </row>
    <row r="25">
      <c r="A25" s="123" t="s">
        <v>378</v>
      </c>
      <c r="B25" s="124" t="s">
        <v>194</v>
      </c>
      <c r="C25" s="125" t="s">
        <v>379</v>
      </c>
      <c r="D25" s="126" t="s">
        <v>381</v>
      </c>
      <c r="E25" s="125" t="s">
        <v>382</v>
      </c>
      <c r="F25" s="125" t="s">
        <v>383</v>
      </c>
      <c r="G25" s="126" t="s">
        <v>384</v>
      </c>
      <c r="H25" s="126" t="s">
        <v>385</v>
      </c>
      <c r="I25" s="127" t="s">
        <v>386</v>
      </c>
      <c r="J25" s="62">
        <v>26.0</v>
      </c>
      <c r="K25" s="128" t="s">
        <v>387</v>
      </c>
      <c r="L25" s="128" t="s">
        <v>188</v>
      </c>
      <c r="M25" s="65">
        <v>5.0435424E7</v>
      </c>
      <c r="N25" s="65">
        <v>1939824.0</v>
      </c>
      <c r="O25" s="65">
        <v>636856.5</v>
      </c>
      <c r="P25" s="64" t="s">
        <v>189</v>
      </c>
      <c r="Q25" s="64" t="s">
        <v>141</v>
      </c>
      <c r="R25" s="68" t="s">
        <v>118</v>
      </c>
      <c r="S25" s="129" t="s">
        <v>388</v>
      </c>
      <c r="T25" s="130" t="s">
        <v>389</v>
      </c>
      <c r="U25" s="69" t="s">
        <v>390</v>
      </c>
      <c r="V25" s="131"/>
      <c r="W25" s="131"/>
      <c r="X25" s="131"/>
      <c r="Y25" s="131"/>
      <c r="Z25" s="131"/>
      <c r="AA25" s="131"/>
      <c r="AB25" s="122"/>
      <c r="AC25" s="122"/>
      <c r="AD25" s="122"/>
      <c r="AE25" s="122"/>
      <c r="AF25" s="122"/>
      <c r="AG25" s="122"/>
      <c r="AH25" s="122"/>
      <c r="AI25" s="122"/>
      <c r="AJ25" s="122"/>
      <c r="AK25" s="122"/>
      <c r="AL25" s="122"/>
      <c r="AM25" s="122"/>
      <c r="AN25" s="122"/>
    </row>
    <row r="26">
      <c r="A26" s="70" t="s">
        <v>391</v>
      </c>
      <c r="B26" s="89" t="s">
        <v>392</v>
      </c>
      <c r="C26" s="52" t="s">
        <v>393</v>
      </c>
      <c r="D26" s="40" t="s">
        <v>153</v>
      </c>
      <c r="E26" s="40" t="s">
        <v>394</v>
      </c>
      <c r="F26" s="75" t="s">
        <v>459</v>
      </c>
      <c r="G26" s="52" t="s">
        <v>396</v>
      </c>
      <c r="H26" s="61" t="s">
        <v>397</v>
      </c>
      <c r="I26" s="62" t="s">
        <v>398</v>
      </c>
      <c r="J26" s="63" t="s">
        <v>399</v>
      </c>
      <c r="K26" s="64" t="s">
        <v>400</v>
      </c>
      <c r="L26" s="64" t="s">
        <v>188</v>
      </c>
      <c r="M26" s="65">
        <v>4.0858187E8</v>
      </c>
      <c r="N26" s="65">
        <v>6384091.71875</v>
      </c>
      <c r="O26" s="65">
        <v>635627.0</v>
      </c>
      <c r="P26" s="66" t="s">
        <v>189</v>
      </c>
      <c r="Q26" s="64" t="s">
        <v>141</v>
      </c>
      <c r="R26" s="68" t="s">
        <v>118</v>
      </c>
      <c r="S26" s="40" t="s">
        <v>401</v>
      </c>
      <c r="T26" s="40" t="s">
        <v>402</v>
      </c>
      <c r="U26" s="76" t="s">
        <v>403</v>
      </c>
    </row>
    <row r="27">
      <c r="A27" s="49" t="s">
        <v>404</v>
      </c>
      <c r="B27" s="132" t="s">
        <v>405</v>
      </c>
      <c r="C27" s="52" t="s">
        <v>406</v>
      </c>
      <c r="D27" s="40" t="s">
        <v>153</v>
      </c>
      <c r="E27" s="52" t="s">
        <v>407</v>
      </c>
      <c r="F27" s="71" t="s">
        <v>408</v>
      </c>
      <c r="G27" s="59" t="s">
        <v>409</v>
      </c>
      <c r="H27" s="61" t="s">
        <v>410</v>
      </c>
      <c r="I27" s="62" t="s">
        <v>411</v>
      </c>
      <c r="J27" s="63" t="s">
        <v>412</v>
      </c>
      <c r="K27" s="64" t="s">
        <v>413</v>
      </c>
      <c r="L27" s="64" t="s">
        <v>188</v>
      </c>
      <c r="M27" s="65">
        <v>5.22595234E8</v>
      </c>
      <c r="N27" s="65">
        <v>3555069.61904761</v>
      </c>
      <c r="O27" s="65">
        <v>609152.0</v>
      </c>
      <c r="P27" s="66" t="s">
        <v>189</v>
      </c>
      <c r="Q27" s="64" t="s">
        <v>141</v>
      </c>
      <c r="R27" s="68" t="s">
        <v>116</v>
      </c>
      <c r="S27" s="25" t="s">
        <v>414</v>
      </c>
      <c r="T27" s="40" t="s">
        <v>415</v>
      </c>
      <c r="U27" s="69" t="s">
        <v>416</v>
      </c>
      <c r="V27" s="27"/>
    </row>
    <row r="28" ht="16.5" customHeight="1">
      <c r="A28" s="133" t="s">
        <v>417</v>
      </c>
      <c r="B28" s="40" t="s">
        <v>179</v>
      </c>
      <c r="C28" s="134" t="s">
        <v>418</v>
      </c>
      <c r="D28" s="18"/>
      <c r="E28" s="86"/>
      <c r="F28" s="52" t="s">
        <v>419</v>
      </c>
      <c r="G28" s="52" t="s">
        <v>420</v>
      </c>
      <c r="H28" s="55" t="s">
        <v>421</v>
      </c>
      <c r="I28" s="62" t="s">
        <v>423</v>
      </c>
      <c r="J28" s="62">
        <v>58.0</v>
      </c>
      <c r="K28" s="62" t="s">
        <v>424</v>
      </c>
      <c r="L28" s="62" t="s">
        <v>285</v>
      </c>
      <c r="M28" s="65">
        <v>2.02548002E8</v>
      </c>
      <c r="N28" s="65">
        <v>3492206.93103448</v>
      </c>
      <c r="O28" s="65">
        <v>583536.0</v>
      </c>
      <c r="P28" s="62" t="s">
        <v>189</v>
      </c>
      <c r="Q28" s="18" t="s">
        <v>141</v>
      </c>
      <c r="R28" s="22"/>
      <c r="S28" s="40" t="s">
        <v>426</v>
      </c>
      <c r="T28" s="40"/>
      <c r="U28" s="136" t="s">
        <v>427</v>
      </c>
    </row>
    <row r="29">
      <c r="A29" s="82" t="s">
        <v>428</v>
      </c>
      <c r="B29" s="89" t="s">
        <v>179</v>
      </c>
      <c r="C29" s="52" t="s">
        <v>430</v>
      </c>
      <c r="D29" s="55" t="s">
        <v>431</v>
      </c>
      <c r="E29" s="52" t="s">
        <v>433</v>
      </c>
      <c r="F29" s="71" t="s">
        <v>435</v>
      </c>
      <c r="G29" s="55" t="s">
        <v>437</v>
      </c>
      <c r="H29" s="61" t="s">
        <v>438</v>
      </c>
      <c r="I29" s="62" t="s">
        <v>441</v>
      </c>
      <c r="J29" s="63" t="s">
        <v>201</v>
      </c>
      <c r="K29" s="64" t="s">
        <v>443</v>
      </c>
      <c r="L29" s="64" t="s">
        <v>444</v>
      </c>
      <c r="M29" s="65">
        <v>1.74860374E8</v>
      </c>
      <c r="N29" s="65">
        <v>1.24900267142857E7</v>
      </c>
      <c r="O29" s="65">
        <v>517234.0</v>
      </c>
      <c r="P29" s="66" t="s">
        <v>189</v>
      </c>
      <c r="Q29" s="64" t="s">
        <v>141</v>
      </c>
      <c r="R29" s="68" t="s">
        <v>118</v>
      </c>
      <c r="S29" s="40" t="s">
        <v>445</v>
      </c>
      <c r="T29" s="40" t="s">
        <v>446</v>
      </c>
      <c r="U29" s="76" t="s">
        <v>153</v>
      </c>
    </row>
    <row r="30">
      <c r="A30" s="82" t="s">
        <v>447</v>
      </c>
      <c r="B30" s="18" t="s">
        <v>194</v>
      </c>
      <c r="C30" s="55" t="s">
        <v>448</v>
      </c>
      <c r="D30" s="55" t="s">
        <v>450</v>
      </c>
      <c r="E30" s="139" t="s">
        <v>556</v>
      </c>
      <c r="F30" s="139" t="s">
        <v>560</v>
      </c>
      <c r="G30" s="52" t="s">
        <v>458</v>
      </c>
      <c r="H30" s="61" t="s">
        <v>461</v>
      </c>
      <c r="I30" s="143" t="s">
        <v>462</v>
      </c>
      <c r="J30" s="143">
        <v>29.0</v>
      </c>
      <c r="K30" s="144" t="s">
        <v>464</v>
      </c>
      <c r="L30" s="144" t="s">
        <v>285</v>
      </c>
      <c r="M30" s="65">
        <v>1.10393267E8</v>
      </c>
      <c r="N30" s="65">
        <v>3806664.37931034</v>
      </c>
      <c r="O30" s="65">
        <v>500383.0</v>
      </c>
      <c r="P30" s="65" t="s">
        <v>189</v>
      </c>
      <c r="Q30" s="64" t="s">
        <v>141</v>
      </c>
      <c r="R30" s="68" t="s">
        <v>116</v>
      </c>
      <c r="S30" s="40" t="s">
        <v>465</v>
      </c>
      <c r="T30" s="40" t="s">
        <v>466</v>
      </c>
      <c r="U30" s="76" t="s">
        <v>467</v>
      </c>
    </row>
    <row r="31">
      <c r="A31" s="123" t="s">
        <v>468</v>
      </c>
      <c r="B31" s="124" t="s">
        <v>469</v>
      </c>
      <c r="C31" s="149" t="s">
        <v>470</v>
      </c>
      <c r="D31" s="129" t="s">
        <v>153</v>
      </c>
      <c r="E31" s="150" t="s">
        <v>474</v>
      </c>
      <c r="F31" s="151" t="s">
        <v>197</v>
      </c>
      <c r="G31" s="126" t="s">
        <v>476</v>
      </c>
      <c r="H31" s="126" t="s">
        <v>480</v>
      </c>
      <c r="I31" s="154" t="s">
        <v>482</v>
      </c>
      <c r="J31" s="62">
        <v>30.0</v>
      </c>
      <c r="K31" s="128" t="s">
        <v>483</v>
      </c>
      <c r="L31" s="128" t="s">
        <v>188</v>
      </c>
      <c r="M31" s="65">
        <v>7.9472622E7</v>
      </c>
      <c r="N31" s="65">
        <v>2649087.4</v>
      </c>
      <c r="O31" s="65">
        <v>408226.0</v>
      </c>
      <c r="P31" s="64" t="s">
        <v>189</v>
      </c>
      <c r="Q31" s="64" t="s">
        <v>141</v>
      </c>
      <c r="R31" s="68" t="s">
        <v>118</v>
      </c>
      <c r="S31" s="129" t="s">
        <v>484</v>
      </c>
      <c r="T31" s="130" t="s">
        <v>485</v>
      </c>
      <c r="U31" s="69" t="s">
        <v>487</v>
      </c>
      <c r="V31" s="131"/>
      <c r="W31" s="131"/>
      <c r="X31" s="131"/>
      <c r="Y31" s="131"/>
      <c r="Z31" s="131"/>
      <c r="AA31" s="131"/>
      <c r="AB31" s="122"/>
      <c r="AC31" s="122"/>
      <c r="AD31" s="122"/>
      <c r="AE31" s="122"/>
      <c r="AF31" s="122"/>
      <c r="AG31" s="122"/>
      <c r="AH31" s="122"/>
      <c r="AI31" s="122"/>
      <c r="AJ31" s="122"/>
      <c r="AK31" s="122"/>
      <c r="AL31" s="122"/>
      <c r="AM31" s="122"/>
      <c r="AN31" s="122"/>
    </row>
    <row r="32">
      <c r="A32" s="70" t="s">
        <v>488</v>
      </c>
      <c r="B32" s="77" t="s">
        <v>469</v>
      </c>
      <c r="C32" s="55" t="s">
        <v>489</v>
      </c>
      <c r="D32" s="40" t="s">
        <v>153</v>
      </c>
      <c r="E32" s="40" t="s">
        <v>492</v>
      </c>
      <c r="F32" s="52" t="s">
        <v>493</v>
      </c>
      <c r="G32" s="52" t="s">
        <v>495</v>
      </c>
      <c r="H32" s="61" t="s">
        <v>497</v>
      </c>
      <c r="I32" s="62" t="s">
        <v>498</v>
      </c>
      <c r="J32" s="62">
        <v>98.0</v>
      </c>
      <c r="K32" s="64" t="s">
        <v>499</v>
      </c>
      <c r="L32" s="64" t="s">
        <v>139</v>
      </c>
      <c r="M32" s="65">
        <v>1.63730285E8</v>
      </c>
      <c r="N32" s="65">
        <v>1670717.19387755</v>
      </c>
      <c r="O32" s="65">
        <v>384035.0</v>
      </c>
      <c r="P32" s="65" t="s">
        <v>189</v>
      </c>
      <c r="Q32" s="64" t="s">
        <v>141</v>
      </c>
      <c r="R32" s="68" t="s">
        <v>120</v>
      </c>
      <c r="S32" s="40" t="s">
        <v>501</v>
      </c>
      <c r="T32" s="40" t="s">
        <v>502</v>
      </c>
      <c r="U32" s="76" t="s">
        <v>153</v>
      </c>
    </row>
    <row r="33">
      <c r="A33" s="49" t="s">
        <v>503</v>
      </c>
      <c r="B33" s="25" t="s">
        <v>60</v>
      </c>
      <c r="C33" s="52" t="s">
        <v>504</v>
      </c>
      <c r="D33" s="55" t="s">
        <v>507</v>
      </c>
      <c r="E33" s="52" t="s">
        <v>508</v>
      </c>
      <c r="F33" s="59" t="s">
        <v>510</v>
      </c>
      <c r="G33" s="59" t="s">
        <v>512</v>
      </c>
      <c r="H33" s="61" t="s">
        <v>515</v>
      </c>
      <c r="I33" s="62" t="s">
        <v>517</v>
      </c>
      <c r="J33" s="62">
        <v>82.0</v>
      </c>
      <c r="K33" s="64" t="s">
        <v>518</v>
      </c>
      <c r="L33" s="64" t="s">
        <v>188</v>
      </c>
      <c r="M33" s="65">
        <v>1.28424404E8</v>
      </c>
      <c r="N33" s="65">
        <v>1566151.26829268</v>
      </c>
      <c r="O33" s="65">
        <v>381882.0</v>
      </c>
      <c r="P33" s="65" t="s">
        <v>189</v>
      </c>
      <c r="Q33" s="64" t="s">
        <v>141</v>
      </c>
      <c r="R33" s="68" t="s">
        <v>120</v>
      </c>
      <c r="S33" s="25" t="s">
        <v>520</v>
      </c>
      <c r="T33" s="40" t="s">
        <v>521</v>
      </c>
      <c r="U33" s="118" t="s">
        <v>522</v>
      </c>
      <c r="V33" s="27"/>
    </row>
    <row r="34">
      <c r="A34" s="100" t="s">
        <v>526</v>
      </c>
      <c r="B34" s="40" t="s">
        <v>179</v>
      </c>
      <c r="C34" s="55" t="s">
        <v>527</v>
      </c>
      <c r="D34" s="40" t="s">
        <v>153</v>
      </c>
      <c r="E34" s="40" t="s">
        <v>528</v>
      </c>
      <c r="F34" s="52" t="s">
        <v>642</v>
      </c>
      <c r="G34" s="52" t="s">
        <v>532</v>
      </c>
      <c r="H34" s="71" t="s">
        <v>536</v>
      </c>
      <c r="I34" s="62" t="s">
        <v>538</v>
      </c>
      <c r="J34" s="62">
        <v>11.0</v>
      </c>
      <c r="K34" s="64" t="s">
        <v>539</v>
      </c>
      <c r="L34" s="64" t="s">
        <v>188</v>
      </c>
      <c r="M34" s="65">
        <v>7.3619824E7</v>
      </c>
      <c r="N34" s="65">
        <v>6692711.27272727</v>
      </c>
      <c r="O34" s="65">
        <v>342979.0</v>
      </c>
      <c r="P34" s="65" t="s">
        <v>189</v>
      </c>
      <c r="Q34" s="64" t="s">
        <v>141</v>
      </c>
      <c r="R34" s="68" t="s">
        <v>197</v>
      </c>
      <c r="S34" s="40" t="s">
        <v>540</v>
      </c>
      <c r="T34" s="40" t="s">
        <v>541</v>
      </c>
      <c r="U34" s="76" t="s">
        <v>542</v>
      </c>
      <c r="V34" s="18"/>
    </row>
    <row r="35">
      <c r="A35" s="70" t="s">
        <v>543</v>
      </c>
      <c r="B35" s="40" t="s">
        <v>194</v>
      </c>
      <c r="C35" s="55" t="s">
        <v>545</v>
      </c>
      <c r="D35" s="40" t="s">
        <v>153</v>
      </c>
      <c r="E35" s="52" t="s">
        <v>548</v>
      </c>
      <c r="F35" s="59" t="s">
        <v>553</v>
      </c>
      <c r="G35" s="52" t="s">
        <v>554</v>
      </c>
      <c r="H35" s="61" t="s">
        <v>558</v>
      </c>
      <c r="I35" s="62" t="s">
        <v>559</v>
      </c>
      <c r="J35" s="62">
        <v>25.0</v>
      </c>
      <c r="K35" s="64" t="s">
        <v>562</v>
      </c>
      <c r="L35" s="64" t="s">
        <v>188</v>
      </c>
      <c r="M35" s="65">
        <v>1.52439371E8</v>
      </c>
      <c r="N35" s="65">
        <v>6097574.84</v>
      </c>
      <c r="O35" s="65">
        <v>302791.0</v>
      </c>
      <c r="P35" s="65" t="s">
        <v>189</v>
      </c>
      <c r="Q35" s="64" t="s">
        <v>141</v>
      </c>
      <c r="R35" s="68" t="s">
        <v>118</v>
      </c>
      <c r="S35" s="40" t="s">
        <v>566</v>
      </c>
      <c r="T35" s="40" t="s">
        <v>567</v>
      </c>
      <c r="U35" s="76" t="s">
        <v>568</v>
      </c>
    </row>
    <row r="36">
      <c r="A36" s="123" t="s">
        <v>569</v>
      </c>
      <c r="B36" s="124" t="s">
        <v>469</v>
      </c>
      <c r="C36" s="84" t="s">
        <v>570</v>
      </c>
      <c r="D36" s="129" t="s">
        <v>153</v>
      </c>
      <c r="E36" s="159" t="s">
        <v>572</v>
      </c>
      <c r="F36" s="125" t="s">
        <v>573</v>
      </c>
      <c r="G36" s="126" t="s">
        <v>575</v>
      </c>
      <c r="H36" s="126" t="s">
        <v>578</v>
      </c>
      <c r="I36" s="154" t="s">
        <v>581</v>
      </c>
      <c r="J36" s="62">
        <v>54.0</v>
      </c>
      <c r="K36" s="128" t="s">
        <v>582</v>
      </c>
      <c r="L36" s="128" t="s">
        <v>139</v>
      </c>
      <c r="M36" s="65">
        <v>6.0871455E7</v>
      </c>
      <c r="N36" s="65">
        <v>1127249.16666666</v>
      </c>
      <c r="O36" s="65">
        <v>270688.5</v>
      </c>
      <c r="P36" s="64" t="s">
        <v>189</v>
      </c>
      <c r="Q36" s="64" t="s">
        <v>141</v>
      </c>
      <c r="R36" s="68" t="s">
        <v>116</v>
      </c>
      <c r="S36" s="129" t="s">
        <v>583</v>
      </c>
      <c r="T36" s="130" t="s">
        <v>584</v>
      </c>
      <c r="U36" s="69" t="s">
        <v>585</v>
      </c>
      <c r="V36" s="131"/>
      <c r="W36" s="131"/>
      <c r="X36" s="131"/>
      <c r="Y36" s="131"/>
      <c r="Z36" s="131"/>
      <c r="AA36" s="131"/>
      <c r="AB36" s="122"/>
      <c r="AC36" s="122"/>
      <c r="AD36" s="122"/>
      <c r="AE36" s="122"/>
      <c r="AF36" s="122"/>
      <c r="AG36" s="122"/>
      <c r="AH36" s="122"/>
      <c r="AI36" s="122"/>
      <c r="AJ36" s="122"/>
      <c r="AK36" s="122"/>
      <c r="AL36" s="122"/>
      <c r="AM36" s="122"/>
      <c r="AN36" s="122"/>
    </row>
    <row r="37">
      <c r="A37" s="49" t="s">
        <v>587</v>
      </c>
      <c r="B37" s="89" t="s">
        <v>179</v>
      </c>
      <c r="C37" s="52" t="s">
        <v>588</v>
      </c>
      <c r="D37" s="55" t="s">
        <v>592</v>
      </c>
      <c r="E37" s="40" t="s">
        <v>595</v>
      </c>
      <c r="F37" s="59" t="s">
        <v>596</v>
      </c>
      <c r="G37" s="59" t="s">
        <v>600</v>
      </c>
      <c r="H37" s="61" t="s">
        <v>603</v>
      </c>
      <c r="I37" s="62" t="s">
        <v>606</v>
      </c>
      <c r="J37" s="63" t="s">
        <v>607</v>
      </c>
      <c r="K37" s="64" t="s">
        <v>608</v>
      </c>
      <c r="L37" s="64" t="s">
        <v>139</v>
      </c>
      <c r="M37" s="65">
        <v>2.27788002E8</v>
      </c>
      <c r="N37" s="65">
        <v>1980765.2347826</v>
      </c>
      <c r="O37" s="65">
        <v>269070.0</v>
      </c>
      <c r="P37" s="66" t="s">
        <v>189</v>
      </c>
      <c r="Q37" s="64" t="s">
        <v>141</v>
      </c>
      <c r="R37" s="68" t="s">
        <v>120</v>
      </c>
      <c r="S37" s="25" t="s">
        <v>610</v>
      </c>
      <c r="T37" s="40" t="s">
        <v>611</v>
      </c>
      <c r="U37" s="69" t="s">
        <v>612</v>
      </c>
      <c r="V37" s="27"/>
    </row>
    <row r="38">
      <c r="A38" s="45" t="s">
        <v>613</v>
      </c>
      <c r="B38" s="14" t="s">
        <v>194</v>
      </c>
      <c r="C38" s="59" t="s">
        <v>615</v>
      </c>
      <c r="D38" s="25" t="s">
        <v>153</v>
      </c>
      <c r="E38" s="59" t="s">
        <v>617</v>
      </c>
      <c r="F38" s="59" t="s">
        <v>620</v>
      </c>
      <c r="G38" s="59" t="s">
        <v>623</v>
      </c>
      <c r="H38" s="61" t="s">
        <v>627</v>
      </c>
      <c r="I38" s="62" t="s">
        <v>628</v>
      </c>
      <c r="J38" s="63" t="s">
        <v>352</v>
      </c>
      <c r="K38" s="64" t="s">
        <v>629</v>
      </c>
      <c r="L38" s="64" t="s">
        <v>139</v>
      </c>
      <c r="M38" s="65">
        <v>9.2337736E7</v>
      </c>
      <c r="N38" s="65">
        <v>2051949.68888888</v>
      </c>
      <c r="O38" s="65">
        <v>211450.0</v>
      </c>
      <c r="P38" s="66" t="s">
        <v>189</v>
      </c>
      <c r="Q38" s="64" t="s">
        <v>141</v>
      </c>
      <c r="R38" s="68" t="s">
        <v>116</v>
      </c>
      <c r="S38" s="25" t="s">
        <v>631</v>
      </c>
      <c r="T38" s="25" t="s">
        <v>632</v>
      </c>
      <c r="U38" s="69" t="s">
        <v>633</v>
      </c>
      <c r="V38" s="27"/>
      <c r="W38" s="27"/>
      <c r="X38" s="27"/>
      <c r="Y38" s="27"/>
      <c r="Z38" s="27"/>
      <c r="AA38" s="27"/>
      <c r="AB38" s="27"/>
      <c r="AC38" s="27"/>
      <c r="AD38" s="27"/>
      <c r="AE38" s="27"/>
      <c r="AF38" s="27"/>
      <c r="AG38" s="27"/>
      <c r="AH38" s="27"/>
      <c r="AI38" s="27"/>
      <c r="AJ38" s="27"/>
      <c r="AK38" s="27"/>
      <c r="AL38" s="27"/>
      <c r="AM38" s="27"/>
      <c r="AN38" s="27"/>
    </row>
    <row r="39">
      <c r="A39" s="100" t="s">
        <v>634</v>
      </c>
      <c r="B39" s="18" t="s">
        <v>194</v>
      </c>
      <c r="C39" s="55" t="s">
        <v>635</v>
      </c>
      <c r="D39" s="40" t="s">
        <v>153</v>
      </c>
      <c r="E39" s="40" t="s">
        <v>637</v>
      </c>
      <c r="F39" s="71" t="s">
        <v>639</v>
      </c>
      <c r="G39" s="59" t="s">
        <v>643</v>
      </c>
      <c r="H39" s="71" t="s">
        <v>645</v>
      </c>
      <c r="I39" s="62" t="s">
        <v>649</v>
      </c>
      <c r="J39" s="62">
        <v>79.0</v>
      </c>
      <c r="K39" s="64" t="s">
        <v>650</v>
      </c>
      <c r="L39" s="64" t="s">
        <v>188</v>
      </c>
      <c r="M39" s="65">
        <v>9.9926871E7</v>
      </c>
      <c r="N39" s="65">
        <v>1264897.10126582</v>
      </c>
      <c r="O39" s="65">
        <v>201259.0</v>
      </c>
      <c r="P39" s="65" t="s">
        <v>189</v>
      </c>
      <c r="Q39" s="64" t="s">
        <v>141</v>
      </c>
      <c r="R39" s="68" t="s">
        <v>118</v>
      </c>
      <c r="S39" s="77" t="s">
        <v>652</v>
      </c>
      <c r="T39" s="40" t="s">
        <v>653</v>
      </c>
      <c r="U39" s="76" t="s">
        <v>654</v>
      </c>
    </row>
    <row r="40">
      <c r="A40" s="133" t="s">
        <v>655</v>
      </c>
      <c r="B40" s="18" t="s">
        <v>243</v>
      </c>
      <c r="C40" s="52" t="s">
        <v>656</v>
      </c>
      <c r="D40" s="40" t="s">
        <v>153</v>
      </c>
      <c r="E40" s="40" t="s">
        <v>660</v>
      </c>
      <c r="F40" s="162" t="s">
        <v>661</v>
      </c>
      <c r="G40" s="59" t="s">
        <v>664</v>
      </c>
      <c r="H40" s="61" t="s">
        <v>667</v>
      </c>
      <c r="I40" s="62" t="s">
        <v>559</v>
      </c>
      <c r="J40" s="62">
        <v>64.0</v>
      </c>
      <c r="K40" s="64" t="s">
        <v>671</v>
      </c>
      <c r="L40" s="64" t="s">
        <v>188</v>
      </c>
      <c r="M40" s="65">
        <v>1.03694504E8</v>
      </c>
      <c r="N40" s="65">
        <v>1620226.625</v>
      </c>
      <c r="O40" s="65">
        <v>176521.5</v>
      </c>
      <c r="P40" s="65" t="s">
        <v>189</v>
      </c>
      <c r="Q40" s="64" t="s">
        <v>141</v>
      </c>
      <c r="R40" s="68" t="s">
        <v>120</v>
      </c>
      <c r="S40" s="77" t="s">
        <v>673</v>
      </c>
      <c r="T40" s="40" t="s">
        <v>674</v>
      </c>
      <c r="U40" s="115" t="s">
        <v>675</v>
      </c>
      <c r="V40" s="27"/>
    </row>
    <row r="41" ht="16.5" customHeight="1">
      <c r="A41" s="165" t="s">
        <v>676</v>
      </c>
      <c r="B41" s="89" t="s">
        <v>678</v>
      </c>
      <c r="C41" s="52" t="s">
        <v>679</v>
      </c>
      <c r="D41" s="40" t="s">
        <v>153</v>
      </c>
      <c r="E41" s="52" t="s">
        <v>681</v>
      </c>
      <c r="F41" s="129" t="s">
        <v>153</v>
      </c>
      <c r="G41" s="166" t="s">
        <v>683</v>
      </c>
      <c r="H41" s="61" t="s">
        <v>691</v>
      </c>
      <c r="I41" s="62" t="s">
        <v>692</v>
      </c>
      <c r="J41" s="63" t="s">
        <v>693</v>
      </c>
      <c r="K41" s="62" t="s">
        <v>375</v>
      </c>
      <c r="L41" s="62" t="s">
        <v>297</v>
      </c>
      <c r="M41" s="65">
        <v>8.4191238E7</v>
      </c>
      <c r="N41" s="65">
        <v>647624.907692307</v>
      </c>
      <c r="O41" s="65">
        <v>115223.5</v>
      </c>
      <c r="P41" s="64" t="s">
        <v>189</v>
      </c>
      <c r="Q41" s="64" t="s">
        <v>141</v>
      </c>
      <c r="R41" s="68" t="s">
        <v>116</v>
      </c>
      <c r="S41" s="40" t="s">
        <v>695</v>
      </c>
      <c r="T41" s="40" t="s">
        <v>696</v>
      </c>
      <c r="U41" s="76" t="s">
        <v>698</v>
      </c>
      <c r="V41" s="27"/>
    </row>
    <row r="42" ht="16.5" customHeight="1">
      <c r="A42" s="170" t="s">
        <v>699</v>
      </c>
      <c r="B42" s="40" t="s">
        <v>243</v>
      </c>
      <c r="C42" s="173" t="s">
        <v>700</v>
      </c>
      <c r="D42" s="119" t="s">
        <v>153</v>
      </c>
      <c r="E42" s="173" t="s">
        <v>701</v>
      </c>
      <c r="F42" s="101" t="s">
        <v>704</v>
      </c>
      <c r="G42" s="101" t="s">
        <v>706</v>
      </c>
      <c r="H42" s="155" t="s">
        <v>710</v>
      </c>
      <c r="I42" s="62" t="s">
        <v>712</v>
      </c>
      <c r="J42" s="62">
        <v>36.0</v>
      </c>
      <c r="K42" s="62" t="s">
        <v>713</v>
      </c>
      <c r="L42" s="62" t="s">
        <v>715</v>
      </c>
      <c r="M42" s="80">
        <v>2.93393866E8</v>
      </c>
      <c r="N42" s="80">
        <v>8149829.61111111</v>
      </c>
      <c r="O42" s="80">
        <v>100667.0</v>
      </c>
      <c r="P42" s="65" t="s">
        <v>189</v>
      </c>
      <c r="Q42" s="64" t="s">
        <v>141</v>
      </c>
      <c r="R42" s="68" t="s">
        <v>116</v>
      </c>
      <c r="S42" s="64" t="s">
        <v>718</v>
      </c>
      <c r="T42" s="68" t="s">
        <v>719</v>
      </c>
      <c r="U42" s="90" t="s">
        <v>720</v>
      </c>
      <c r="V42" s="27"/>
      <c r="W42" s="27"/>
      <c r="X42" s="27"/>
      <c r="Y42" s="27"/>
      <c r="Z42" s="27"/>
      <c r="AA42" s="27"/>
      <c r="AB42" s="27"/>
      <c r="AC42" s="27"/>
      <c r="AD42" s="27"/>
      <c r="AE42" s="27"/>
      <c r="AF42" s="27"/>
      <c r="AG42" s="27"/>
      <c r="AH42" s="27"/>
      <c r="AI42" s="27"/>
      <c r="AJ42" s="27"/>
      <c r="AK42" s="27"/>
      <c r="AL42" s="27"/>
      <c r="AM42" s="27"/>
      <c r="AN42" s="27"/>
    </row>
    <row r="43" ht="18.0" customHeight="1">
      <c r="A43" s="70" t="s">
        <v>721</v>
      </c>
      <c r="B43" s="40" t="s">
        <v>243</v>
      </c>
      <c r="C43" s="52" t="s">
        <v>722</v>
      </c>
      <c r="D43" s="40" t="s">
        <v>153</v>
      </c>
      <c r="E43" s="52" t="s">
        <v>724</v>
      </c>
      <c r="F43" s="59" t="s">
        <v>727</v>
      </c>
      <c r="G43" s="52" t="s">
        <v>730</v>
      </c>
      <c r="H43" s="61" t="s">
        <v>733</v>
      </c>
      <c r="I43" s="62" t="s">
        <v>735</v>
      </c>
      <c r="J43" s="62">
        <v>111.0</v>
      </c>
      <c r="K43" s="64" t="s">
        <v>736</v>
      </c>
      <c r="L43" s="64" t="s">
        <v>188</v>
      </c>
      <c r="M43" s="65">
        <v>1.51145954E8</v>
      </c>
      <c r="N43" s="65">
        <v>1361675.26126126</v>
      </c>
      <c r="O43" s="65">
        <v>95669.0</v>
      </c>
      <c r="P43" s="65" t="s">
        <v>189</v>
      </c>
      <c r="Q43" s="64" t="s">
        <v>141</v>
      </c>
      <c r="R43" s="68" t="s">
        <v>120</v>
      </c>
      <c r="S43" s="40" t="s">
        <v>739</v>
      </c>
      <c r="T43" s="40" t="s">
        <v>740</v>
      </c>
      <c r="U43" s="76" t="s">
        <v>741</v>
      </c>
    </row>
    <row r="44">
      <c r="A44" s="99" t="s">
        <v>742</v>
      </c>
      <c r="B44" s="68" t="s">
        <v>243</v>
      </c>
      <c r="C44" s="101" t="s">
        <v>743</v>
      </c>
      <c r="D44" s="68" t="s">
        <v>153</v>
      </c>
      <c r="E44" s="68" t="s">
        <v>745</v>
      </c>
      <c r="F44" s="101" t="s">
        <v>747</v>
      </c>
      <c r="G44" s="101" t="s">
        <v>748</v>
      </c>
      <c r="H44" s="61" t="s">
        <v>751</v>
      </c>
      <c r="I44" s="62" t="s">
        <v>752</v>
      </c>
      <c r="J44" s="62">
        <v>78.0</v>
      </c>
      <c r="K44" s="64" t="s">
        <v>753</v>
      </c>
      <c r="L44" s="64" t="s">
        <v>188</v>
      </c>
      <c r="M44" s="65">
        <v>5.3596669E7</v>
      </c>
      <c r="N44" s="65">
        <v>687136.782051282</v>
      </c>
      <c r="O44" s="65">
        <v>55523.0</v>
      </c>
      <c r="P44" s="65" t="s">
        <v>189</v>
      </c>
      <c r="Q44" s="64" t="s">
        <v>141</v>
      </c>
      <c r="R44" s="68" t="s">
        <v>197</v>
      </c>
      <c r="S44" s="64" t="s">
        <v>756</v>
      </c>
      <c r="T44" s="68" t="s">
        <v>757</v>
      </c>
      <c r="U44" s="179" t="s">
        <v>758</v>
      </c>
      <c r="V44" s="122"/>
      <c r="W44" s="122"/>
      <c r="X44" s="122"/>
      <c r="Y44" s="122"/>
      <c r="Z44" s="27"/>
      <c r="AA44" s="27"/>
      <c r="AB44" s="27"/>
      <c r="AC44" s="27"/>
      <c r="AD44" s="27"/>
      <c r="AE44" s="27"/>
      <c r="AF44" s="27"/>
      <c r="AG44" s="27"/>
      <c r="AH44" s="27"/>
      <c r="AI44" s="27"/>
      <c r="AJ44" s="27"/>
      <c r="AK44" s="27"/>
      <c r="AL44" s="27"/>
      <c r="AM44" s="27"/>
      <c r="AN44" s="27"/>
    </row>
    <row r="45">
      <c r="A45" s="99" t="s">
        <v>759</v>
      </c>
      <c r="B45" s="68" t="s">
        <v>760</v>
      </c>
      <c r="C45" s="180" t="s">
        <v>762</v>
      </c>
      <c r="D45" s="64" t="s">
        <v>153</v>
      </c>
      <c r="E45" s="68" t="s">
        <v>766</v>
      </c>
      <c r="F45" s="83" t="s">
        <v>197</v>
      </c>
      <c r="G45" s="101" t="s">
        <v>767</v>
      </c>
      <c r="H45" s="61" t="s">
        <v>769</v>
      </c>
      <c r="I45" s="62" t="s">
        <v>770</v>
      </c>
      <c r="J45" s="62">
        <v>123.0</v>
      </c>
      <c r="K45" s="64" t="s">
        <v>772</v>
      </c>
      <c r="L45" s="64" t="s">
        <v>773</v>
      </c>
      <c r="M45" s="65">
        <v>5.0840972E7</v>
      </c>
      <c r="N45" s="65">
        <v>413341.235772357</v>
      </c>
      <c r="O45" s="65">
        <v>48398.0</v>
      </c>
      <c r="P45" s="65" t="s">
        <v>189</v>
      </c>
      <c r="Q45" s="64" t="s">
        <v>141</v>
      </c>
      <c r="R45" s="68" t="s">
        <v>197</v>
      </c>
      <c r="S45" s="64" t="s">
        <v>775</v>
      </c>
      <c r="T45" s="68" t="s">
        <v>776</v>
      </c>
      <c r="U45" s="90" t="s">
        <v>153</v>
      </c>
      <c r="V45" s="122"/>
      <c r="W45" s="122"/>
      <c r="X45" s="122"/>
      <c r="Y45" s="122"/>
      <c r="Z45" s="27"/>
      <c r="AA45" s="27"/>
      <c r="AB45" s="27"/>
      <c r="AC45" s="27"/>
      <c r="AD45" s="27"/>
      <c r="AE45" s="27"/>
      <c r="AF45" s="27"/>
      <c r="AG45" s="27"/>
      <c r="AH45" s="27"/>
      <c r="AI45" s="27"/>
      <c r="AJ45" s="27"/>
      <c r="AK45" s="27"/>
      <c r="AL45" s="27"/>
      <c r="AM45" s="27"/>
      <c r="AN45" s="27"/>
    </row>
    <row r="46" ht="16.5" customHeight="1">
      <c r="A46" s="100" t="s">
        <v>777</v>
      </c>
      <c r="B46" s="18" t="s">
        <v>778</v>
      </c>
      <c r="C46" s="162" t="s">
        <v>779</v>
      </c>
      <c r="D46" s="22"/>
      <c r="E46" s="22"/>
      <c r="F46" s="181" t="s">
        <v>197</v>
      </c>
      <c r="G46" s="52" t="s">
        <v>782</v>
      </c>
      <c r="H46" s="55" t="s">
        <v>785</v>
      </c>
      <c r="I46" s="62" t="s">
        <v>788</v>
      </c>
      <c r="J46" s="62">
        <v>73.0</v>
      </c>
      <c r="K46" s="62" t="s">
        <v>789</v>
      </c>
      <c r="L46" s="62" t="s">
        <v>188</v>
      </c>
      <c r="M46" s="182">
        <v>5.4804424E7</v>
      </c>
      <c r="N46" s="182">
        <v>750745.534246575</v>
      </c>
      <c r="O46" s="182">
        <v>48025.0</v>
      </c>
      <c r="P46" s="65" t="s">
        <v>189</v>
      </c>
      <c r="Q46" s="183" t="s">
        <v>141</v>
      </c>
      <c r="R46" s="68" t="s">
        <v>118</v>
      </c>
      <c r="S46" s="18" t="s">
        <v>790</v>
      </c>
      <c r="T46" s="18" t="s">
        <v>791</v>
      </c>
      <c r="U46" s="76" t="s">
        <v>792</v>
      </c>
    </row>
    <row r="47">
      <c r="A47" s="82" t="s">
        <v>793</v>
      </c>
      <c r="B47" s="83" t="s">
        <v>218</v>
      </c>
      <c r="C47" s="52" t="s">
        <v>794</v>
      </c>
      <c r="D47" s="55" t="s">
        <v>795</v>
      </c>
      <c r="E47" s="40" t="s">
        <v>796</v>
      </c>
      <c r="F47" s="86" t="s">
        <v>197</v>
      </c>
      <c r="G47" s="52" t="s">
        <v>797</v>
      </c>
      <c r="H47" s="61" t="s">
        <v>798</v>
      </c>
      <c r="I47" s="62" t="s">
        <v>799</v>
      </c>
      <c r="J47" s="63" t="s">
        <v>800</v>
      </c>
      <c r="K47" s="64" t="s">
        <v>801</v>
      </c>
      <c r="L47" s="64" t="s">
        <v>188</v>
      </c>
      <c r="M47" s="65">
        <v>3.28469908E8</v>
      </c>
      <c r="N47" s="65">
        <v>933153.147727272</v>
      </c>
      <c r="O47" s="65">
        <v>29025.0</v>
      </c>
      <c r="P47" s="66" t="s">
        <v>189</v>
      </c>
      <c r="Q47" s="64" t="s">
        <v>141</v>
      </c>
      <c r="R47" s="68" t="s">
        <v>197</v>
      </c>
      <c r="S47" s="40" t="s">
        <v>802</v>
      </c>
      <c r="T47" s="40" t="s">
        <v>803</v>
      </c>
      <c r="U47" s="76" t="s">
        <v>804</v>
      </c>
      <c r="V47" s="27"/>
    </row>
    <row r="48">
      <c r="A48" s="184"/>
      <c r="B48" s="40"/>
      <c r="C48" s="18"/>
      <c r="D48" s="18"/>
      <c r="E48" s="18"/>
      <c r="F48" s="40"/>
      <c r="G48" s="40"/>
      <c r="H48" s="40"/>
      <c r="I48" s="43"/>
      <c r="J48" s="43"/>
      <c r="K48" s="43"/>
      <c r="L48" s="43"/>
      <c r="M48" s="44"/>
      <c r="N48" s="44"/>
      <c r="O48" s="44"/>
      <c r="P48" s="42"/>
      <c r="Q48" s="42"/>
      <c r="R48" s="27"/>
      <c r="S48" s="22"/>
      <c r="T48" s="40"/>
      <c r="U48" s="76"/>
    </row>
    <row r="49">
      <c r="A49" s="30" t="s">
        <v>805</v>
      </c>
      <c r="B49" s="32"/>
      <c r="C49" s="33"/>
      <c r="D49" s="32"/>
      <c r="E49" s="32"/>
      <c r="F49" s="32"/>
      <c r="G49" s="32"/>
      <c r="H49" s="32"/>
      <c r="I49" s="185"/>
      <c r="J49" s="185"/>
      <c r="K49" s="185"/>
      <c r="L49" s="185"/>
      <c r="M49" s="186"/>
      <c r="N49" s="186"/>
      <c r="O49" s="186"/>
      <c r="P49" s="187"/>
      <c r="Q49" s="36"/>
      <c r="R49" s="36"/>
      <c r="S49" s="32"/>
      <c r="T49" s="32"/>
      <c r="U49" s="38"/>
    </row>
    <row r="50">
      <c r="A50" s="184"/>
      <c r="B50" s="40"/>
      <c r="C50" s="18"/>
      <c r="D50" s="18"/>
      <c r="E50" s="18"/>
      <c r="F50" s="40"/>
      <c r="G50" s="40"/>
      <c r="H50" s="101"/>
      <c r="I50" s="43"/>
      <c r="J50" s="43"/>
      <c r="K50" s="62"/>
      <c r="L50" s="62"/>
      <c r="M50" s="44"/>
      <c r="N50" s="44"/>
      <c r="O50" s="44"/>
      <c r="P50" s="42"/>
      <c r="Q50" s="42"/>
      <c r="R50" s="27"/>
      <c r="S50" s="22"/>
      <c r="T50" s="40"/>
      <c r="U50" s="76"/>
    </row>
    <row r="51">
      <c r="A51" s="188" t="s">
        <v>806</v>
      </c>
      <c r="B51" s="18" t="s">
        <v>469</v>
      </c>
      <c r="C51" s="55" t="s">
        <v>807</v>
      </c>
      <c r="D51" s="40" t="s">
        <v>153</v>
      </c>
      <c r="E51" s="55" t="s">
        <v>808</v>
      </c>
      <c r="F51" s="18" t="s">
        <v>197</v>
      </c>
      <c r="G51" s="55" t="s">
        <v>809</v>
      </c>
      <c r="H51" s="61" t="s">
        <v>810</v>
      </c>
      <c r="I51" s="62" t="s">
        <v>213</v>
      </c>
      <c r="J51" s="62">
        <v>15.0</v>
      </c>
      <c r="K51" s="64" t="s">
        <v>789</v>
      </c>
      <c r="L51" s="64" t="s">
        <v>285</v>
      </c>
      <c r="M51" s="65">
        <v>6120165.0</v>
      </c>
      <c r="N51" s="65">
        <v>3060082.5</v>
      </c>
      <c r="O51" s="65">
        <v>3060082.5</v>
      </c>
      <c r="P51" s="65" t="s">
        <v>811</v>
      </c>
      <c r="Q51" s="64" t="s">
        <v>812</v>
      </c>
      <c r="R51" s="68" t="s">
        <v>120</v>
      </c>
      <c r="S51" s="40" t="s">
        <v>813</v>
      </c>
      <c r="T51" s="40" t="s">
        <v>814</v>
      </c>
      <c r="U51" s="69" t="s">
        <v>815</v>
      </c>
      <c r="V51" s="189"/>
    </row>
    <row r="52">
      <c r="A52" s="82" t="s">
        <v>816</v>
      </c>
      <c r="B52" s="40" t="s">
        <v>218</v>
      </c>
      <c r="C52" s="52" t="s">
        <v>817</v>
      </c>
      <c r="D52" s="40" t="s">
        <v>153</v>
      </c>
      <c r="E52" s="52" t="s">
        <v>818</v>
      </c>
      <c r="F52" s="52" t="s">
        <v>819</v>
      </c>
      <c r="G52" s="59" t="s">
        <v>820</v>
      </c>
      <c r="H52" s="61" t="s">
        <v>821</v>
      </c>
      <c r="I52" s="62" t="s">
        <v>386</v>
      </c>
      <c r="J52" s="62">
        <v>4.0</v>
      </c>
      <c r="K52" s="64" t="s">
        <v>822</v>
      </c>
      <c r="L52" s="64" t="s">
        <v>203</v>
      </c>
      <c r="M52" s="65">
        <v>1.7801756E7</v>
      </c>
      <c r="N52" s="65">
        <v>4450439.0</v>
      </c>
      <c r="O52" s="65">
        <v>1880678.0</v>
      </c>
      <c r="P52" s="65" t="s">
        <v>811</v>
      </c>
      <c r="Q52" s="64" t="s">
        <v>812</v>
      </c>
      <c r="R52" s="68" t="s">
        <v>116</v>
      </c>
      <c r="S52" s="77" t="s">
        <v>823</v>
      </c>
      <c r="T52" s="40" t="s">
        <v>824</v>
      </c>
      <c r="U52" s="76" t="s">
        <v>825</v>
      </c>
    </row>
    <row r="53" ht="16.5" customHeight="1">
      <c r="A53" s="170" t="s">
        <v>826</v>
      </c>
      <c r="B53" s="40" t="s">
        <v>469</v>
      </c>
      <c r="C53" s="173" t="s">
        <v>827</v>
      </c>
      <c r="D53" s="42"/>
      <c r="E53" s="42"/>
      <c r="F53" s="173" t="s">
        <v>828</v>
      </c>
      <c r="G53" s="173" t="s">
        <v>829</v>
      </c>
      <c r="H53" s="103" t="s">
        <v>830</v>
      </c>
      <c r="I53" s="62" t="s">
        <v>770</v>
      </c>
      <c r="J53" s="62">
        <v>9.0</v>
      </c>
      <c r="K53" s="62" t="s">
        <v>831</v>
      </c>
      <c r="L53" s="62" t="s">
        <v>139</v>
      </c>
      <c r="M53" s="65">
        <v>2.5842772E7</v>
      </c>
      <c r="N53" s="65">
        <v>2871419.11111111</v>
      </c>
      <c r="O53" s="65">
        <v>1928557.0</v>
      </c>
      <c r="P53" s="64" t="s">
        <v>811</v>
      </c>
      <c r="Q53" s="64" t="s">
        <v>812</v>
      </c>
      <c r="R53" s="68" t="s">
        <v>118</v>
      </c>
      <c r="S53" s="102" t="s">
        <v>832</v>
      </c>
      <c r="T53" s="119" t="s">
        <v>833</v>
      </c>
      <c r="U53" s="179" t="s">
        <v>834</v>
      </c>
      <c r="V53" s="27"/>
      <c r="W53" s="27"/>
      <c r="X53" s="27"/>
      <c r="Y53" s="27"/>
      <c r="Z53" s="27"/>
      <c r="AA53" s="27"/>
      <c r="AB53" s="27"/>
      <c r="AC53" s="27"/>
      <c r="AD53" s="27"/>
      <c r="AE53" s="27"/>
      <c r="AF53" s="27"/>
      <c r="AG53" s="27"/>
      <c r="AH53" s="27"/>
      <c r="AI53" s="27"/>
      <c r="AJ53" s="27"/>
      <c r="AK53" s="27"/>
      <c r="AL53" s="27"/>
      <c r="AM53" s="27"/>
      <c r="AN53" s="27"/>
    </row>
    <row r="54" ht="17.25" customHeight="1">
      <c r="A54" s="88" t="s">
        <v>835</v>
      </c>
      <c r="B54" s="18" t="s">
        <v>179</v>
      </c>
      <c r="C54" s="71" t="s">
        <v>836</v>
      </c>
      <c r="D54" s="64" t="s">
        <v>153</v>
      </c>
      <c r="E54" s="71" t="s">
        <v>837</v>
      </c>
      <c r="F54" s="162" t="s">
        <v>871</v>
      </c>
      <c r="G54" s="71" t="s">
        <v>839</v>
      </c>
      <c r="H54" s="190" t="s">
        <v>840</v>
      </c>
      <c r="I54" s="62" t="s">
        <v>307</v>
      </c>
      <c r="J54" s="62">
        <v>4.0</v>
      </c>
      <c r="K54" s="62" t="s">
        <v>841</v>
      </c>
      <c r="L54" s="62" t="s">
        <v>285</v>
      </c>
      <c r="M54" s="65">
        <v>9309438.0</v>
      </c>
      <c r="N54" s="65">
        <v>2327359.5</v>
      </c>
      <c r="O54" s="65">
        <v>1628584.5</v>
      </c>
      <c r="P54" s="64" t="s">
        <v>811</v>
      </c>
      <c r="Q54" s="64" t="s">
        <v>812</v>
      </c>
      <c r="R54" s="68" t="s">
        <v>197</v>
      </c>
      <c r="S54" s="64" t="s">
        <v>842</v>
      </c>
      <c r="T54" s="64" t="s">
        <v>843</v>
      </c>
      <c r="U54" s="90" t="s">
        <v>844</v>
      </c>
      <c r="V54" s="191"/>
      <c r="W54" s="191"/>
      <c r="X54" s="191"/>
      <c r="Y54" s="191"/>
      <c r="Z54" s="191"/>
      <c r="AA54" s="191"/>
      <c r="AB54" s="191"/>
      <c r="AC54" s="191"/>
      <c r="AD54" s="191"/>
      <c r="AE54" s="191"/>
      <c r="AF54" s="191"/>
      <c r="AG54" s="191"/>
      <c r="AH54" s="191"/>
      <c r="AI54" s="191"/>
      <c r="AJ54" s="191"/>
      <c r="AK54" s="191"/>
      <c r="AL54" s="191"/>
      <c r="AM54" s="191"/>
      <c r="AN54" s="191"/>
    </row>
    <row r="55" ht="15.75" customHeight="1">
      <c r="A55" s="88" t="s">
        <v>845</v>
      </c>
      <c r="B55" s="18" t="s">
        <v>846</v>
      </c>
      <c r="C55" s="190" t="s">
        <v>847</v>
      </c>
      <c r="D55" s="64" t="s">
        <v>153</v>
      </c>
      <c r="E55" s="190" t="s">
        <v>848</v>
      </c>
      <c r="F55" s="71" t="s">
        <v>849</v>
      </c>
      <c r="G55" s="192" t="s">
        <v>850</v>
      </c>
      <c r="H55" s="190" t="s">
        <v>851</v>
      </c>
      <c r="I55" s="62">
        <v>136.0</v>
      </c>
      <c r="J55" s="62">
        <v>4.0</v>
      </c>
      <c r="K55" s="64" t="s">
        <v>852</v>
      </c>
      <c r="L55" s="62" t="s">
        <v>853</v>
      </c>
      <c r="M55" s="65">
        <v>8293217.0</v>
      </c>
      <c r="N55" s="65">
        <v>2073304.25</v>
      </c>
      <c r="O55" s="65">
        <v>1547057.5</v>
      </c>
      <c r="P55" s="66" t="s">
        <v>811</v>
      </c>
      <c r="Q55" s="64" t="s">
        <v>812</v>
      </c>
      <c r="R55" s="68" t="s">
        <v>197</v>
      </c>
      <c r="S55" s="64" t="s">
        <v>854</v>
      </c>
      <c r="T55" s="64" t="s">
        <v>855</v>
      </c>
      <c r="U55" s="90" t="s">
        <v>856</v>
      </c>
      <c r="V55" s="122"/>
      <c r="W55" s="122"/>
      <c r="X55" s="122"/>
      <c r="Y55" s="122"/>
      <c r="Z55" s="122"/>
      <c r="AA55" s="122"/>
      <c r="AB55" s="122"/>
      <c r="AC55" s="122"/>
      <c r="AD55" s="122"/>
      <c r="AE55" s="122"/>
      <c r="AF55" s="122"/>
      <c r="AG55" s="122"/>
      <c r="AH55" s="122"/>
      <c r="AI55" s="122"/>
      <c r="AJ55" s="122"/>
      <c r="AK55" s="122"/>
      <c r="AL55" s="122"/>
      <c r="AM55" s="122"/>
      <c r="AN55" s="122"/>
    </row>
    <row r="56" ht="16.5" customHeight="1">
      <c r="A56" s="100" t="s">
        <v>857</v>
      </c>
      <c r="B56" s="18" t="s">
        <v>858</v>
      </c>
      <c r="C56" s="162" t="s">
        <v>859</v>
      </c>
      <c r="D56" s="22"/>
      <c r="E56" s="162" t="s">
        <v>860</v>
      </c>
      <c r="F56" s="181" t="s">
        <v>197</v>
      </c>
      <c r="G56" s="52" t="s">
        <v>861</v>
      </c>
      <c r="H56" s="55" t="s">
        <v>862</v>
      </c>
      <c r="I56" s="62" t="s">
        <v>863</v>
      </c>
      <c r="J56" s="62">
        <v>11.0</v>
      </c>
      <c r="K56" s="62" t="s">
        <v>864</v>
      </c>
      <c r="L56" s="62" t="s">
        <v>285</v>
      </c>
      <c r="M56" s="182">
        <v>3.7614224E7</v>
      </c>
      <c r="N56" s="182">
        <v>3419474.9090909</v>
      </c>
      <c r="O56" s="182">
        <v>1285393.0</v>
      </c>
      <c r="P56" s="65" t="s">
        <v>811</v>
      </c>
      <c r="Q56" s="183" t="s">
        <v>812</v>
      </c>
      <c r="R56" s="68" t="s">
        <v>197</v>
      </c>
      <c r="S56" s="18" t="s">
        <v>865</v>
      </c>
      <c r="T56" s="18"/>
      <c r="U56" s="76" t="s">
        <v>866</v>
      </c>
    </row>
    <row r="57">
      <c r="A57" s="82" t="s">
        <v>867</v>
      </c>
      <c r="B57" s="40" t="s">
        <v>194</v>
      </c>
      <c r="C57" s="55" t="s">
        <v>868</v>
      </c>
      <c r="D57" s="40" t="s">
        <v>153</v>
      </c>
      <c r="E57" s="40" t="s">
        <v>869</v>
      </c>
      <c r="F57" s="52" t="s">
        <v>870</v>
      </c>
      <c r="G57" s="59" t="s">
        <v>872</v>
      </c>
      <c r="H57" s="61" t="s">
        <v>873</v>
      </c>
      <c r="I57" s="62" t="s">
        <v>482</v>
      </c>
      <c r="J57" s="62">
        <v>7.0</v>
      </c>
      <c r="K57" s="64" t="s">
        <v>874</v>
      </c>
      <c r="L57" s="64" t="s">
        <v>875</v>
      </c>
      <c r="M57" s="65">
        <v>3.18374E7</v>
      </c>
      <c r="N57" s="65">
        <v>4548200.0</v>
      </c>
      <c r="O57" s="65">
        <v>877741.0</v>
      </c>
      <c r="P57" s="65" t="s">
        <v>811</v>
      </c>
      <c r="Q57" s="64" t="s">
        <v>812</v>
      </c>
      <c r="R57" s="68" t="s">
        <v>116</v>
      </c>
      <c r="S57" s="77" t="s">
        <v>876</v>
      </c>
      <c r="T57" s="40" t="s">
        <v>877</v>
      </c>
      <c r="U57" s="76" t="s">
        <v>878</v>
      </c>
    </row>
    <row r="58">
      <c r="A58" s="82" t="s">
        <v>879</v>
      </c>
      <c r="B58" s="40" t="s">
        <v>218</v>
      </c>
      <c r="C58" s="52" t="s">
        <v>880</v>
      </c>
      <c r="D58" s="40" t="s">
        <v>153</v>
      </c>
      <c r="E58" s="52" t="s">
        <v>881</v>
      </c>
      <c r="F58" s="181" t="s">
        <v>197</v>
      </c>
      <c r="G58" s="59" t="s">
        <v>882</v>
      </c>
      <c r="H58" s="61" t="s">
        <v>883</v>
      </c>
      <c r="I58" s="62" t="s">
        <v>283</v>
      </c>
      <c r="J58" s="62">
        <v>5.0</v>
      </c>
      <c r="K58" s="64" t="s">
        <v>671</v>
      </c>
      <c r="L58" s="64" t="s">
        <v>884</v>
      </c>
      <c r="M58" s="65">
        <v>6382384.0</v>
      </c>
      <c r="N58" s="65">
        <v>1276476.8</v>
      </c>
      <c r="O58" s="65">
        <v>779725.0</v>
      </c>
      <c r="P58" s="65" t="s">
        <v>811</v>
      </c>
      <c r="Q58" s="64" t="s">
        <v>812</v>
      </c>
      <c r="R58" s="68" t="s">
        <v>118</v>
      </c>
      <c r="S58" s="25" t="s">
        <v>885</v>
      </c>
      <c r="T58" s="40" t="s">
        <v>886</v>
      </c>
      <c r="U58" s="115" t="s">
        <v>887</v>
      </c>
      <c r="V58" s="96"/>
    </row>
    <row r="59">
      <c r="A59" s="133" t="s">
        <v>888</v>
      </c>
      <c r="B59" s="18" t="s">
        <v>267</v>
      </c>
      <c r="C59" s="55" t="s">
        <v>889</v>
      </c>
      <c r="D59" s="55" t="s">
        <v>890</v>
      </c>
      <c r="E59" s="40" t="s">
        <v>891</v>
      </c>
      <c r="F59" s="71" t="s">
        <v>892</v>
      </c>
      <c r="G59" s="193" t="s">
        <v>893</v>
      </c>
      <c r="H59" s="61" t="s">
        <v>894</v>
      </c>
      <c r="I59" s="62" t="s">
        <v>895</v>
      </c>
      <c r="J59" s="62">
        <v>10.0</v>
      </c>
      <c r="K59" s="64" t="s">
        <v>896</v>
      </c>
      <c r="L59" s="64" t="s">
        <v>897</v>
      </c>
      <c r="M59" s="65">
        <v>3.409919E7</v>
      </c>
      <c r="N59" s="65">
        <v>3409919.0</v>
      </c>
      <c r="O59" s="65">
        <v>747707.5</v>
      </c>
      <c r="P59" s="65" t="s">
        <v>811</v>
      </c>
      <c r="Q59" s="64" t="s">
        <v>812</v>
      </c>
      <c r="R59" s="68" t="s">
        <v>120</v>
      </c>
      <c r="S59" s="25" t="s">
        <v>898</v>
      </c>
      <c r="T59" s="40" t="s">
        <v>899</v>
      </c>
      <c r="U59" s="146" t="s">
        <v>900</v>
      </c>
      <c r="V59" s="27"/>
    </row>
    <row r="60">
      <c r="A60" s="88" t="s">
        <v>901</v>
      </c>
      <c r="B60" s="18" t="s">
        <v>902</v>
      </c>
      <c r="C60" s="139" t="s">
        <v>903</v>
      </c>
      <c r="D60" s="121" t="s">
        <v>153</v>
      </c>
      <c r="E60" s="64" t="s">
        <v>904</v>
      </c>
      <c r="F60" s="71" t="s">
        <v>602</v>
      </c>
      <c r="G60" s="192" t="s">
        <v>905</v>
      </c>
      <c r="H60" s="190" t="s">
        <v>906</v>
      </c>
      <c r="I60" s="62" t="s">
        <v>907</v>
      </c>
      <c r="J60" s="62">
        <v>7.0</v>
      </c>
      <c r="K60" s="64" t="s">
        <v>908</v>
      </c>
      <c r="L60" s="64" t="s">
        <v>249</v>
      </c>
      <c r="M60" s="65">
        <v>1.1822058E7</v>
      </c>
      <c r="N60" s="65">
        <v>1688865.42857142</v>
      </c>
      <c r="O60" s="65">
        <v>726484.0</v>
      </c>
      <c r="P60" s="65" t="s">
        <v>811</v>
      </c>
      <c r="Q60" s="64" t="s">
        <v>812</v>
      </c>
      <c r="R60" s="122" t="s">
        <v>197</v>
      </c>
      <c r="S60" s="64" t="s">
        <v>910</v>
      </c>
      <c r="T60" s="122" t="s">
        <v>911</v>
      </c>
      <c r="U60" s="90" t="s">
        <v>912</v>
      </c>
      <c r="V60" s="27"/>
      <c r="W60" s="27"/>
      <c r="X60" s="27"/>
      <c r="Y60" s="27"/>
      <c r="Z60" s="27"/>
      <c r="AA60" s="27"/>
      <c r="AB60" s="27"/>
      <c r="AC60" s="27"/>
      <c r="AD60" s="27"/>
      <c r="AE60" s="27"/>
      <c r="AF60" s="27"/>
      <c r="AG60" s="27"/>
      <c r="AH60" s="27"/>
      <c r="AI60" s="27"/>
      <c r="AJ60" s="27"/>
      <c r="AK60" s="27"/>
      <c r="AL60" s="27"/>
      <c r="AM60" s="27"/>
      <c r="AN60" s="27"/>
    </row>
    <row r="61">
      <c r="A61" s="70" t="s">
        <v>914</v>
      </c>
      <c r="B61" s="89" t="s">
        <v>60</v>
      </c>
      <c r="C61" s="55" t="s">
        <v>915</v>
      </c>
      <c r="D61" s="86" t="s">
        <v>153</v>
      </c>
      <c r="E61" s="52" t="s">
        <v>916</v>
      </c>
      <c r="F61" s="68" t="s">
        <v>197</v>
      </c>
      <c r="G61" s="52" t="s">
        <v>919</v>
      </c>
      <c r="H61" s="149" t="s">
        <v>921</v>
      </c>
      <c r="I61" s="62" t="s">
        <v>922</v>
      </c>
      <c r="J61" s="63" t="s">
        <v>923</v>
      </c>
      <c r="K61" s="64" t="s">
        <v>924</v>
      </c>
      <c r="L61" s="64" t="s">
        <v>203</v>
      </c>
      <c r="M61" s="65">
        <v>3.759496E7</v>
      </c>
      <c r="N61" s="65">
        <v>1566456.66666666</v>
      </c>
      <c r="O61" s="65">
        <v>691620.5</v>
      </c>
      <c r="P61" s="66" t="s">
        <v>811</v>
      </c>
      <c r="Q61" s="64" t="s">
        <v>812</v>
      </c>
      <c r="R61" s="68" t="s">
        <v>116</v>
      </c>
      <c r="S61" s="40" t="s">
        <v>925</v>
      </c>
      <c r="T61" s="40" t="s">
        <v>926</v>
      </c>
      <c r="U61" s="76" t="s">
        <v>927</v>
      </c>
    </row>
    <row r="62">
      <c r="A62" s="45" t="s">
        <v>928</v>
      </c>
      <c r="B62" s="25" t="s">
        <v>469</v>
      </c>
      <c r="C62" s="52" t="s">
        <v>930</v>
      </c>
      <c r="D62" s="18" t="s">
        <v>153</v>
      </c>
      <c r="E62" s="40" t="s">
        <v>931</v>
      </c>
      <c r="F62" s="59" t="s">
        <v>968</v>
      </c>
      <c r="G62" s="162" t="s">
        <v>933</v>
      </c>
      <c r="H62" s="61" t="s">
        <v>934</v>
      </c>
      <c r="I62" s="62" t="s">
        <v>283</v>
      </c>
      <c r="J62" s="62">
        <v>4.0</v>
      </c>
      <c r="K62" s="64" t="s">
        <v>935</v>
      </c>
      <c r="L62" s="64" t="s">
        <v>365</v>
      </c>
      <c r="M62" s="65">
        <v>2.0545025E7</v>
      </c>
      <c r="N62" s="65">
        <v>5136256.25</v>
      </c>
      <c r="O62" s="65">
        <v>589855.0</v>
      </c>
      <c r="P62" s="65" t="s">
        <v>811</v>
      </c>
      <c r="Q62" s="64" t="s">
        <v>812</v>
      </c>
      <c r="R62" s="68" t="s">
        <v>120</v>
      </c>
      <c r="S62" s="18" t="s">
        <v>936</v>
      </c>
      <c r="T62" s="18" t="s">
        <v>937</v>
      </c>
      <c r="U62" s="115" t="s">
        <v>938</v>
      </c>
      <c r="V62" s="27"/>
    </row>
    <row r="63">
      <c r="A63" s="99" t="s">
        <v>939</v>
      </c>
      <c r="B63" s="119" t="s">
        <v>165</v>
      </c>
      <c r="C63" s="173" t="s">
        <v>940</v>
      </c>
      <c r="D63" s="121" t="s">
        <v>153</v>
      </c>
      <c r="E63" s="173" t="s">
        <v>941</v>
      </c>
      <c r="F63" s="195" t="s">
        <v>986</v>
      </c>
      <c r="G63" s="196" t="s">
        <v>943</v>
      </c>
      <c r="H63" s="61" t="s">
        <v>944</v>
      </c>
      <c r="I63" s="117" t="s">
        <v>945</v>
      </c>
      <c r="J63" s="117">
        <v>11.0</v>
      </c>
      <c r="K63" s="197" t="s">
        <v>946</v>
      </c>
      <c r="L63" s="197" t="s">
        <v>947</v>
      </c>
      <c r="M63" s="65">
        <v>1.3858114E7</v>
      </c>
      <c r="N63" s="65">
        <v>1259828.54545454</v>
      </c>
      <c r="O63" s="65">
        <v>566158.0</v>
      </c>
      <c r="P63" s="65" t="s">
        <v>811</v>
      </c>
      <c r="Q63" s="64" t="s">
        <v>812</v>
      </c>
      <c r="R63" s="68" t="s">
        <v>116</v>
      </c>
      <c r="S63" s="102" t="s">
        <v>948</v>
      </c>
      <c r="T63" s="119" t="s">
        <v>949</v>
      </c>
      <c r="U63" s="198" t="s">
        <v>950</v>
      </c>
      <c r="V63" s="27"/>
      <c r="W63" s="27"/>
      <c r="X63" s="27"/>
      <c r="Y63" s="27"/>
      <c r="AA63" s="27"/>
      <c r="AB63" s="27"/>
      <c r="AC63" s="27"/>
      <c r="AD63" s="27"/>
      <c r="AE63" s="27"/>
      <c r="AF63" s="27"/>
      <c r="AG63" s="27"/>
      <c r="AH63" s="27"/>
      <c r="AI63" s="27"/>
      <c r="AJ63" s="27"/>
      <c r="AK63" s="27"/>
      <c r="AL63" s="27"/>
      <c r="AM63" s="27"/>
      <c r="AN63" s="27"/>
    </row>
    <row r="64">
      <c r="A64" s="100" t="s">
        <v>951</v>
      </c>
      <c r="B64" s="18" t="s">
        <v>952</v>
      </c>
      <c r="C64" s="52" t="s">
        <v>953</v>
      </c>
      <c r="D64" s="18"/>
      <c r="E64" s="86" t="s">
        <v>954</v>
      </c>
      <c r="F64" s="52" t="s">
        <v>955</v>
      </c>
      <c r="G64" s="52" t="s">
        <v>956</v>
      </c>
      <c r="H64" s="71" t="s">
        <v>957</v>
      </c>
      <c r="I64" s="62" t="s">
        <v>863</v>
      </c>
      <c r="J64" s="62">
        <v>12.0</v>
      </c>
      <c r="K64" s="62" t="s">
        <v>841</v>
      </c>
      <c r="L64" s="62" t="s">
        <v>297</v>
      </c>
      <c r="M64" s="65">
        <v>3.4314129E7</v>
      </c>
      <c r="N64" s="65">
        <v>2859510.75</v>
      </c>
      <c r="O64" s="65">
        <v>543521.0</v>
      </c>
      <c r="P64" s="65" t="s">
        <v>811</v>
      </c>
      <c r="Q64" s="64" t="s">
        <v>812</v>
      </c>
      <c r="R64" s="68" t="s">
        <v>116</v>
      </c>
      <c r="S64" s="18" t="s">
        <v>958</v>
      </c>
      <c r="T64" s="18" t="s">
        <v>959</v>
      </c>
      <c r="U64" s="76" t="s">
        <v>960</v>
      </c>
    </row>
    <row r="65" ht="16.5" customHeight="1">
      <c r="A65" s="82" t="s">
        <v>961</v>
      </c>
      <c r="B65" s="40" t="s">
        <v>179</v>
      </c>
      <c r="C65" s="55" t="s">
        <v>962</v>
      </c>
      <c r="D65" s="40"/>
      <c r="E65" s="173" t="s">
        <v>963</v>
      </c>
      <c r="F65" s="52" t="s">
        <v>964</v>
      </c>
      <c r="G65" s="52" t="s">
        <v>965</v>
      </c>
      <c r="H65" s="84" t="s">
        <v>966</v>
      </c>
      <c r="I65" s="62" t="s">
        <v>294</v>
      </c>
      <c r="J65" s="62">
        <v>22.0</v>
      </c>
      <c r="K65" s="62" t="s">
        <v>967</v>
      </c>
      <c r="L65" s="62" t="s">
        <v>139</v>
      </c>
      <c r="M65" s="65">
        <v>1.5764833E7</v>
      </c>
      <c r="N65" s="65">
        <v>716583.318181818</v>
      </c>
      <c r="O65" s="65">
        <v>539707.0</v>
      </c>
      <c r="P65" s="62" t="s">
        <v>811</v>
      </c>
      <c r="Q65" s="18" t="s">
        <v>812</v>
      </c>
      <c r="R65" s="18" t="s">
        <v>197</v>
      </c>
      <c r="S65" s="40" t="s">
        <v>969</v>
      </c>
      <c r="T65" s="40" t="s">
        <v>970</v>
      </c>
      <c r="U65" s="146" t="s">
        <v>971</v>
      </c>
    </row>
    <row r="66">
      <c r="A66" s="133" t="s">
        <v>972</v>
      </c>
      <c r="B66" s="40" t="s">
        <v>179</v>
      </c>
      <c r="C66" s="199" t="s">
        <v>973</v>
      </c>
      <c r="D66" s="18" t="s">
        <v>153</v>
      </c>
      <c r="E66" s="199" t="s">
        <v>975</v>
      </c>
      <c r="F66" s="40" t="s">
        <v>197</v>
      </c>
      <c r="G66" s="55" t="s">
        <v>976</v>
      </c>
      <c r="H66" s="61" t="s">
        <v>977</v>
      </c>
      <c r="I66" s="62" t="s">
        <v>307</v>
      </c>
      <c r="J66" s="62">
        <v>17.0</v>
      </c>
      <c r="K66" s="64" t="s">
        <v>978</v>
      </c>
      <c r="L66" s="64" t="s">
        <v>139</v>
      </c>
      <c r="M66" s="65">
        <v>2.573098E7</v>
      </c>
      <c r="N66" s="65">
        <v>1513587.05882352</v>
      </c>
      <c r="O66" s="65">
        <v>531107.0</v>
      </c>
      <c r="P66" s="65" t="s">
        <v>811</v>
      </c>
      <c r="Q66" s="64" t="s">
        <v>812</v>
      </c>
      <c r="R66" s="68" t="s">
        <v>120</v>
      </c>
      <c r="S66" s="40" t="s">
        <v>979</v>
      </c>
      <c r="T66" s="40" t="s">
        <v>980</v>
      </c>
      <c r="U66" s="118" t="s">
        <v>981</v>
      </c>
    </row>
    <row r="67">
      <c r="A67" s="88" t="s">
        <v>982</v>
      </c>
      <c r="B67" s="40" t="s">
        <v>60</v>
      </c>
      <c r="C67" s="71" t="s">
        <v>983</v>
      </c>
      <c r="D67" s="71" t="s">
        <v>88</v>
      </c>
      <c r="E67" s="64" t="s">
        <v>984</v>
      </c>
      <c r="F67" s="71" t="s">
        <v>985</v>
      </c>
      <c r="G67" s="120" t="s">
        <v>987</v>
      </c>
      <c r="H67" s="71" t="s">
        <v>988</v>
      </c>
      <c r="I67" s="62" t="s">
        <v>989</v>
      </c>
      <c r="J67" s="62">
        <v>7.0</v>
      </c>
      <c r="K67" s="64" t="s">
        <v>990</v>
      </c>
      <c r="L67" s="64" t="s">
        <v>249</v>
      </c>
      <c r="M67" s="65">
        <v>1.3813109E7</v>
      </c>
      <c r="N67" s="65">
        <v>1973301.28571428</v>
      </c>
      <c r="O67" s="65">
        <v>524359.0</v>
      </c>
      <c r="P67" s="65" t="s">
        <v>811</v>
      </c>
      <c r="Q67" s="64" t="s">
        <v>812</v>
      </c>
      <c r="R67" s="68" t="s">
        <v>116</v>
      </c>
      <c r="S67" s="64" t="s">
        <v>991</v>
      </c>
      <c r="T67" s="64" t="s">
        <v>992</v>
      </c>
      <c r="U67" s="90" t="s">
        <v>993</v>
      </c>
      <c r="V67" s="122"/>
      <c r="W67" s="122"/>
      <c r="X67" s="122"/>
      <c r="Y67" s="122"/>
      <c r="Z67" s="122"/>
      <c r="AA67" s="122"/>
      <c r="AB67" s="122"/>
      <c r="AC67" s="122"/>
      <c r="AD67" s="122"/>
      <c r="AE67" s="122"/>
      <c r="AF67" s="122"/>
      <c r="AG67" s="122"/>
      <c r="AH67" s="122"/>
      <c r="AI67" s="122"/>
      <c r="AJ67" s="122"/>
      <c r="AK67" s="122"/>
      <c r="AL67" s="122"/>
      <c r="AM67" s="122"/>
      <c r="AN67" s="122"/>
    </row>
    <row r="68" ht="15.75" customHeight="1">
      <c r="A68" s="49" t="s">
        <v>994</v>
      </c>
      <c r="B68" s="25" t="s">
        <v>179</v>
      </c>
      <c r="C68" s="55" t="s">
        <v>995</v>
      </c>
      <c r="D68" s="40" t="s">
        <v>153</v>
      </c>
      <c r="E68" s="52" t="s">
        <v>996</v>
      </c>
      <c r="F68" s="59" t="s">
        <v>997</v>
      </c>
      <c r="G68" s="52" t="s">
        <v>999</v>
      </c>
      <c r="H68" s="61" t="s">
        <v>1000</v>
      </c>
      <c r="I68" s="62" t="s">
        <v>386</v>
      </c>
      <c r="J68" s="62">
        <v>14.0</v>
      </c>
      <c r="K68" s="64" t="s">
        <v>924</v>
      </c>
      <c r="L68" s="64" t="s">
        <v>297</v>
      </c>
      <c r="M68" s="65">
        <v>2.4480877E7</v>
      </c>
      <c r="N68" s="65">
        <v>1748634.07142857</v>
      </c>
      <c r="O68" s="65">
        <v>485294.0</v>
      </c>
      <c r="P68" s="65" t="s">
        <v>811</v>
      </c>
      <c r="Q68" s="64" t="s">
        <v>812</v>
      </c>
      <c r="R68" s="68" t="s">
        <v>116</v>
      </c>
      <c r="S68" s="40" t="s">
        <v>1001</v>
      </c>
      <c r="T68" s="40" t="s">
        <v>1002</v>
      </c>
      <c r="U68" s="76" t="s">
        <v>1003</v>
      </c>
    </row>
    <row r="69">
      <c r="A69" s="88" t="s">
        <v>1004</v>
      </c>
      <c r="B69" s="18" t="s">
        <v>179</v>
      </c>
      <c r="C69" s="71" t="s">
        <v>1005</v>
      </c>
      <c r="D69" s="64" t="s">
        <v>153</v>
      </c>
      <c r="E69" s="190" t="s">
        <v>1006</v>
      </c>
      <c r="F69" s="176" t="s">
        <v>197</v>
      </c>
      <c r="G69" s="192" t="s">
        <v>1007</v>
      </c>
      <c r="H69" s="190" t="s">
        <v>1008</v>
      </c>
      <c r="I69" s="62">
        <v>20.0</v>
      </c>
      <c r="J69" s="62">
        <v>3.0</v>
      </c>
      <c r="K69" s="62" t="s">
        <v>1009</v>
      </c>
      <c r="L69" s="62" t="s">
        <v>249</v>
      </c>
      <c r="M69" s="65">
        <v>2214730.0</v>
      </c>
      <c r="N69" s="65">
        <v>738243.333333333</v>
      </c>
      <c r="O69" s="65">
        <v>453678.0</v>
      </c>
      <c r="P69" s="64" t="s">
        <v>811</v>
      </c>
      <c r="Q69" s="64" t="s">
        <v>812</v>
      </c>
      <c r="R69" s="68" t="s">
        <v>116</v>
      </c>
      <c r="S69" s="64" t="s">
        <v>1010</v>
      </c>
      <c r="T69" s="64" t="s">
        <v>1011</v>
      </c>
      <c r="U69" s="90" t="s">
        <v>153</v>
      </c>
      <c r="V69" s="191"/>
      <c r="W69" s="191"/>
      <c r="X69" s="191"/>
      <c r="Y69" s="191"/>
      <c r="Z69" s="191"/>
      <c r="AA69" s="191"/>
      <c r="AB69" s="191"/>
      <c r="AC69" s="191"/>
      <c r="AD69" s="191"/>
      <c r="AE69" s="191"/>
      <c r="AF69" s="191"/>
      <c r="AG69" s="191"/>
      <c r="AH69" s="191"/>
      <c r="AI69" s="191"/>
      <c r="AJ69" s="191"/>
      <c r="AK69" s="191"/>
      <c r="AL69" s="191"/>
      <c r="AM69" s="191"/>
      <c r="AN69" s="191"/>
    </row>
    <row r="70">
      <c r="A70" s="49" t="s">
        <v>1012</v>
      </c>
      <c r="B70" s="18" t="s">
        <v>194</v>
      </c>
      <c r="C70" s="52" t="s">
        <v>1013</v>
      </c>
      <c r="D70" s="40" t="s">
        <v>153</v>
      </c>
      <c r="E70" s="40" t="s">
        <v>1014</v>
      </c>
      <c r="F70" s="59" t="s">
        <v>1015</v>
      </c>
      <c r="G70" s="59" t="s">
        <v>1016</v>
      </c>
      <c r="H70" s="61" t="s">
        <v>1018</v>
      </c>
      <c r="I70" s="62" t="s">
        <v>559</v>
      </c>
      <c r="J70" s="62">
        <v>20.0</v>
      </c>
      <c r="K70" s="64" t="s">
        <v>1019</v>
      </c>
      <c r="L70" s="64" t="s">
        <v>773</v>
      </c>
      <c r="M70" s="65">
        <v>2.5492788E7</v>
      </c>
      <c r="N70" s="65">
        <v>1274639.4</v>
      </c>
      <c r="O70" s="65">
        <v>442652.5</v>
      </c>
      <c r="P70" s="65" t="s">
        <v>811</v>
      </c>
      <c r="Q70" s="64" t="s">
        <v>812</v>
      </c>
      <c r="R70" s="68" t="s">
        <v>116</v>
      </c>
      <c r="S70" s="77" t="s">
        <v>1020</v>
      </c>
      <c r="T70" s="40" t="s">
        <v>1021</v>
      </c>
      <c r="U70" s="76" t="s">
        <v>1022</v>
      </c>
    </row>
    <row r="71">
      <c r="A71" s="88" t="s">
        <v>1023</v>
      </c>
      <c r="B71" s="18" t="s">
        <v>357</v>
      </c>
      <c r="C71" s="126" t="s">
        <v>1024</v>
      </c>
      <c r="D71" s="129" t="s">
        <v>153</v>
      </c>
      <c r="E71" s="129" t="s">
        <v>1025</v>
      </c>
      <c r="F71" s="125" t="s">
        <v>1026</v>
      </c>
      <c r="G71" s="193" t="s">
        <v>1027</v>
      </c>
      <c r="H71" s="126" t="s">
        <v>1029</v>
      </c>
      <c r="I71" s="127" t="s">
        <v>153</v>
      </c>
      <c r="J71" s="62">
        <v>10.0</v>
      </c>
      <c r="K71" s="64" t="s">
        <v>1030</v>
      </c>
      <c r="L71" s="64" t="s">
        <v>297</v>
      </c>
      <c r="M71" s="65">
        <v>9605066.0</v>
      </c>
      <c r="N71" s="65">
        <v>960506.6</v>
      </c>
      <c r="O71" s="65">
        <v>413969.5</v>
      </c>
      <c r="P71" s="65" t="s">
        <v>811</v>
      </c>
      <c r="Q71" s="64" t="s">
        <v>812</v>
      </c>
      <c r="R71" s="122" t="s">
        <v>197</v>
      </c>
      <c r="S71" s="129" t="s">
        <v>1031</v>
      </c>
      <c r="T71" s="129" t="s">
        <v>1032</v>
      </c>
      <c r="U71" s="69" t="s">
        <v>1033</v>
      </c>
      <c r="V71" s="27"/>
      <c r="W71" s="27"/>
      <c r="X71" s="27"/>
      <c r="Y71" s="27"/>
      <c r="Z71" s="27"/>
      <c r="AA71" s="27"/>
      <c r="AB71" s="27"/>
      <c r="AC71" s="27"/>
      <c r="AD71" s="27"/>
      <c r="AE71" s="27"/>
      <c r="AF71" s="27"/>
      <c r="AG71" s="27"/>
      <c r="AH71" s="27"/>
      <c r="AI71" s="27"/>
      <c r="AJ71" s="27"/>
      <c r="AK71" s="27"/>
      <c r="AL71" s="27"/>
      <c r="AM71" s="27"/>
      <c r="AN71" s="27"/>
    </row>
    <row r="72">
      <c r="A72" s="82" t="s">
        <v>1035</v>
      </c>
      <c r="B72" s="40" t="s">
        <v>254</v>
      </c>
      <c r="C72" s="55" t="s">
        <v>1037</v>
      </c>
      <c r="D72" s="40" t="s">
        <v>153</v>
      </c>
      <c r="E72" s="40" t="s">
        <v>1038</v>
      </c>
      <c r="F72" s="52" t="s">
        <v>1040</v>
      </c>
      <c r="G72" s="52" t="s">
        <v>1041</v>
      </c>
      <c r="H72" s="61" t="s">
        <v>1044</v>
      </c>
      <c r="I72" s="62" t="s">
        <v>1046</v>
      </c>
      <c r="J72" s="62">
        <v>13.0</v>
      </c>
      <c r="K72" s="64" t="s">
        <v>789</v>
      </c>
      <c r="L72" s="64" t="s">
        <v>139</v>
      </c>
      <c r="M72" s="65">
        <v>4.2805543E7</v>
      </c>
      <c r="N72" s="65">
        <v>3292734.07692307</v>
      </c>
      <c r="O72" s="65">
        <v>347230.0</v>
      </c>
      <c r="P72" s="65" t="s">
        <v>811</v>
      </c>
      <c r="Q72" s="64" t="s">
        <v>812</v>
      </c>
      <c r="R72" s="68" t="s">
        <v>116</v>
      </c>
      <c r="S72" s="40" t="s">
        <v>1048</v>
      </c>
      <c r="T72" s="40" t="s">
        <v>1049</v>
      </c>
      <c r="U72" s="76" t="s">
        <v>1050</v>
      </c>
    </row>
    <row r="73">
      <c r="A73" s="105" t="s">
        <v>1051</v>
      </c>
      <c r="B73" s="18" t="s">
        <v>179</v>
      </c>
      <c r="C73" s="71" t="s">
        <v>1052</v>
      </c>
      <c r="D73" s="201" t="s">
        <v>153</v>
      </c>
      <c r="E73" s="120" t="s">
        <v>1054</v>
      </c>
      <c r="F73" s="202" t="s">
        <v>197</v>
      </c>
      <c r="G73" s="192" t="s">
        <v>1056</v>
      </c>
      <c r="H73" s="192" t="s">
        <v>1057</v>
      </c>
      <c r="I73" s="62" t="s">
        <v>989</v>
      </c>
      <c r="J73" s="62">
        <v>7.0</v>
      </c>
      <c r="K73" s="62" t="s">
        <v>1058</v>
      </c>
      <c r="L73" s="62" t="s">
        <v>285</v>
      </c>
      <c r="M73" s="65">
        <v>6784205.0</v>
      </c>
      <c r="N73" s="65">
        <v>969172.142857142</v>
      </c>
      <c r="O73" s="65">
        <v>336269.0</v>
      </c>
      <c r="P73" s="64" t="s">
        <v>811</v>
      </c>
      <c r="Q73" s="64" t="s">
        <v>812</v>
      </c>
      <c r="R73" s="68" t="s">
        <v>197</v>
      </c>
      <c r="S73" s="64" t="s">
        <v>1059</v>
      </c>
      <c r="T73" s="64" t="s">
        <v>1060</v>
      </c>
      <c r="U73" s="90" t="s">
        <v>1061</v>
      </c>
      <c r="V73" s="191"/>
      <c r="W73" s="191"/>
      <c r="X73" s="191"/>
      <c r="Y73" s="191"/>
      <c r="Z73" s="191"/>
      <c r="AA73" s="191"/>
      <c r="AB73" s="122"/>
      <c r="AC73" s="122"/>
      <c r="AD73" s="122"/>
      <c r="AE73" s="122"/>
      <c r="AF73" s="122"/>
      <c r="AG73" s="122"/>
      <c r="AH73" s="122"/>
      <c r="AI73" s="122"/>
      <c r="AJ73" s="122"/>
      <c r="AK73" s="122"/>
      <c r="AL73" s="122"/>
      <c r="AM73" s="122"/>
      <c r="AN73" s="122"/>
    </row>
    <row r="74">
      <c r="A74" s="49" t="s">
        <v>1062</v>
      </c>
      <c r="B74" s="25" t="s">
        <v>267</v>
      </c>
      <c r="C74" s="116" t="s">
        <v>1063</v>
      </c>
      <c r="D74" s="203" t="s">
        <v>153</v>
      </c>
      <c r="E74" s="71" t="s">
        <v>1065</v>
      </c>
      <c r="F74" s="71" t="s">
        <v>1066</v>
      </c>
      <c r="G74" s="116" t="s">
        <v>1067</v>
      </c>
      <c r="H74" s="61" t="s">
        <v>1068</v>
      </c>
      <c r="I74" s="62" t="s">
        <v>1069</v>
      </c>
      <c r="J74" s="62">
        <v>15.0</v>
      </c>
      <c r="K74" s="64" t="s">
        <v>1070</v>
      </c>
      <c r="L74" s="64" t="s">
        <v>188</v>
      </c>
      <c r="M74" s="65">
        <v>4.3275482E7</v>
      </c>
      <c r="N74" s="65">
        <v>2885032.13333333</v>
      </c>
      <c r="O74" s="65">
        <v>321029.0</v>
      </c>
      <c r="P74" s="65" t="s">
        <v>811</v>
      </c>
      <c r="Q74" s="64" t="s">
        <v>812</v>
      </c>
      <c r="R74" s="68" t="s">
        <v>120</v>
      </c>
      <c r="S74" s="64" t="s">
        <v>1071</v>
      </c>
      <c r="T74" s="64" t="s">
        <v>1072</v>
      </c>
      <c r="U74" s="90" t="s">
        <v>1073</v>
      </c>
      <c r="V74" s="27"/>
      <c r="W74" s="27"/>
      <c r="X74" s="27"/>
      <c r="Y74" s="27"/>
      <c r="Z74" s="27"/>
      <c r="AA74" s="27"/>
      <c r="AB74" s="27"/>
      <c r="AC74" s="27"/>
      <c r="AD74" s="27"/>
      <c r="AE74" s="27"/>
      <c r="AF74" s="27"/>
      <c r="AG74" s="27"/>
      <c r="AH74" s="27"/>
      <c r="AI74" s="27"/>
      <c r="AJ74" s="27"/>
      <c r="AK74" s="27"/>
      <c r="AL74" s="27"/>
      <c r="AM74" s="27"/>
      <c r="AN74" s="27"/>
    </row>
    <row r="75">
      <c r="A75" s="88" t="s">
        <v>1074</v>
      </c>
      <c r="B75" s="18" t="s">
        <v>1075</v>
      </c>
      <c r="C75" s="71" t="s">
        <v>1076</v>
      </c>
      <c r="D75" s="201" t="s">
        <v>153</v>
      </c>
      <c r="E75" s="64" t="s">
        <v>1077</v>
      </c>
      <c r="F75" s="64" t="s">
        <v>197</v>
      </c>
      <c r="G75" s="71" t="s">
        <v>1078</v>
      </c>
      <c r="H75" s="71" t="s">
        <v>1079</v>
      </c>
      <c r="I75" s="62" t="s">
        <v>386</v>
      </c>
      <c r="J75" s="62">
        <v>7.0</v>
      </c>
      <c r="K75" s="64" t="s">
        <v>884</v>
      </c>
      <c r="L75" s="64" t="s">
        <v>773</v>
      </c>
      <c r="M75" s="65">
        <v>1.2595742E7</v>
      </c>
      <c r="N75" s="65">
        <v>1799391.71428571</v>
      </c>
      <c r="O75" s="65">
        <v>293682.0</v>
      </c>
      <c r="P75" s="64" t="s">
        <v>811</v>
      </c>
      <c r="Q75" s="64" t="s">
        <v>812</v>
      </c>
      <c r="R75" s="68" t="s">
        <v>197</v>
      </c>
      <c r="S75" s="64" t="s">
        <v>1080</v>
      </c>
      <c r="T75" s="64" t="s">
        <v>1081</v>
      </c>
      <c r="U75" s="90" t="s">
        <v>1082</v>
      </c>
      <c r="V75" s="122"/>
      <c r="W75" s="122"/>
      <c r="X75" s="122"/>
      <c r="Y75" s="191"/>
      <c r="Z75" s="191"/>
      <c r="AA75" s="191"/>
      <c r="AB75" s="191"/>
      <c r="AC75" s="191"/>
      <c r="AD75" s="191"/>
      <c r="AE75" s="191"/>
      <c r="AF75" s="191"/>
      <c r="AG75" s="191"/>
      <c r="AH75" s="191"/>
      <c r="AI75" s="191"/>
      <c r="AJ75" s="191"/>
      <c r="AK75" s="191"/>
      <c r="AL75" s="191"/>
      <c r="AM75" s="191"/>
      <c r="AN75" s="191"/>
    </row>
    <row r="76">
      <c r="A76" s="82" t="s">
        <v>1083</v>
      </c>
      <c r="B76" s="89" t="s">
        <v>1084</v>
      </c>
      <c r="C76" s="52" t="s">
        <v>1085</v>
      </c>
      <c r="D76" s="40" t="s">
        <v>153</v>
      </c>
      <c r="E76" s="40" t="s">
        <v>1086</v>
      </c>
      <c r="F76" s="52" t="s">
        <v>1087</v>
      </c>
      <c r="G76" s="52" t="s">
        <v>1088</v>
      </c>
      <c r="H76" s="61" t="s">
        <v>1089</v>
      </c>
      <c r="I76" s="72" t="s">
        <v>1090</v>
      </c>
      <c r="J76" s="63" t="s">
        <v>1091</v>
      </c>
      <c r="K76" s="64" t="s">
        <v>1092</v>
      </c>
      <c r="L76" s="64" t="s">
        <v>285</v>
      </c>
      <c r="M76" s="65">
        <v>2.3023965E7</v>
      </c>
      <c r="N76" s="65">
        <v>1438997.8125</v>
      </c>
      <c r="O76" s="65">
        <v>288301.0</v>
      </c>
      <c r="P76" s="66" t="s">
        <v>811</v>
      </c>
      <c r="Q76" s="64" t="s">
        <v>812</v>
      </c>
      <c r="R76" s="68" t="s">
        <v>116</v>
      </c>
      <c r="S76" s="40" t="s">
        <v>1093</v>
      </c>
      <c r="T76" s="40" t="s">
        <v>1094</v>
      </c>
      <c r="U76" s="76" t="s">
        <v>1095</v>
      </c>
      <c r="V76" s="27"/>
    </row>
    <row r="77" ht="15.75" customHeight="1">
      <c r="A77" s="88" t="s">
        <v>1096</v>
      </c>
      <c r="B77" s="64" t="s">
        <v>254</v>
      </c>
      <c r="C77" s="125" t="s">
        <v>1097</v>
      </c>
      <c r="D77" s="18"/>
      <c r="E77" s="204" t="s">
        <v>1098</v>
      </c>
      <c r="F77" s="125" t="s">
        <v>1099</v>
      </c>
      <c r="G77" s="52" t="s">
        <v>1100</v>
      </c>
      <c r="H77" s="59" t="s">
        <v>1101</v>
      </c>
      <c r="I77" s="127" t="s">
        <v>153</v>
      </c>
      <c r="J77" s="127">
        <v>3.0</v>
      </c>
      <c r="K77" s="129" t="s">
        <v>1102</v>
      </c>
      <c r="L77" s="129" t="s">
        <v>853</v>
      </c>
      <c r="M77" s="182">
        <v>4621270.0</v>
      </c>
      <c r="N77" s="182">
        <v>1540423.33333333</v>
      </c>
      <c r="O77" s="182">
        <v>285354.0</v>
      </c>
      <c r="P77" s="64" t="s">
        <v>811</v>
      </c>
      <c r="Q77" s="64" t="s">
        <v>812</v>
      </c>
      <c r="R77" s="68" t="s">
        <v>197</v>
      </c>
      <c r="S77" s="129" t="s">
        <v>1103</v>
      </c>
      <c r="T77" s="129"/>
      <c r="U77" s="69" t="s">
        <v>1104</v>
      </c>
      <c r="V77" s="131"/>
      <c r="W77" s="131"/>
      <c r="X77" s="131"/>
      <c r="Y77" s="131"/>
      <c r="Z77" s="131"/>
      <c r="AA77" s="131"/>
      <c r="AB77" s="131"/>
      <c r="AC77" s="131"/>
      <c r="AD77" s="131"/>
      <c r="AE77" s="131"/>
      <c r="AF77" s="131"/>
      <c r="AG77" s="131"/>
      <c r="AH77" s="131"/>
      <c r="AI77" s="131"/>
      <c r="AJ77" s="131"/>
      <c r="AK77" s="131"/>
      <c r="AL77" s="131"/>
      <c r="AM77" s="131"/>
      <c r="AN77" s="131"/>
    </row>
    <row r="78">
      <c r="A78" s="100" t="s">
        <v>1105</v>
      </c>
      <c r="B78" s="89" t="s">
        <v>165</v>
      </c>
      <c r="C78" s="52" t="s">
        <v>1106</v>
      </c>
      <c r="D78" s="40" t="s">
        <v>153</v>
      </c>
      <c r="E78" s="71" t="s">
        <v>1107</v>
      </c>
      <c r="F78" s="71" t="s">
        <v>1108</v>
      </c>
      <c r="G78" s="52" t="s">
        <v>1109</v>
      </c>
      <c r="H78" s="61" t="s">
        <v>1110</v>
      </c>
      <c r="I78" s="62" t="s">
        <v>1111</v>
      </c>
      <c r="J78" s="63" t="s">
        <v>1112</v>
      </c>
      <c r="K78" s="64" t="s">
        <v>608</v>
      </c>
      <c r="L78" s="64" t="s">
        <v>853</v>
      </c>
      <c r="M78" s="65">
        <v>3.7918932E7</v>
      </c>
      <c r="N78" s="65">
        <v>1516757.28</v>
      </c>
      <c r="O78" s="65">
        <v>279588.0</v>
      </c>
      <c r="P78" s="66" t="s">
        <v>811</v>
      </c>
      <c r="Q78" s="64" t="s">
        <v>812</v>
      </c>
      <c r="R78" s="68" t="s">
        <v>116</v>
      </c>
      <c r="S78" s="40" t="s">
        <v>1113</v>
      </c>
      <c r="T78" s="40" t="s">
        <v>1114</v>
      </c>
      <c r="U78" s="76" t="s">
        <v>1115</v>
      </c>
    </row>
    <row r="79">
      <c r="A79" s="82" t="s">
        <v>1116</v>
      </c>
      <c r="B79" s="40" t="s">
        <v>254</v>
      </c>
      <c r="C79" s="55" t="s">
        <v>1117</v>
      </c>
      <c r="D79" s="40" t="s">
        <v>153</v>
      </c>
      <c r="E79" s="40" t="s">
        <v>1118</v>
      </c>
      <c r="F79" s="52" t="s">
        <v>1119</v>
      </c>
      <c r="G79" s="52" t="s">
        <v>1120</v>
      </c>
      <c r="H79" s="61" t="s">
        <v>1121</v>
      </c>
      <c r="I79" s="62" t="s">
        <v>895</v>
      </c>
      <c r="J79" s="62">
        <v>8.0</v>
      </c>
      <c r="K79" s="64" t="s">
        <v>1122</v>
      </c>
      <c r="L79" s="64" t="s">
        <v>1123</v>
      </c>
      <c r="M79" s="65">
        <v>4650095.0</v>
      </c>
      <c r="N79" s="65">
        <v>581261.875</v>
      </c>
      <c r="O79" s="65">
        <v>278342.0</v>
      </c>
      <c r="P79" s="65" t="s">
        <v>811</v>
      </c>
      <c r="Q79" s="64" t="s">
        <v>812</v>
      </c>
      <c r="R79" s="68" t="s">
        <v>118</v>
      </c>
      <c r="S79" s="40" t="s">
        <v>1124</v>
      </c>
      <c r="T79" s="40" t="s">
        <v>1125</v>
      </c>
      <c r="U79" s="76" t="s">
        <v>153</v>
      </c>
    </row>
    <row r="80">
      <c r="A80" s="82" t="s">
        <v>1126</v>
      </c>
      <c r="B80" s="40" t="s">
        <v>194</v>
      </c>
      <c r="C80" s="55" t="s">
        <v>1127</v>
      </c>
      <c r="D80" s="40" t="s">
        <v>153</v>
      </c>
      <c r="E80" s="55" t="s">
        <v>1128</v>
      </c>
      <c r="F80" s="71" t="s">
        <v>1131</v>
      </c>
      <c r="G80" s="59" t="s">
        <v>1134</v>
      </c>
      <c r="H80" s="61" t="s">
        <v>1135</v>
      </c>
      <c r="I80" s="62" t="s">
        <v>283</v>
      </c>
      <c r="J80" s="62">
        <v>17.0</v>
      </c>
      <c r="K80" s="64" t="s">
        <v>1137</v>
      </c>
      <c r="L80" s="64" t="s">
        <v>853</v>
      </c>
      <c r="M80" s="65">
        <v>2.9379481E7</v>
      </c>
      <c r="N80" s="65">
        <v>1728204.76470588</v>
      </c>
      <c r="O80" s="65">
        <v>268204.0</v>
      </c>
      <c r="P80" s="65" t="s">
        <v>811</v>
      </c>
      <c r="Q80" s="64" t="s">
        <v>812</v>
      </c>
      <c r="R80" s="68" t="s">
        <v>116</v>
      </c>
      <c r="S80" s="77" t="s">
        <v>1138</v>
      </c>
      <c r="T80" s="40" t="s">
        <v>1139</v>
      </c>
      <c r="U80" s="76" t="s">
        <v>1140</v>
      </c>
    </row>
    <row r="81">
      <c r="A81" s="70" t="s">
        <v>1141</v>
      </c>
      <c r="B81" s="40" t="s">
        <v>194</v>
      </c>
      <c r="C81" s="55" t="s">
        <v>1142</v>
      </c>
      <c r="D81" s="40" t="s">
        <v>153</v>
      </c>
      <c r="E81" s="52" t="s">
        <v>1142</v>
      </c>
      <c r="F81" s="139" t="s">
        <v>1227</v>
      </c>
      <c r="G81" s="52" t="s">
        <v>1144</v>
      </c>
      <c r="H81" s="61" t="s">
        <v>1145</v>
      </c>
      <c r="I81" s="62" t="s">
        <v>1146</v>
      </c>
      <c r="J81" s="62">
        <v>28.0</v>
      </c>
      <c r="K81" s="64" t="s">
        <v>1147</v>
      </c>
      <c r="L81" s="64" t="s">
        <v>188</v>
      </c>
      <c r="M81" s="65">
        <v>3.6836379E7</v>
      </c>
      <c r="N81" s="65">
        <v>1315584.96428571</v>
      </c>
      <c r="O81" s="65">
        <v>264403.0</v>
      </c>
      <c r="P81" s="65" t="s">
        <v>811</v>
      </c>
      <c r="Q81" s="64" t="s">
        <v>812</v>
      </c>
      <c r="R81" s="68" t="s">
        <v>116</v>
      </c>
      <c r="S81" s="40" t="s">
        <v>1148</v>
      </c>
      <c r="T81" s="40" t="s">
        <v>1149</v>
      </c>
      <c r="U81" s="76" t="s">
        <v>1150</v>
      </c>
    </row>
    <row r="82" ht="17.25" customHeight="1">
      <c r="A82" s="88" t="s">
        <v>1151</v>
      </c>
      <c r="B82" s="22" t="s">
        <v>194</v>
      </c>
      <c r="C82" s="71" t="s">
        <v>1152</v>
      </c>
      <c r="D82" s="64" t="s">
        <v>153</v>
      </c>
      <c r="E82" s="190" t="s">
        <v>1154</v>
      </c>
      <c r="F82" s="71" t="s">
        <v>1157</v>
      </c>
      <c r="G82" s="71" t="s">
        <v>1158</v>
      </c>
      <c r="H82" s="190" t="s">
        <v>1160</v>
      </c>
      <c r="I82" s="62">
        <v>285.0</v>
      </c>
      <c r="J82" s="62">
        <v>6.0</v>
      </c>
      <c r="K82" s="62" t="s">
        <v>1161</v>
      </c>
      <c r="L82" s="62" t="s">
        <v>285</v>
      </c>
      <c r="M82" s="80">
        <v>2461507.0</v>
      </c>
      <c r="N82" s="65">
        <v>410251.166666666</v>
      </c>
      <c r="O82" s="65">
        <v>249613.5</v>
      </c>
      <c r="P82" s="64" t="s">
        <v>811</v>
      </c>
      <c r="Q82" s="64" t="s">
        <v>812</v>
      </c>
      <c r="R82" s="68" t="s">
        <v>197</v>
      </c>
      <c r="S82" s="64" t="s">
        <v>1162</v>
      </c>
      <c r="T82" s="64" t="s">
        <v>1163</v>
      </c>
      <c r="U82" s="90" t="s">
        <v>1164</v>
      </c>
      <c r="V82" s="191"/>
      <c r="W82" s="191"/>
      <c r="X82" s="191"/>
      <c r="Y82" s="191"/>
      <c r="Z82" s="191"/>
      <c r="AA82" s="191"/>
      <c r="AB82" s="191"/>
      <c r="AC82" s="191"/>
      <c r="AD82" s="191"/>
      <c r="AE82" s="191"/>
      <c r="AF82" s="191"/>
      <c r="AG82" s="191"/>
      <c r="AH82" s="191"/>
      <c r="AI82" s="191"/>
      <c r="AJ82" s="191"/>
      <c r="AK82" s="191"/>
      <c r="AL82" s="191"/>
      <c r="AM82" s="191"/>
      <c r="AN82" s="191"/>
    </row>
    <row r="83">
      <c r="A83" s="133" t="s">
        <v>1165</v>
      </c>
      <c r="B83" s="18" t="s">
        <v>778</v>
      </c>
      <c r="C83" s="55" t="s">
        <v>1166</v>
      </c>
      <c r="D83" s="55" t="s">
        <v>1168</v>
      </c>
      <c r="E83" s="40" t="s">
        <v>1169</v>
      </c>
      <c r="F83" s="162" t="s">
        <v>1257</v>
      </c>
      <c r="G83" s="59" t="s">
        <v>1171</v>
      </c>
      <c r="H83" s="61" t="s">
        <v>1172</v>
      </c>
      <c r="I83" s="62" t="s">
        <v>1173</v>
      </c>
      <c r="J83" s="62">
        <v>30.0</v>
      </c>
      <c r="K83" s="64" t="s">
        <v>1174</v>
      </c>
      <c r="L83" s="64" t="s">
        <v>188</v>
      </c>
      <c r="M83" s="65">
        <v>1.9602049E7</v>
      </c>
      <c r="N83" s="65">
        <v>653401.633333333</v>
      </c>
      <c r="O83" s="65">
        <v>242846.0</v>
      </c>
      <c r="P83" s="65" t="s">
        <v>811</v>
      </c>
      <c r="Q83" s="64" t="s">
        <v>812</v>
      </c>
      <c r="R83" s="68" t="s">
        <v>120</v>
      </c>
      <c r="S83" s="25" t="s">
        <v>1175</v>
      </c>
      <c r="T83" s="40" t="s">
        <v>1176</v>
      </c>
      <c r="U83" s="69" t="s">
        <v>1177</v>
      </c>
      <c r="V83" s="27"/>
    </row>
    <row r="84">
      <c r="A84" s="133" t="s">
        <v>1178</v>
      </c>
      <c r="B84" s="18" t="s">
        <v>179</v>
      </c>
      <c r="C84" s="55" t="s">
        <v>1179</v>
      </c>
      <c r="D84" s="52" t="s">
        <v>1181</v>
      </c>
      <c r="E84" s="52" t="s">
        <v>1182</v>
      </c>
      <c r="F84" s="71" t="s">
        <v>1183</v>
      </c>
      <c r="G84" s="52" t="s">
        <v>1184</v>
      </c>
      <c r="H84" s="61" t="s">
        <v>1185</v>
      </c>
      <c r="I84" s="62" t="s">
        <v>559</v>
      </c>
      <c r="J84" s="62">
        <v>36.0</v>
      </c>
      <c r="K84" s="64" t="s">
        <v>375</v>
      </c>
      <c r="L84" s="64" t="s">
        <v>139</v>
      </c>
      <c r="M84" s="65">
        <v>4.52081E7</v>
      </c>
      <c r="N84" s="65">
        <v>1255780.55555555</v>
      </c>
      <c r="O84" s="65">
        <v>235500.0</v>
      </c>
      <c r="P84" s="65" t="s">
        <v>811</v>
      </c>
      <c r="Q84" s="64" t="s">
        <v>812</v>
      </c>
      <c r="R84" s="68" t="s">
        <v>120</v>
      </c>
      <c r="S84" s="40" t="s">
        <v>1186</v>
      </c>
      <c r="T84" s="40" t="s">
        <v>1187</v>
      </c>
      <c r="U84" s="90" t="s">
        <v>1188</v>
      </c>
      <c r="V84" s="27"/>
    </row>
    <row r="85">
      <c r="A85" s="133" t="s">
        <v>1189</v>
      </c>
      <c r="B85" s="18" t="s">
        <v>469</v>
      </c>
      <c r="C85" s="52" t="s">
        <v>1190</v>
      </c>
      <c r="D85" s="139" t="s">
        <v>1283</v>
      </c>
      <c r="E85" s="40" t="s">
        <v>1192</v>
      </c>
      <c r="F85" s="162" t="s">
        <v>1193</v>
      </c>
      <c r="G85" s="59" t="s">
        <v>1194</v>
      </c>
      <c r="H85" s="61" t="s">
        <v>1195</v>
      </c>
      <c r="I85" s="62" t="s">
        <v>1196</v>
      </c>
      <c r="J85" s="62">
        <v>6.0</v>
      </c>
      <c r="K85" s="64" t="s">
        <v>1197</v>
      </c>
      <c r="L85" s="64" t="s">
        <v>297</v>
      </c>
      <c r="M85" s="65">
        <v>4369464.0</v>
      </c>
      <c r="N85" s="65">
        <v>728244.0</v>
      </c>
      <c r="O85" s="65">
        <v>219131.0</v>
      </c>
      <c r="P85" s="65" t="s">
        <v>811</v>
      </c>
      <c r="Q85" s="64" t="s">
        <v>812</v>
      </c>
      <c r="R85" s="68" t="s">
        <v>120</v>
      </c>
      <c r="S85" s="25" t="s">
        <v>1198</v>
      </c>
      <c r="T85" s="40" t="s">
        <v>1199</v>
      </c>
      <c r="U85" s="69" t="s">
        <v>1200</v>
      </c>
      <c r="V85" s="27"/>
    </row>
    <row r="86">
      <c r="A86" s="70" t="s">
        <v>1201</v>
      </c>
      <c r="B86" s="40" t="s">
        <v>165</v>
      </c>
      <c r="C86" s="52" t="s">
        <v>1202</v>
      </c>
      <c r="D86" s="40" t="s">
        <v>153</v>
      </c>
      <c r="E86" s="40" t="s">
        <v>1203</v>
      </c>
      <c r="F86" s="71" t="s">
        <v>1204</v>
      </c>
      <c r="G86" s="55" t="s">
        <v>1205</v>
      </c>
      <c r="H86" s="61" t="s">
        <v>1206</v>
      </c>
      <c r="I86" s="62" t="s">
        <v>989</v>
      </c>
      <c r="J86" s="62">
        <v>3.0</v>
      </c>
      <c r="K86" s="64" t="s">
        <v>1207</v>
      </c>
      <c r="L86" s="64" t="s">
        <v>365</v>
      </c>
      <c r="M86" s="65">
        <v>1259316.0</v>
      </c>
      <c r="N86" s="65">
        <v>419772.0</v>
      </c>
      <c r="O86" s="65">
        <v>209959.0</v>
      </c>
      <c r="P86" s="65" t="s">
        <v>811</v>
      </c>
      <c r="Q86" s="64" t="s">
        <v>812</v>
      </c>
      <c r="R86" s="68" t="s">
        <v>197</v>
      </c>
      <c r="S86" s="40" t="s">
        <v>1208</v>
      </c>
      <c r="T86" s="40" t="s">
        <v>1209</v>
      </c>
      <c r="U86" s="115" t="s">
        <v>1210</v>
      </c>
    </row>
    <row r="87">
      <c r="A87" s="82" t="s">
        <v>1211</v>
      </c>
      <c r="B87" s="40" t="s">
        <v>524</v>
      </c>
      <c r="C87" s="52" t="s">
        <v>1212</v>
      </c>
      <c r="D87" s="86" t="s">
        <v>153</v>
      </c>
      <c r="E87" s="40" t="s">
        <v>1213</v>
      </c>
      <c r="F87" s="52" t="s">
        <v>1214</v>
      </c>
      <c r="G87" s="52" t="s">
        <v>1215</v>
      </c>
      <c r="H87" s="61" t="s">
        <v>1216</v>
      </c>
      <c r="I87" s="62">
        <v>846.0</v>
      </c>
      <c r="J87" s="62">
        <v>9.0</v>
      </c>
      <c r="K87" s="64" t="s">
        <v>464</v>
      </c>
      <c r="L87" s="64" t="s">
        <v>285</v>
      </c>
      <c r="M87" s="65">
        <v>2890450.0</v>
      </c>
      <c r="N87" s="65">
        <v>321161.111111111</v>
      </c>
      <c r="O87" s="65">
        <v>199765.0</v>
      </c>
      <c r="P87" s="65" t="s">
        <v>811</v>
      </c>
      <c r="Q87" s="64" t="s">
        <v>812</v>
      </c>
      <c r="R87" s="68" t="s">
        <v>118</v>
      </c>
      <c r="S87" s="40" t="s">
        <v>1217</v>
      </c>
      <c r="T87" s="40" t="s">
        <v>1218</v>
      </c>
      <c r="U87" s="76" t="s">
        <v>1219</v>
      </c>
    </row>
    <row r="88">
      <c r="A88" s="170" t="s">
        <v>1220</v>
      </c>
      <c r="B88" s="64" t="s">
        <v>302</v>
      </c>
      <c r="C88" s="173" t="s">
        <v>1221</v>
      </c>
      <c r="D88" s="173" t="s">
        <v>1222</v>
      </c>
      <c r="E88" s="68" t="s">
        <v>1223</v>
      </c>
      <c r="F88" s="120" t="s">
        <v>1224</v>
      </c>
      <c r="G88" s="205" t="s">
        <v>1225</v>
      </c>
      <c r="H88" s="61" t="s">
        <v>1226</v>
      </c>
      <c r="I88" s="62" t="s">
        <v>1046</v>
      </c>
      <c r="J88" s="62">
        <v>61.0</v>
      </c>
      <c r="K88" s="64" t="s">
        <v>160</v>
      </c>
      <c r="L88" s="64" t="s">
        <v>188</v>
      </c>
      <c r="M88" s="65">
        <v>3.5312728E7</v>
      </c>
      <c r="N88" s="65">
        <v>578897.180327868</v>
      </c>
      <c r="O88" s="65">
        <v>190760.0</v>
      </c>
      <c r="P88" s="65" t="s">
        <v>811</v>
      </c>
      <c r="Q88" s="64" t="s">
        <v>812</v>
      </c>
      <c r="R88" s="68" t="s">
        <v>118</v>
      </c>
      <c r="S88" s="102" t="s">
        <v>1228</v>
      </c>
      <c r="T88" s="119" t="s">
        <v>1229</v>
      </c>
      <c r="U88" s="206" t="s">
        <v>1230</v>
      </c>
      <c r="V88" s="27"/>
      <c r="W88" s="27"/>
      <c r="X88" s="27"/>
      <c r="Y88" s="27"/>
      <c r="AA88" s="27"/>
      <c r="AB88" s="27"/>
      <c r="AC88" s="27"/>
      <c r="AD88" s="27"/>
      <c r="AE88" s="27"/>
      <c r="AF88" s="27"/>
      <c r="AG88" s="27"/>
      <c r="AH88" s="27"/>
      <c r="AI88" s="27"/>
      <c r="AJ88" s="27"/>
      <c r="AK88" s="27"/>
      <c r="AL88" s="27"/>
      <c r="AM88" s="27"/>
      <c r="AN88" s="27"/>
    </row>
    <row r="89">
      <c r="A89" s="82" t="s">
        <v>1231</v>
      </c>
      <c r="B89" s="40" t="s">
        <v>165</v>
      </c>
      <c r="C89" s="55" t="s">
        <v>1232</v>
      </c>
      <c r="D89" s="52" t="s">
        <v>1233</v>
      </c>
      <c r="E89" s="149" t="s">
        <v>1326</v>
      </c>
      <c r="F89" s="139" t="s">
        <v>1333</v>
      </c>
      <c r="G89" s="55" t="s">
        <v>1239</v>
      </c>
      <c r="H89" s="61" t="s">
        <v>1241</v>
      </c>
      <c r="I89" s="62" t="s">
        <v>863</v>
      </c>
      <c r="J89" s="62">
        <v>13.0</v>
      </c>
      <c r="K89" s="64" t="s">
        <v>1242</v>
      </c>
      <c r="L89" s="64" t="s">
        <v>139</v>
      </c>
      <c r="M89" s="65">
        <v>3955854.0</v>
      </c>
      <c r="N89" s="65">
        <v>304296.461538461</v>
      </c>
      <c r="O89" s="65">
        <v>187052.0</v>
      </c>
      <c r="P89" s="65" t="s">
        <v>811</v>
      </c>
      <c r="Q89" s="64" t="s">
        <v>812</v>
      </c>
      <c r="R89" s="68" t="s">
        <v>116</v>
      </c>
      <c r="S89" s="40" t="s">
        <v>1243</v>
      </c>
      <c r="T89" s="40" t="s">
        <v>1244</v>
      </c>
      <c r="U89" s="74" t="s">
        <v>1245</v>
      </c>
    </row>
    <row r="90">
      <c r="A90" s="82" t="s">
        <v>1246</v>
      </c>
      <c r="B90" s="40" t="s">
        <v>357</v>
      </c>
      <c r="C90" s="55" t="s">
        <v>1247</v>
      </c>
      <c r="D90" s="40" t="s">
        <v>153</v>
      </c>
      <c r="E90" s="176" t="s">
        <v>197</v>
      </c>
      <c r="F90" s="207" t="s">
        <v>197</v>
      </c>
      <c r="G90" s="52" t="s">
        <v>1248</v>
      </c>
      <c r="H90" s="61" t="s">
        <v>1249</v>
      </c>
      <c r="I90" s="62" t="s">
        <v>283</v>
      </c>
      <c r="J90" s="62">
        <v>12.0</v>
      </c>
      <c r="K90" s="64" t="s">
        <v>1250</v>
      </c>
      <c r="L90" s="64" t="s">
        <v>139</v>
      </c>
      <c r="M90" s="65">
        <v>4.9273879E7</v>
      </c>
      <c r="N90" s="65">
        <v>4106156.58333333</v>
      </c>
      <c r="O90" s="65">
        <v>185295.5</v>
      </c>
      <c r="P90" s="65" t="s">
        <v>811</v>
      </c>
      <c r="Q90" s="64" t="s">
        <v>812</v>
      </c>
      <c r="R90" s="68" t="s">
        <v>118</v>
      </c>
      <c r="S90" s="40" t="s">
        <v>1251</v>
      </c>
      <c r="T90" s="40" t="s">
        <v>1252</v>
      </c>
      <c r="U90" s="69" t="s">
        <v>1253</v>
      </c>
    </row>
    <row r="91" ht="15.75" customHeight="1">
      <c r="A91" s="88" t="s">
        <v>1254</v>
      </c>
      <c r="B91" s="40" t="s">
        <v>218</v>
      </c>
      <c r="C91" s="61" t="s">
        <v>1255</v>
      </c>
      <c r="D91" s="61" t="s">
        <v>1256</v>
      </c>
      <c r="E91" s="64" t="s">
        <v>1258</v>
      </c>
      <c r="F91" s="71" t="s">
        <v>1259</v>
      </c>
      <c r="G91" s="209" t="s">
        <v>1260</v>
      </c>
      <c r="H91" s="61" t="s">
        <v>1261</v>
      </c>
      <c r="I91" s="62" t="s">
        <v>989</v>
      </c>
      <c r="J91" s="62">
        <v>20.0</v>
      </c>
      <c r="K91" s="64" t="s">
        <v>1262</v>
      </c>
      <c r="L91" s="64" t="s">
        <v>285</v>
      </c>
      <c r="M91" s="65">
        <v>1.5512937E7</v>
      </c>
      <c r="N91" s="65">
        <v>775646.85</v>
      </c>
      <c r="O91" s="65">
        <v>184970.0</v>
      </c>
      <c r="P91" s="65" t="s">
        <v>811</v>
      </c>
      <c r="Q91" s="64" t="s">
        <v>812</v>
      </c>
      <c r="R91" s="68" t="s">
        <v>197</v>
      </c>
      <c r="S91" s="64" t="s">
        <v>1263</v>
      </c>
      <c r="T91" s="64" t="s">
        <v>1264</v>
      </c>
      <c r="U91" s="179" t="s">
        <v>1265</v>
      </c>
      <c r="V91" s="122"/>
      <c r="W91" s="122"/>
      <c r="X91" s="122"/>
      <c r="Y91" s="122"/>
      <c r="Z91" s="122"/>
      <c r="AA91" s="122"/>
    </row>
    <row r="92">
      <c r="A92" s="82" t="s">
        <v>1266</v>
      </c>
      <c r="B92" s="40" t="s">
        <v>165</v>
      </c>
      <c r="C92" s="55" t="s">
        <v>1267</v>
      </c>
      <c r="D92" s="55" t="s">
        <v>1268</v>
      </c>
      <c r="E92" s="40" t="s">
        <v>1269</v>
      </c>
      <c r="F92" s="52" t="s">
        <v>1270</v>
      </c>
      <c r="G92" s="52" t="s">
        <v>1271</v>
      </c>
      <c r="H92" s="61" t="s">
        <v>1272</v>
      </c>
      <c r="I92" s="62" t="s">
        <v>1273</v>
      </c>
      <c r="J92" s="62">
        <v>52.0</v>
      </c>
      <c r="K92" s="64" t="s">
        <v>1274</v>
      </c>
      <c r="L92" s="64" t="s">
        <v>188</v>
      </c>
      <c r="M92" s="65">
        <v>3.5257624E7</v>
      </c>
      <c r="N92" s="65">
        <v>678031.23076923</v>
      </c>
      <c r="O92" s="65">
        <v>180933.5</v>
      </c>
      <c r="P92" s="65" t="s">
        <v>811</v>
      </c>
      <c r="Q92" s="64" t="s">
        <v>812</v>
      </c>
      <c r="R92" s="68" t="s">
        <v>116</v>
      </c>
      <c r="S92" s="40" t="s">
        <v>1275</v>
      </c>
      <c r="T92" s="40" t="s">
        <v>1276</v>
      </c>
      <c r="U92" s="76" t="s">
        <v>1277</v>
      </c>
    </row>
    <row r="93">
      <c r="A93" s="45" t="s">
        <v>1278</v>
      </c>
      <c r="B93" s="25" t="s">
        <v>194</v>
      </c>
      <c r="C93" s="52" t="s">
        <v>1279</v>
      </c>
      <c r="D93" s="40" t="s">
        <v>153</v>
      </c>
      <c r="E93" s="64" t="s">
        <v>1280</v>
      </c>
      <c r="F93" s="71" t="s">
        <v>1281</v>
      </c>
      <c r="G93" s="55" t="s">
        <v>1282</v>
      </c>
      <c r="H93" s="71" t="s">
        <v>1284</v>
      </c>
      <c r="I93" s="62" t="s">
        <v>386</v>
      </c>
      <c r="J93" s="62">
        <v>14.0</v>
      </c>
      <c r="K93" s="64" t="s">
        <v>353</v>
      </c>
      <c r="L93" s="64" t="s">
        <v>1285</v>
      </c>
      <c r="M93" s="65">
        <v>1.0119346E7</v>
      </c>
      <c r="N93" s="65">
        <v>722810.428571428</v>
      </c>
      <c r="O93" s="65">
        <v>180428.5</v>
      </c>
      <c r="P93" s="65" t="s">
        <v>811</v>
      </c>
      <c r="Q93" s="64" t="s">
        <v>812</v>
      </c>
      <c r="R93" s="68" t="s">
        <v>116</v>
      </c>
      <c r="S93" s="40" t="s">
        <v>1286</v>
      </c>
      <c r="T93" s="40" t="s">
        <v>1287</v>
      </c>
      <c r="U93" s="76" t="s">
        <v>1288</v>
      </c>
    </row>
    <row r="94">
      <c r="A94" s="100" t="s">
        <v>1289</v>
      </c>
      <c r="B94" s="18" t="s">
        <v>179</v>
      </c>
      <c r="C94" s="55" t="s">
        <v>1290</v>
      </c>
      <c r="D94" s="52" t="s">
        <v>1291</v>
      </c>
      <c r="E94" s="40" t="s">
        <v>1292</v>
      </c>
      <c r="F94" s="18" t="s">
        <v>197</v>
      </c>
      <c r="G94" s="52" t="s">
        <v>1293</v>
      </c>
      <c r="H94" s="61" t="s">
        <v>1294</v>
      </c>
      <c r="I94" s="62" t="s">
        <v>1295</v>
      </c>
      <c r="J94" s="62">
        <v>21.0</v>
      </c>
      <c r="K94" s="64" t="s">
        <v>1296</v>
      </c>
      <c r="L94" s="64" t="s">
        <v>853</v>
      </c>
      <c r="M94" s="65">
        <v>7661810.0</v>
      </c>
      <c r="N94" s="65">
        <v>364848.095238095</v>
      </c>
      <c r="O94" s="65">
        <v>161481.0</v>
      </c>
      <c r="P94" s="65" t="s">
        <v>811</v>
      </c>
      <c r="Q94" s="64" t="s">
        <v>812</v>
      </c>
      <c r="R94" s="68" t="s">
        <v>120</v>
      </c>
      <c r="S94" s="40" t="s">
        <v>1297</v>
      </c>
      <c r="T94" s="40" t="s">
        <v>1298</v>
      </c>
      <c r="U94" s="76" t="s">
        <v>1299</v>
      </c>
    </row>
    <row r="95">
      <c r="A95" s="45" t="s">
        <v>1300</v>
      </c>
      <c r="B95" s="25" t="s">
        <v>194</v>
      </c>
      <c r="C95" s="55" t="s">
        <v>1301</v>
      </c>
      <c r="D95" s="40" t="s">
        <v>153</v>
      </c>
      <c r="E95" s="149" t="s">
        <v>1302</v>
      </c>
      <c r="F95" s="59" t="s">
        <v>1303</v>
      </c>
      <c r="G95" s="55" t="s">
        <v>1304</v>
      </c>
      <c r="H95" s="61" t="s">
        <v>1305</v>
      </c>
      <c r="I95" s="43">
        <v>262.0</v>
      </c>
      <c r="J95" s="62">
        <v>15.0</v>
      </c>
      <c r="K95" s="64" t="s">
        <v>1306</v>
      </c>
      <c r="L95" s="64" t="s">
        <v>297</v>
      </c>
      <c r="M95" s="65">
        <v>4514475.0</v>
      </c>
      <c r="N95" s="65">
        <v>300965.0</v>
      </c>
      <c r="O95" s="65">
        <v>147377.0</v>
      </c>
      <c r="P95" s="65" t="s">
        <v>811</v>
      </c>
      <c r="Q95" s="64" t="s">
        <v>812</v>
      </c>
      <c r="R95" s="68" t="s">
        <v>116</v>
      </c>
      <c r="S95" s="25" t="s">
        <v>1307</v>
      </c>
      <c r="T95" s="18" t="s">
        <v>1308</v>
      </c>
      <c r="U95" s="76" t="s">
        <v>1309</v>
      </c>
    </row>
    <row r="96">
      <c r="A96" s="70" t="s">
        <v>1310</v>
      </c>
      <c r="B96" s="77" t="s">
        <v>678</v>
      </c>
      <c r="C96" s="52" t="s">
        <v>1311</v>
      </c>
      <c r="D96" s="55" t="s">
        <v>1312</v>
      </c>
      <c r="E96" s="40" t="s">
        <v>1313</v>
      </c>
      <c r="F96" s="52" t="s">
        <v>1314</v>
      </c>
      <c r="G96" s="52" t="s">
        <v>1315</v>
      </c>
      <c r="H96" s="61" t="s">
        <v>1316</v>
      </c>
      <c r="I96" s="62" t="s">
        <v>1111</v>
      </c>
      <c r="J96" s="62">
        <v>35.0</v>
      </c>
      <c r="K96" s="64" t="s">
        <v>713</v>
      </c>
      <c r="L96" s="64" t="s">
        <v>139</v>
      </c>
      <c r="M96" s="65">
        <v>1.9381747E7</v>
      </c>
      <c r="N96" s="65">
        <v>553764.2</v>
      </c>
      <c r="O96" s="65">
        <v>146125.0</v>
      </c>
      <c r="P96" s="65" t="s">
        <v>811</v>
      </c>
      <c r="Q96" s="64" t="s">
        <v>812</v>
      </c>
      <c r="R96" s="68" t="s">
        <v>118</v>
      </c>
      <c r="S96" s="40" t="s">
        <v>1317</v>
      </c>
      <c r="T96" s="40" t="s">
        <v>1318</v>
      </c>
      <c r="U96" s="90" t="s">
        <v>1319</v>
      </c>
    </row>
    <row r="97">
      <c r="A97" s="49" t="s">
        <v>1320</v>
      </c>
      <c r="B97" s="18" t="s">
        <v>218</v>
      </c>
      <c r="C97" s="52" t="s">
        <v>1321</v>
      </c>
      <c r="D97" s="40" t="s">
        <v>153</v>
      </c>
      <c r="E97" s="40" t="s">
        <v>1322</v>
      </c>
      <c r="F97" s="59" t="s">
        <v>1323</v>
      </c>
      <c r="G97" s="52" t="s">
        <v>1324</v>
      </c>
      <c r="H97" s="61" t="s">
        <v>1325</v>
      </c>
      <c r="I97" s="62" t="s">
        <v>1327</v>
      </c>
      <c r="J97" s="62">
        <v>27.0</v>
      </c>
      <c r="K97" s="64" t="s">
        <v>1328</v>
      </c>
      <c r="L97" s="64" t="s">
        <v>139</v>
      </c>
      <c r="M97" s="65">
        <v>3.2036981E7</v>
      </c>
      <c r="N97" s="65">
        <v>1186554.85185185</v>
      </c>
      <c r="O97" s="65">
        <v>144629.0</v>
      </c>
      <c r="P97" s="65" t="s">
        <v>811</v>
      </c>
      <c r="Q97" s="64" t="s">
        <v>812</v>
      </c>
      <c r="R97" s="68" t="s">
        <v>116</v>
      </c>
      <c r="S97" s="40" t="s">
        <v>1329</v>
      </c>
      <c r="T97" s="40" t="s">
        <v>1330</v>
      </c>
      <c r="U97" s="76" t="s">
        <v>1331</v>
      </c>
    </row>
    <row r="98">
      <c r="A98" s="88" t="s">
        <v>1332</v>
      </c>
      <c r="B98" s="64" t="s">
        <v>194</v>
      </c>
      <c r="C98" s="120" t="s">
        <v>1334</v>
      </c>
      <c r="D98" s="40" t="s">
        <v>153</v>
      </c>
      <c r="E98" s="71" t="s">
        <v>1335</v>
      </c>
      <c r="F98" s="71" t="s">
        <v>1336</v>
      </c>
      <c r="G98" s="71" t="s">
        <v>1337</v>
      </c>
      <c r="H98" s="71" t="s">
        <v>1338</v>
      </c>
      <c r="I98" s="62" t="s">
        <v>752</v>
      </c>
      <c r="J98" s="62">
        <v>30.0</v>
      </c>
      <c r="K98" s="64" t="s">
        <v>1339</v>
      </c>
      <c r="L98" s="64" t="s">
        <v>297</v>
      </c>
      <c r="M98" s="65">
        <v>8656831.0</v>
      </c>
      <c r="N98" s="65">
        <v>288561.033333333</v>
      </c>
      <c r="O98" s="65">
        <v>125708.5</v>
      </c>
      <c r="P98" s="65" t="s">
        <v>811</v>
      </c>
      <c r="Q98" s="64" t="s">
        <v>812</v>
      </c>
      <c r="R98" s="68" t="s">
        <v>197</v>
      </c>
      <c r="S98" s="64" t="s">
        <v>1340</v>
      </c>
      <c r="T98" s="64" t="s">
        <v>1341</v>
      </c>
      <c r="U98" s="90" t="s">
        <v>1342</v>
      </c>
      <c r="V98" s="122"/>
      <c r="W98" s="122"/>
      <c r="X98" s="122"/>
      <c r="Y98" s="122"/>
      <c r="Z98" s="27"/>
      <c r="AA98" s="27"/>
      <c r="AB98" s="27"/>
      <c r="AC98" s="27"/>
      <c r="AD98" s="27"/>
      <c r="AE98" s="27"/>
      <c r="AF98" s="27"/>
      <c r="AG98" s="27"/>
      <c r="AH98" s="27"/>
      <c r="AI98" s="27"/>
      <c r="AJ98" s="27"/>
      <c r="AK98" s="27"/>
      <c r="AL98" s="27"/>
      <c r="AM98" s="27"/>
      <c r="AN98" s="27"/>
    </row>
    <row r="99">
      <c r="A99" s="70" t="s">
        <v>1343</v>
      </c>
      <c r="B99" s="77" t="s">
        <v>469</v>
      </c>
      <c r="C99" s="55" t="s">
        <v>1344</v>
      </c>
      <c r="D99" s="40" t="s">
        <v>252</v>
      </c>
      <c r="E99" s="52" t="s">
        <v>1345</v>
      </c>
      <c r="F99" s="52" t="s">
        <v>1346</v>
      </c>
      <c r="G99" s="59" t="s">
        <v>1347</v>
      </c>
      <c r="H99" s="61" t="s">
        <v>1348</v>
      </c>
      <c r="I99" s="62" t="s">
        <v>945</v>
      </c>
      <c r="J99" s="62">
        <v>18.0</v>
      </c>
      <c r="K99" s="64" t="s">
        <v>1349</v>
      </c>
      <c r="L99" s="64" t="s">
        <v>1285</v>
      </c>
      <c r="M99" s="65">
        <v>2.2515125E7</v>
      </c>
      <c r="N99" s="65">
        <v>1250840.27777777</v>
      </c>
      <c r="O99" s="65">
        <v>121321.0</v>
      </c>
      <c r="P99" s="65" t="s">
        <v>811</v>
      </c>
      <c r="Q99" s="64" t="s">
        <v>812</v>
      </c>
      <c r="R99" s="68" t="s">
        <v>116</v>
      </c>
      <c r="S99" s="40" t="s">
        <v>1350</v>
      </c>
      <c r="T99" s="40" t="s">
        <v>1351</v>
      </c>
      <c r="U99" s="76" t="s">
        <v>1352</v>
      </c>
    </row>
    <row r="100">
      <c r="A100" s="45" t="s">
        <v>1353</v>
      </c>
      <c r="B100" s="18" t="s">
        <v>179</v>
      </c>
      <c r="C100" s="55" t="s">
        <v>1354</v>
      </c>
      <c r="D100" s="55" t="s">
        <v>1355</v>
      </c>
      <c r="E100" s="210" t="s">
        <v>1356</v>
      </c>
      <c r="F100" s="202" t="s">
        <v>197</v>
      </c>
      <c r="G100" s="199" t="s">
        <v>1357</v>
      </c>
      <c r="H100" s="61" t="s">
        <v>1358</v>
      </c>
      <c r="I100" s="62" t="s">
        <v>294</v>
      </c>
      <c r="J100" s="62">
        <v>50.0</v>
      </c>
      <c r="K100" s="64" t="s">
        <v>284</v>
      </c>
      <c r="L100" s="64" t="s">
        <v>188</v>
      </c>
      <c r="M100" s="65">
        <v>2.6463116E7</v>
      </c>
      <c r="N100" s="65">
        <v>529262.32</v>
      </c>
      <c r="O100" s="65">
        <v>121163.5</v>
      </c>
      <c r="P100" s="65" t="s">
        <v>811</v>
      </c>
      <c r="Q100" s="64" t="s">
        <v>812</v>
      </c>
      <c r="R100" s="68" t="s">
        <v>118</v>
      </c>
      <c r="S100" s="18" t="s">
        <v>1359</v>
      </c>
      <c r="T100" s="18" t="s">
        <v>1360</v>
      </c>
      <c r="U100" s="76" t="s">
        <v>1361</v>
      </c>
    </row>
    <row r="101" ht="16.5" customHeight="1">
      <c r="A101" s="211" t="s">
        <v>1362</v>
      </c>
      <c r="B101" s="73" t="s">
        <v>179</v>
      </c>
      <c r="C101" s="212" t="s">
        <v>1363</v>
      </c>
      <c r="D101" s="213"/>
      <c r="E101" s="40"/>
      <c r="F101" s="94" t="s">
        <v>1364</v>
      </c>
      <c r="G101" s="94" t="s">
        <v>1365</v>
      </c>
      <c r="H101" s="94" t="s">
        <v>1366</v>
      </c>
      <c r="I101" s="78">
        <v>85.0</v>
      </c>
      <c r="J101" s="214">
        <v>6.0</v>
      </c>
      <c r="K101" s="92" t="s">
        <v>1058</v>
      </c>
      <c r="L101" s="92" t="s">
        <v>853</v>
      </c>
      <c r="M101" s="215">
        <v>1164606.0</v>
      </c>
      <c r="N101" s="215">
        <v>194101.0</v>
      </c>
      <c r="O101" s="215">
        <v>121246.0</v>
      </c>
      <c r="P101" s="92" t="s">
        <v>811</v>
      </c>
      <c r="Q101" s="64" t="s">
        <v>812</v>
      </c>
      <c r="R101" s="74"/>
      <c r="S101" s="74" t="s">
        <v>1367</v>
      </c>
      <c r="T101" s="74"/>
      <c r="U101" s="216" t="s">
        <v>1368</v>
      </c>
    </row>
    <row r="102">
      <c r="A102" s="70" t="s">
        <v>1369</v>
      </c>
      <c r="B102" s="77" t="s">
        <v>179</v>
      </c>
      <c r="C102" s="55" t="s">
        <v>1370</v>
      </c>
      <c r="D102" s="40" t="s">
        <v>153</v>
      </c>
      <c r="E102" s="52" t="s">
        <v>1371</v>
      </c>
      <c r="F102" s="52" t="s">
        <v>1372</v>
      </c>
      <c r="G102" s="59" t="s">
        <v>1373</v>
      </c>
      <c r="H102" s="61" t="s">
        <v>1374</v>
      </c>
      <c r="I102" s="62" t="s">
        <v>1375</v>
      </c>
      <c r="J102" s="62">
        <v>39.0</v>
      </c>
      <c r="K102" s="64" t="s">
        <v>1376</v>
      </c>
      <c r="L102" s="64" t="s">
        <v>297</v>
      </c>
      <c r="M102" s="65">
        <v>1.8990335E7</v>
      </c>
      <c r="N102" s="65">
        <v>486931.666666666</v>
      </c>
      <c r="O102" s="65">
        <v>116736.0</v>
      </c>
      <c r="P102" s="65" t="s">
        <v>811</v>
      </c>
      <c r="Q102" s="64" t="s">
        <v>812</v>
      </c>
      <c r="R102" s="68" t="s">
        <v>116</v>
      </c>
      <c r="S102" s="18" t="s">
        <v>1377</v>
      </c>
      <c r="T102" s="18" t="s">
        <v>1378</v>
      </c>
      <c r="U102" s="76" t="s">
        <v>1379</v>
      </c>
    </row>
    <row r="103" ht="16.5" customHeight="1">
      <c r="A103" s="217" t="s">
        <v>1380</v>
      </c>
      <c r="B103" s="40" t="s">
        <v>179</v>
      </c>
      <c r="C103" s="162" t="s">
        <v>1381</v>
      </c>
      <c r="D103" s="22"/>
      <c r="E103" s="40"/>
      <c r="F103" s="40"/>
      <c r="G103" s="52" t="s">
        <v>1382</v>
      </c>
      <c r="H103" s="55" t="s">
        <v>1383</v>
      </c>
      <c r="I103" s="62" t="s">
        <v>1384</v>
      </c>
      <c r="J103" s="62">
        <v>5.0</v>
      </c>
      <c r="K103" s="62" t="s">
        <v>1102</v>
      </c>
      <c r="L103" s="62" t="s">
        <v>897</v>
      </c>
      <c r="M103" s="65">
        <v>1740218.0</v>
      </c>
      <c r="N103" s="65">
        <v>348043.6</v>
      </c>
      <c r="O103" s="65">
        <v>116328.0</v>
      </c>
      <c r="P103" s="62" t="s">
        <v>811</v>
      </c>
      <c r="Q103" s="64" t="s">
        <v>812</v>
      </c>
      <c r="R103" s="18"/>
      <c r="S103" s="18" t="s">
        <v>1385</v>
      </c>
      <c r="T103" s="18"/>
      <c r="U103" s="216" t="s">
        <v>1386</v>
      </c>
    </row>
    <row r="104">
      <c r="A104" s="218" t="s">
        <v>1387</v>
      </c>
      <c r="B104" s="124" t="s">
        <v>243</v>
      </c>
      <c r="C104" s="219" t="s">
        <v>1388</v>
      </c>
      <c r="D104" s="220" t="s">
        <v>153</v>
      </c>
      <c r="E104" s="64" t="s">
        <v>197</v>
      </c>
      <c r="F104" s="221" t="s">
        <v>197</v>
      </c>
      <c r="G104" s="173" t="s">
        <v>1389</v>
      </c>
      <c r="H104" s="71" t="s">
        <v>1390</v>
      </c>
      <c r="I104" s="222" t="s">
        <v>989</v>
      </c>
      <c r="J104" s="62">
        <v>15.0</v>
      </c>
      <c r="K104" s="62" t="s">
        <v>1391</v>
      </c>
      <c r="L104" s="62" t="s">
        <v>285</v>
      </c>
      <c r="M104" s="65">
        <v>1.9025591E7</v>
      </c>
      <c r="N104" s="65">
        <v>1268372.73333333</v>
      </c>
      <c r="O104" s="65">
        <v>114971.0</v>
      </c>
      <c r="P104" s="64" t="s">
        <v>811</v>
      </c>
      <c r="Q104" s="183" t="s">
        <v>812</v>
      </c>
      <c r="R104" s="223" t="s">
        <v>116</v>
      </c>
      <c r="S104" s="102" t="s">
        <v>1392</v>
      </c>
      <c r="T104" s="119" t="s">
        <v>1393</v>
      </c>
      <c r="U104" s="224" t="s">
        <v>1394</v>
      </c>
      <c r="V104" s="191"/>
      <c r="W104" s="191"/>
      <c r="X104" s="191"/>
      <c r="Y104" s="191"/>
      <c r="Z104" s="191"/>
      <c r="AA104" s="191"/>
      <c r="AB104" s="122"/>
      <c r="AC104" s="122"/>
      <c r="AD104" s="122"/>
      <c r="AE104" s="122"/>
      <c r="AF104" s="122"/>
      <c r="AG104" s="122"/>
      <c r="AH104" s="122"/>
      <c r="AI104" s="122"/>
      <c r="AJ104" s="122"/>
      <c r="AK104" s="122"/>
      <c r="AL104" s="122"/>
      <c r="AM104" s="122"/>
      <c r="AN104" s="122"/>
    </row>
    <row r="105">
      <c r="A105" s="100" t="s">
        <v>1395</v>
      </c>
      <c r="B105" s="40" t="s">
        <v>179</v>
      </c>
      <c r="C105" s="55" t="s">
        <v>1396</v>
      </c>
      <c r="D105" s="40" t="s">
        <v>153</v>
      </c>
      <c r="E105" s="64" t="s">
        <v>1397</v>
      </c>
      <c r="F105" s="71" t="s">
        <v>1398</v>
      </c>
      <c r="G105" s="52" t="s">
        <v>1399</v>
      </c>
      <c r="H105" s="61" t="s">
        <v>1400</v>
      </c>
      <c r="I105" s="62" t="s">
        <v>1046</v>
      </c>
      <c r="J105" s="62">
        <v>30.0</v>
      </c>
      <c r="K105" s="64" t="s">
        <v>1401</v>
      </c>
      <c r="L105" s="64" t="s">
        <v>139</v>
      </c>
      <c r="M105" s="65">
        <v>2.2366841E7</v>
      </c>
      <c r="N105" s="65">
        <v>745561.366666666</v>
      </c>
      <c r="O105" s="65">
        <v>104445.5</v>
      </c>
      <c r="P105" s="65" t="s">
        <v>811</v>
      </c>
      <c r="Q105" s="64" t="s">
        <v>812</v>
      </c>
      <c r="R105" s="68" t="s">
        <v>120</v>
      </c>
      <c r="S105" s="40" t="s">
        <v>1402</v>
      </c>
      <c r="T105" s="40" t="s">
        <v>1403</v>
      </c>
      <c r="U105" s="76" t="s">
        <v>1404</v>
      </c>
      <c r="V105" s="189"/>
    </row>
    <row r="106">
      <c r="A106" s="70" t="s">
        <v>1405</v>
      </c>
      <c r="B106" s="40" t="s">
        <v>469</v>
      </c>
      <c r="C106" s="52" t="s">
        <v>1406</v>
      </c>
      <c r="D106" s="40" t="s">
        <v>153</v>
      </c>
      <c r="E106" s="86" t="s">
        <v>1407</v>
      </c>
      <c r="F106" s="59" t="s">
        <v>1408</v>
      </c>
      <c r="G106" s="52" t="s">
        <v>1409</v>
      </c>
      <c r="H106" s="61" t="s">
        <v>1410</v>
      </c>
      <c r="I106" s="62" t="s">
        <v>294</v>
      </c>
      <c r="J106" s="62">
        <v>72.0</v>
      </c>
      <c r="K106" s="64" t="s">
        <v>400</v>
      </c>
      <c r="L106" s="64" t="s">
        <v>188</v>
      </c>
      <c r="M106" s="65">
        <v>2.4232954E7</v>
      </c>
      <c r="N106" s="65">
        <v>336568.805555555</v>
      </c>
      <c r="O106" s="65">
        <v>99961.0</v>
      </c>
      <c r="P106" s="65" t="s">
        <v>811</v>
      </c>
      <c r="Q106" s="64" t="s">
        <v>812</v>
      </c>
      <c r="R106" s="68" t="s">
        <v>197</v>
      </c>
      <c r="S106" s="40" t="s">
        <v>1411</v>
      </c>
      <c r="T106" s="40" t="s">
        <v>1412</v>
      </c>
      <c r="U106" s="76" t="s">
        <v>1413</v>
      </c>
    </row>
    <row r="107">
      <c r="A107" s="225"/>
      <c r="B107" s="40"/>
      <c r="C107" s="40"/>
      <c r="D107" s="40"/>
      <c r="E107" s="40"/>
      <c r="F107" s="86"/>
      <c r="G107" s="86"/>
      <c r="I107" s="62"/>
      <c r="J107" s="62"/>
      <c r="K107" s="226"/>
      <c r="L107" s="226"/>
      <c r="M107" s="227"/>
      <c r="N107" s="228"/>
      <c r="O107" s="228"/>
      <c r="P107" s="42"/>
      <c r="Q107" s="42"/>
      <c r="R107" s="27"/>
      <c r="S107" s="22"/>
      <c r="T107" s="40"/>
      <c r="U107" s="28"/>
    </row>
    <row r="108">
      <c r="A108" s="30" t="s">
        <v>1414</v>
      </c>
      <c r="B108" s="32"/>
      <c r="C108" s="33"/>
      <c r="D108" s="32"/>
      <c r="E108" s="32"/>
      <c r="F108" s="32"/>
      <c r="G108" s="32"/>
      <c r="H108" s="32"/>
      <c r="I108" s="185"/>
      <c r="J108" s="185"/>
      <c r="K108" s="185"/>
      <c r="L108" s="185"/>
      <c r="M108" s="186"/>
      <c r="N108" s="186"/>
      <c r="O108" s="186"/>
      <c r="P108" s="187"/>
      <c r="Q108" s="36"/>
      <c r="R108" s="36"/>
      <c r="S108" s="38"/>
      <c r="T108" s="32"/>
      <c r="U108" s="38"/>
    </row>
    <row r="109">
      <c r="A109" s="225"/>
      <c r="B109" s="40"/>
      <c r="C109" s="40"/>
      <c r="D109" s="40"/>
      <c r="E109" s="40"/>
      <c r="F109" s="86"/>
      <c r="G109" s="86"/>
      <c r="H109" s="86"/>
      <c r="I109" s="43"/>
      <c r="J109" s="43"/>
      <c r="K109" s="43"/>
      <c r="L109" s="43"/>
      <c r="M109" s="44"/>
      <c r="N109" s="44"/>
      <c r="O109" s="44"/>
      <c r="P109" s="42"/>
      <c r="Q109" s="42"/>
      <c r="R109" s="27"/>
      <c r="S109" s="22"/>
      <c r="T109" s="40"/>
      <c r="U109" s="28"/>
    </row>
    <row r="110">
      <c r="A110" s="88" t="s">
        <v>1415</v>
      </c>
      <c r="B110" s="68" t="s">
        <v>1416</v>
      </c>
      <c r="C110" s="101" t="s">
        <v>1417</v>
      </c>
      <c r="D110" s="68" t="s">
        <v>153</v>
      </c>
      <c r="E110" s="68" t="s">
        <v>1418</v>
      </c>
      <c r="F110" s="101" t="s">
        <v>1419</v>
      </c>
      <c r="G110" s="101" t="s">
        <v>1420</v>
      </c>
      <c r="H110" s="101" t="s">
        <v>1421</v>
      </c>
      <c r="I110" s="62" t="s">
        <v>989</v>
      </c>
      <c r="J110" s="62">
        <v>2.0</v>
      </c>
      <c r="K110" s="62" t="s">
        <v>671</v>
      </c>
      <c r="L110" s="62" t="s">
        <v>249</v>
      </c>
      <c r="M110" s="65">
        <v>1.3527595E7</v>
      </c>
      <c r="N110" s="65">
        <v>6763797.5</v>
      </c>
      <c r="O110" s="65">
        <v>6763797.5</v>
      </c>
      <c r="P110" s="65" t="s">
        <v>811</v>
      </c>
      <c r="Q110" s="64" t="s">
        <v>112</v>
      </c>
      <c r="R110" s="68" t="s">
        <v>197</v>
      </c>
      <c r="S110" s="64" t="s">
        <v>1422</v>
      </c>
      <c r="T110" s="68" t="s">
        <v>1423</v>
      </c>
      <c r="U110" s="179" t="s">
        <v>1424</v>
      </c>
      <c r="V110" s="27"/>
      <c r="W110" s="27"/>
      <c r="X110" s="27"/>
      <c r="Y110" s="27"/>
      <c r="Z110" s="27"/>
      <c r="AA110" s="27"/>
      <c r="AB110" s="27"/>
      <c r="AC110" s="27"/>
      <c r="AD110" s="27"/>
      <c r="AE110" s="27"/>
      <c r="AF110" s="27"/>
      <c r="AG110" s="27"/>
      <c r="AH110" s="27"/>
      <c r="AI110" s="27"/>
      <c r="AJ110" s="27"/>
      <c r="AK110" s="27"/>
      <c r="AL110" s="27"/>
      <c r="AM110" s="27"/>
      <c r="AN110" s="27"/>
    </row>
    <row r="111" ht="16.5" customHeight="1">
      <c r="A111" s="82" t="s">
        <v>1425</v>
      </c>
      <c r="B111" s="73" t="s">
        <v>1426</v>
      </c>
      <c r="C111" s="52" t="s">
        <v>1427</v>
      </c>
      <c r="D111" s="173" t="s">
        <v>1428</v>
      </c>
      <c r="E111" s="173" t="s">
        <v>1501</v>
      </c>
      <c r="F111" s="173" t="s">
        <v>1503</v>
      </c>
      <c r="G111" s="59" t="s">
        <v>1431</v>
      </c>
      <c r="H111" s="229" t="s">
        <v>1432</v>
      </c>
      <c r="I111" s="230">
        <v>365.0</v>
      </c>
      <c r="J111" s="230">
        <v>1.0</v>
      </c>
      <c r="K111" s="230" t="s">
        <v>896</v>
      </c>
      <c r="L111" s="230" t="s">
        <v>139</v>
      </c>
      <c r="M111" s="65">
        <v>6166287.0</v>
      </c>
      <c r="N111" s="65">
        <v>6166287.0</v>
      </c>
      <c r="O111" s="65">
        <v>6166287.0</v>
      </c>
      <c r="P111" s="230" t="s">
        <v>811</v>
      </c>
      <c r="Q111" s="40" t="s">
        <v>112</v>
      </c>
      <c r="R111" s="25" t="s">
        <v>116</v>
      </c>
      <c r="S111" s="40" t="s">
        <v>1433</v>
      </c>
      <c r="T111" s="40" t="s">
        <v>1434</v>
      </c>
      <c r="U111" s="76" t="s">
        <v>1435</v>
      </c>
      <c r="V111" s="153"/>
      <c r="W111" s="153"/>
      <c r="X111" s="153"/>
      <c r="Y111" s="153"/>
      <c r="Z111" s="153"/>
      <c r="AA111" s="153"/>
      <c r="AB111" s="153"/>
      <c r="AC111" s="153"/>
      <c r="AD111" s="153"/>
      <c r="AE111" s="153"/>
      <c r="AF111" s="153"/>
      <c r="AG111" s="153"/>
      <c r="AH111" s="153"/>
      <c r="AI111" s="153"/>
      <c r="AJ111" s="153"/>
      <c r="AK111" s="153"/>
      <c r="AL111" s="153"/>
      <c r="AM111" s="153"/>
      <c r="AN111" s="153"/>
    </row>
    <row r="112" ht="16.5" customHeight="1">
      <c r="A112" s="91" t="s">
        <v>1436</v>
      </c>
      <c r="B112" s="73" t="s">
        <v>60</v>
      </c>
      <c r="C112" s="94" t="s">
        <v>1437</v>
      </c>
      <c r="D112" s="93" t="s">
        <v>1438</v>
      </c>
      <c r="E112" s="40"/>
      <c r="F112" s="94" t="s">
        <v>1439</v>
      </c>
      <c r="G112" s="94" t="s">
        <v>1440</v>
      </c>
      <c r="H112" s="231" t="s">
        <v>1441</v>
      </c>
      <c r="I112" s="78" t="s">
        <v>153</v>
      </c>
      <c r="J112" s="78">
        <v>1.0</v>
      </c>
      <c r="K112" s="92" t="s">
        <v>773</v>
      </c>
      <c r="L112" s="92" t="s">
        <v>773</v>
      </c>
      <c r="M112" s="79">
        <v>2728422.0</v>
      </c>
      <c r="N112" s="79">
        <v>2728422.0</v>
      </c>
      <c r="O112" s="79">
        <v>2728422.0</v>
      </c>
      <c r="P112" s="215" t="s">
        <v>811</v>
      </c>
      <c r="Q112" s="74" t="s">
        <v>112</v>
      </c>
      <c r="R112" s="74"/>
      <c r="S112" s="73" t="s">
        <v>1442</v>
      </c>
      <c r="T112" s="73"/>
      <c r="U112" s="74"/>
    </row>
    <row r="113" ht="18.0" customHeight="1">
      <c r="A113" s="100" t="s">
        <v>1443</v>
      </c>
      <c r="B113" s="18" t="s">
        <v>60</v>
      </c>
      <c r="C113" s="199" t="s">
        <v>1444</v>
      </c>
      <c r="D113" s="22"/>
      <c r="E113" s="18" t="s">
        <v>1445</v>
      </c>
      <c r="F113" s="162" t="s">
        <v>1517</v>
      </c>
      <c r="G113" s="162" t="s">
        <v>1447</v>
      </c>
      <c r="H113" s="199" t="s">
        <v>1448</v>
      </c>
      <c r="I113" s="62" t="s">
        <v>153</v>
      </c>
      <c r="J113" s="62">
        <v>1.0</v>
      </c>
      <c r="K113" s="62" t="s">
        <v>308</v>
      </c>
      <c r="L113" s="62" t="s">
        <v>308</v>
      </c>
      <c r="M113" s="65">
        <v>907345.0</v>
      </c>
      <c r="N113" s="65">
        <v>907345.0</v>
      </c>
      <c r="O113" s="65">
        <v>907345.0</v>
      </c>
      <c r="P113" s="64" t="s">
        <v>811</v>
      </c>
      <c r="Q113" s="64" t="s">
        <v>112</v>
      </c>
      <c r="R113" s="122" t="s">
        <v>197</v>
      </c>
      <c r="S113" s="18" t="s">
        <v>1449</v>
      </c>
      <c r="T113" s="18" t="s">
        <v>1450</v>
      </c>
      <c r="U113" s="76" t="s">
        <v>1451</v>
      </c>
    </row>
    <row r="114" ht="16.5" customHeight="1">
      <c r="A114" s="88" t="s">
        <v>1452</v>
      </c>
      <c r="B114" s="64" t="s">
        <v>165</v>
      </c>
      <c r="C114" s="71" t="s">
        <v>1453</v>
      </c>
      <c r="D114" s="122"/>
      <c r="E114" s="64" t="s">
        <v>1454</v>
      </c>
      <c r="F114" s="64" t="s">
        <v>1455</v>
      </c>
      <c r="G114" s="71" t="s">
        <v>1456</v>
      </c>
      <c r="H114" s="190" t="s">
        <v>1457</v>
      </c>
      <c r="I114" s="62">
        <v>24.0</v>
      </c>
      <c r="J114" s="62">
        <v>1.0</v>
      </c>
      <c r="K114" s="64" t="s">
        <v>1092</v>
      </c>
      <c r="L114" s="64" t="s">
        <v>139</v>
      </c>
      <c r="M114" s="65">
        <v>708774.0</v>
      </c>
      <c r="N114" s="65">
        <v>708774.0</v>
      </c>
      <c r="O114" s="65">
        <v>708774.0</v>
      </c>
      <c r="P114" s="64" t="s">
        <v>811</v>
      </c>
      <c r="Q114" s="64" t="s">
        <v>112</v>
      </c>
      <c r="R114" s="42" t="s">
        <v>197</v>
      </c>
      <c r="S114" s="64" t="s">
        <v>1458</v>
      </c>
      <c r="T114" s="64" t="s">
        <v>1459</v>
      </c>
      <c r="U114" s="90" t="s">
        <v>1460</v>
      </c>
      <c r="V114" s="27"/>
      <c r="W114" s="27"/>
      <c r="X114" s="27"/>
      <c r="Y114" s="27"/>
      <c r="Z114" s="27"/>
      <c r="AA114" s="27"/>
      <c r="AB114" s="27"/>
      <c r="AC114" s="27"/>
      <c r="AD114" s="27"/>
      <c r="AE114" s="27"/>
      <c r="AF114" s="27"/>
      <c r="AG114" s="27"/>
      <c r="AH114" s="27"/>
      <c r="AI114" s="27"/>
      <c r="AJ114" s="27"/>
      <c r="AK114" s="27"/>
      <c r="AL114" s="27"/>
      <c r="AM114" s="27"/>
      <c r="AN114" s="27"/>
    </row>
    <row r="115">
      <c r="A115" s="100" t="s">
        <v>1461</v>
      </c>
      <c r="B115" s="18" t="s">
        <v>218</v>
      </c>
      <c r="C115" s="52" t="s">
        <v>1462</v>
      </c>
      <c r="D115" s="40" t="s">
        <v>153</v>
      </c>
      <c r="E115" s="210" t="s">
        <v>1463</v>
      </c>
      <c r="F115" s="52" t="s">
        <v>1464</v>
      </c>
      <c r="G115" s="52" t="s">
        <v>1465</v>
      </c>
      <c r="H115" s="61" t="s">
        <v>1466</v>
      </c>
      <c r="I115" s="62" t="s">
        <v>907</v>
      </c>
      <c r="J115" s="62">
        <v>1.0</v>
      </c>
      <c r="K115" s="64" t="s">
        <v>1467</v>
      </c>
      <c r="L115" s="64" t="s">
        <v>1467</v>
      </c>
      <c r="M115" s="65">
        <v>104114.0</v>
      </c>
      <c r="N115" s="65">
        <v>104114.0</v>
      </c>
      <c r="O115" s="65">
        <v>104114.0</v>
      </c>
      <c r="P115" s="65" t="s">
        <v>811</v>
      </c>
      <c r="Q115" s="64" t="s">
        <v>112</v>
      </c>
      <c r="R115" s="68" t="s">
        <v>197</v>
      </c>
      <c r="S115" s="40" t="s">
        <v>1468</v>
      </c>
      <c r="T115" s="40" t="s">
        <v>1469</v>
      </c>
      <c r="U115" s="76" t="s">
        <v>153</v>
      </c>
    </row>
    <row r="116">
      <c r="A116" s="88" t="s">
        <v>1470</v>
      </c>
      <c r="B116" s="18" t="s">
        <v>194</v>
      </c>
      <c r="C116" s="71" t="s">
        <v>1471</v>
      </c>
      <c r="D116" s="190" t="s">
        <v>1472</v>
      </c>
      <c r="E116" s="120" t="s">
        <v>1473</v>
      </c>
      <c r="F116" s="71" t="s">
        <v>1474</v>
      </c>
      <c r="G116" s="192" t="s">
        <v>1475</v>
      </c>
      <c r="H116" s="192" t="s">
        <v>1476</v>
      </c>
      <c r="I116" s="62" t="s">
        <v>907</v>
      </c>
      <c r="J116" s="62">
        <v>33.0</v>
      </c>
      <c r="K116" s="62" t="s">
        <v>284</v>
      </c>
      <c r="L116" s="62" t="s">
        <v>188</v>
      </c>
      <c r="M116" s="65">
        <v>9133537.0</v>
      </c>
      <c r="N116" s="65">
        <v>276773.848484848</v>
      </c>
      <c r="O116" s="65">
        <v>89006.0</v>
      </c>
      <c r="P116" s="64" t="s">
        <v>811</v>
      </c>
      <c r="Q116" s="64" t="s">
        <v>112</v>
      </c>
      <c r="R116" s="68" t="s">
        <v>197</v>
      </c>
      <c r="S116" s="64" t="s">
        <v>1477</v>
      </c>
      <c r="T116" s="64" t="s">
        <v>1478</v>
      </c>
      <c r="U116" s="90" t="s">
        <v>1479</v>
      </c>
      <c r="V116" s="191"/>
      <c r="W116" s="191"/>
      <c r="X116" s="191"/>
      <c r="Y116" s="191"/>
      <c r="Z116" s="191"/>
      <c r="AA116" s="191"/>
      <c r="AB116" s="122"/>
      <c r="AC116" s="122"/>
      <c r="AD116" s="122"/>
      <c r="AE116" s="122"/>
      <c r="AF116" s="122"/>
      <c r="AG116" s="122"/>
      <c r="AH116" s="122"/>
      <c r="AI116" s="122"/>
      <c r="AJ116" s="122"/>
      <c r="AK116" s="122"/>
      <c r="AL116" s="122"/>
      <c r="AM116" s="122"/>
      <c r="AN116" s="122"/>
    </row>
    <row r="117" ht="16.5" customHeight="1">
      <c r="A117" s="91" t="s">
        <v>1480</v>
      </c>
      <c r="B117" s="73" t="s">
        <v>194</v>
      </c>
      <c r="C117" s="94" t="s">
        <v>1481</v>
      </c>
      <c r="D117" s="232"/>
      <c r="E117" s="40"/>
      <c r="F117" s="94" t="s">
        <v>1482</v>
      </c>
      <c r="G117" s="94" t="s">
        <v>1483</v>
      </c>
      <c r="H117" s="231" t="s">
        <v>1484</v>
      </c>
      <c r="I117" s="78">
        <v>292.0</v>
      </c>
      <c r="J117" s="78">
        <v>1.0</v>
      </c>
      <c r="K117" s="92" t="s">
        <v>365</v>
      </c>
      <c r="L117" s="92" t="s">
        <v>365</v>
      </c>
      <c r="M117" s="79">
        <v>85940.0</v>
      </c>
      <c r="N117" s="79">
        <v>85940.0</v>
      </c>
      <c r="O117" s="79">
        <v>85940.0</v>
      </c>
      <c r="P117" s="215" t="s">
        <v>811</v>
      </c>
      <c r="Q117" s="74" t="s">
        <v>112</v>
      </c>
      <c r="R117" s="74"/>
      <c r="S117" s="73" t="s">
        <v>1485</v>
      </c>
      <c r="T117" s="73"/>
      <c r="U117" s="74" t="s">
        <v>1486</v>
      </c>
    </row>
    <row r="118">
      <c r="A118" s="233" t="s">
        <v>1487</v>
      </c>
      <c r="B118" s="14" t="s">
        <v>165</v>
      </c>
      <c r="C118" s="116" t="s">
        <v>1488</v>
      </c>
      <c r="D118" s="203" t="s">
        <v>153</v>
      </c>
      <c r="E118" s="59" t="s">
        <v>1489</v>
      </c>
      <c r="F118" s="71" t="s">
        <v>1575</v>
      </c>
      <c r="G118" s="234" t="s">
        <v>1491</v>
      </c>
      <c r="H118" s="61" t="s">
        <v>1492</v>
      </c>
      <c r="I118" s="62" t="s">
        <v>1493</v>
      </c>
      <c r="J118" s="63" t="s">
        <v>1494</v>
      </c>
      <c r="K118" s="64" t="s">
        <v>1495</v>
      </c>
      <c r="L118" s="64" t="s">
        <v>285</v>
      </c>
      <c r="M118" s="65">
        <v>3.8498238E7</v>
      </c>
      <c r="N118" s="65">
        <v>513309.84</v>
      </c>
      <c r="O118" s="65">
        <v>81784.0</v>
      </c>
      <c r="P118" s="66" t="s">
        <v>811</v>
      </c>
      <c r="Q118" s="64" t="s">
        <v>112</v>
      </c>
      <c r="R118" s="68" t="s">
        <v>118</v>
      </c>
      <c r="S118" s="129" t="s">
        <v>1496</v>
      </c>
      <c r="T118" s="129" t="s">
        <v>1497</v>
      </c>
      <c r="U118" s="69" t="s">
        <v>1498</v>
      </c>
      <c r="V118" s="27"/>
      <c r="W118" s="27"/>
      <c r="X118" s="27"/>
      <c r="Y118" s="27"/>
      <c r="Z118" s="27"/>
      <c r="AA118" s="27"/>
      <c r="AB118" s="27"/>
      <c r="AC118" s="27"/>
      <c r="AD118" s="27"/>
      <c r="AE118" s="27"/>
      <c r="AF118" s="27"/>
      <c r="AG118" s="27"/>
      <c r="AH118" s="27"/>
      <c r="AI118" s="27"/>
      <c r="AJ118" s="27"/>
      <c r="AK118" s="27"/>
      <c r="AL118" s="27"/>
      <c r="AM118" s="27"/>
      <c r="AN118" s="27"/>
    </row>
    <row r="119">
      <c r="A119" s="70" t="s">
        <v>1499</v>
      </c>
      <c r="B119" s="77" t="s">
        <v>194</v>
      </c>
      <c r="C119" s="52" t="s">
        <v>1500</v>
      </c>
      <c r="D119" s="40" t="s">
        <v>153</v>
      </c>
      <c r="E119" s="52" t="s">
        <v>1502</v>
      </c>
      <c r="F119" s="52" t="s">
        <v>1504</v>
      </c>
      <c r="G119" s="59" t="s">
        <v>1505</v>
      </c>
      <c r="H119" s="61" t="s">
        <v>1506</v>
      </c>
      <c r="I119" s="62" t="s">
        <v>1493</v>
      </c>
      <c r="J119" s="62">
        <v>32.0</v>
      </c>
      <c r="K119" s="64" t="s">
        <v>852</v>
      </c>
      <c r="L119" s="64" t="s">
        <v>139</v>
      </c>
      <c r="M119" s="65">
        <v>1.6758722E7</v>
      </c>
      <c r="N119" s="65">
        <v>523710.0625</v>
      </c>
      <c r="O119" s="65">
        <v>74496.0</v>
      </c>
      <c r="P119" s="65" t="s">
        <v>811</v>
      </c>
      <c r="Q119" s="64" t="s">
        <v>112</v>
      </c>
      <c r="R119" s="68" t="s">
        <v>118</v>
      </c>
      <c r="S119" s="77" t="s">
        <v>1507</v>
      </c>
      <c r="T119" s="40" t="s">
        <v>1508</v>
      </c>
      <c r="U119" s="115" t="s">
        <v>1509</v>
      </c>
      <c r="V119" s="96"/>
    </row>
    <row r="120">
      <c r="A120" s="49" t="s">
        <v>1510</v>
      </c>
      <c r="B120" s="25" t="s">
        <v>1511</v>
      </c>
      <c r="C120" s="55" t="s">
        <v>1512</v>
      </c>
      <c r="D120" s="40" t="s">
        <v>153</v>
      </c>
      <c r="E120" s="52" t="s">
        <v>1513</v>
      </c>
      <c r="F120" s="59" t="s">
        <v>1514</v>
      </c>
      <c r="G120" s="59" t="s">
        <v>1515</v>
      </c>
      <c r="H120" s="61" t="s">
        <v>1516</v>
      </c>
      <c r="I120" s="62" t="s">
        <v>1196</v>
      </c>
      <c r="J120" s="62">
        <v>21.0</v>
      </c>
      <c r="K120" s="64" t="s">
        <v>582</v>
      </c>
      <c r="L120" s="64" t="s">
        <v>139</v>
      </c>
      <c r="M120" s="65">
        <v>5146526.0</v>
      </c>
      <c r="N120" s="65">
        <v>245072.666666666</v>
      </c>
      <c r="O120" s="65">
        <v>71979.0</v>
      </c>
      <c r="P120" s="65" t="s">
        <v>811</v>
      </c>
      <c r="Q120" s="64" t="s">
        <v>112</v>
      </c>
      <c r="R120" s="68" t="s">
        <v>116</v>
      </c>
      <c r="S120" s="25" t="s">
        <v>1518</v>
      </c>
      <c r="T120" s="40" t="s">
        <v>1519</v>
      </c>
      <c r="U120" s="76" t="s">
        <v>153</v>
      </c>
    </row>
    <row r="121">
      <c r="A121" s="49" t="s">
        <v>1520</v>
      </c>
      <c r="B121" s="25" t="s">
        <v>194</v>
      </c>
      <c r="C121" s="55" t="s">
        <v>1521</v>
      </c>
      <c r="D121" s="40" t="s">
        <v>153</v>
      </c>
      <c r="E121" s="52" t="s">
        <v>1522</v>
      </c>
      <c r="F121" s="59" t="s">
        <v>1523</v>
      </c>
      <c r="G121" s="55" t="s">
        <v>1524</v>
      </c>
      <c r="H121" s="71" t="s">
        <v>1525</v>
      </c>
      <c r="I121" s="62" t="s">
        <v>1196</v>
      </c>
      <c r="J121" s="62">
        <v>5.0</v>
      </c>
      <c r="K121" s="64" t="s">
        <v>1526</v>
      </c>
      <c r="L121" s="64" t="s">
        <v>853</v>
      </c>
      <c r="M121" s="65">
        <v>470850.0</v>
      </c>
      <c r="N121" s="65">
        <v>94170.0</v>
      </c>
      <c r="O121" s="65">
        <v>70318.0</v>
      </c>
      <c r="P121" s="65" t="s">
        <v>811</v>
      </c>
      <c r="Q121" s="64" t="s">
        <v>112</v>
      </c>
      <c r="R121" s="68" t="s">
        <v>116</v>
      </c>
      <c r="S121" s="18" t="s">
        <v>1527</v>
      </c>
      <c r="T121" s="40" t="s">
        <v>1528</v>
      </c>
      <c r="U121" s="76" t="s">
        <v>1529</v>
      </c>
    </row>
    <row r="122">
      <c r="A122" s="70" t="s">
        <v>1530</v>
      </c>
      <c r="B122" s="77" t="s">
        <v>218</v>
      </c>
      <c r="C122" s="52" t="s">
        <v>1531</v>
      </c>
      <c r="D122" s="40" t="s">
        <v>153</v>
      </c>
      <c r="E122" s="40" t="s">
        <v>1532</v>
      </c>
      <c r="F122" s="18" t="s">
        <v>197</v>
      </c>
      <c r="G122" s="52" t="s">
        <v>1533</v>
      </c>
      <c r="H122" s="61" t="s">
        <v>1534</v>
      </c>
      <c r="I122" s="62" t="s">
        <v>907</v>
      </c>
      <c r="J122" s="62">
        <v>14.0</v>
      </c>
      <c r="K122" s="64" t="s">
        <v>789</v>
      </c>
      <c r="L122" s="64" t="s">
        <v>884</v>
      </c>
      <c r="M122" s="65">
        <v>1655515.0</v>
      </c>
      <c r="N122" s="65">
        <v>118251.071428571</v>
      </c>
      <c r="O122" s="65">
        <v>70302.0</v>
      </c>
      <c r="P122" s="65" t="s">
        <v>811</v>
      </c>
      <c r="Q122" s="64" t="s">
        <v>112</v>
      </c>
      <c r="R122" s="68" t="s">
        <v>116</v>
      </c>
      <c r="S122" s="18" t="s">
        <v>1535</v>
      </c>
      <c r="T122" s="18" t="s">
        <v>1536</v>
      </c>
      <c r="U122" s="76" t="s">
        <v>1537</v>
      </c>
    </row>
    <row r="123">
      <c r="A123" s="100" t="s">
        <v>1538</v>
      </c>
      <c r="B123" s="18" t="s">
        <v>194</v>
      </c>
      <c r="C123" s="55" t="s">
        <v>1539</v>
      </c>
      <c r="D123" s="18" t="s">
        <v>153</v>
      </c>
      <c r="E123" s="52" t="s">
        <v>1540</v>
      </c>
      <c r="F123" s="162" t="s">
        <v>1541</v>
      </c>
      <c r="G123" s="52" t="s">
        <v>1542</v>
      </c>
      <c r="H123" s="61" t="s">
        <v>1543</v>
      </c>
      <c r="I123" s="62" t="s">
        <v>1090</v>
      </c>
      <c r="J123" s="62">
        <v>84.0</v>
      </c>
      <c r="K123" s="64" t="s">
        <v>1274</v>
      </c>
      <c r="L123" s="62" t="s">
        <v>139</v>
      </c>
      <c r="M123" s="65">
        <v>2.5454911E7</v>
      </c>
      <c r="N123" s="65">
        <v>303034.654761904</v>
      </c>
      <c r="O123" s="65">
        <v>69713.0</v>
      </c>
      <c r="P123" s="65" t="s">
        <v>811</v>
      </c>
      <c r="Q123" s="64" t="s">
        <v>112</v>
      </c>
      <c r="R123" s="68" t="s">
        <v>120</v>
      </c>
      <c r="S123" s="40" t="s">
        <v>1544</v>
      </c>
      <c r="T123" s="40" t="s">
        <v>1545</v>
      </c>
      <c r="U123" s="235" t="s">
        <v>1546</v>
      </c>
      <c r="V123" s="189"/>
    </row>
    <row r="124">
      <c r="A124" s="70" t="s">
        <v>1547</v>
      </c>
      <c r="B124" s="77" t="s">
        <v>469</v>
      </c>
      <c r="C124" s="52" t="s">
        <v>1548</v>
      </c>
      <c r="D124" s="40" t="s">
        <v>153</v>
      </c>
      <c r="E124" s="40" t="s">
        <v>1549</v>
      </c>
      <c r="F124" s="52" t="s">
        <v>1550</v>
      </c>
      <c r="G124" s="162" t="s">
        <v>1551</v>
      </c>
      <c r="H124" s="61" t="s">
        <v>1552</v>
      </c>
      <c r="I124" s="62" t="s">
        <v>482</v>
      </c>
      <c r="J124" s="62">
        <v>67.0</v>
      </c>
      <c r="K124" s="64" t="s">
        <v>1553</v>
      </c>
      <c r="L124" s="64" t="s">
        <v>188</v>
      </c>
      <c r="M124" s="65">
        <v>2.3033076E7</v>
      </c>
      <c r="N124" s="65">
        <v>343777.253731343</v>
      </c>
      <c r="O124" s="65">
        <v>67525.0</v>
      </c>
      <c r="P124" s="65" t="s">
        <v>811</v>
      </c>
      <c r="Q124" s="64" t="s">
        <v>112</v>
      </c>
      <c r="R124" s="68" t="s">
        <v>118</v>
      </c>
      <c r="S124" s="18" t="s">
        <v>1554</v>
      </c>
      <c r="T124" s="18" t="s">
        <v>1555</v>
      </c>
      <c r="U124" s="76" t="s">
        <v>1556</v>
      </c>
      <c r="V124" s="27"/>
    </row>
    <row r="125" ht="16.5" customHeight="1">
      <c r="A125" s="99" t="s">
        <v>1557</v>
      </c>
      <c r="B125" s="68" t="s">
        <v>194</v>
      </c>
      <c r="C125" s="101" t="s">
        <v>1558</v>
      </c>
      <c r="D125" s="122"/>
      <c r="E125" s="68" t="s">
        <v>1559</v>
      </c>
      <c r="F125" s="68" t="s">
        <v>1560</v>
      </c>
      <c r="G125" s="101" t="s">
        <v>1561</v>
      </c>
      <c r="H125" s="68"/>
      <c r="I125" s="62" t="s">
        <v>1196</v>
      </c>
      <c r="J125" s="62">
        <v>7.0</v>
      </c>
      <c r="K125" s="64" t="s">
        <v>1562</v>
      </c>
      <c r="L125" s="64" t="s">
        <v>188</v>
      </c>
      <c r="M125" s="65">
        <v>729229.0</v>
      </c>
      <c r="N125" s="65">
        <v>104175.571428571</v>
      </c>
      <c r="O125" s="65">
        <v>61245.0</v>
      </c>
      <c r="P125" s="64" t="s">
        <v>811</v>
      </c>
      <c r="Q125" s="64" t="s">
        <v>112</v>
      </c>
      <c r="R125" s="42" t="s">
        <v>197</v>
      </c>
      <c r="S125" s="122"/>
      <c r="T125" s="68" t="s">
        <v>1563</v>
      </c>
      <c r="U125" s="179" t="s">
        <v>1564</v>
      </c>
      <c r="V125" s="27"/>
      <c r="W125" s="27"/>
      <c r="X125" s="27"/>
      <c r="Y125" s="27"/>
      <c r="Z125" s="27"/>
      <c r="AA125" s="27"/>
      <c r="AB125" s="27"/>
      <c r="AC125" s="27"/>
      <c r="AD125" s="27"/>
      <c r="AE125" s="27"/>
      <c r="AF125" s="27"/>
      <c r="AG125" s="27"/>
      <c r="AH125" s="27"/>
      <c r="AI125" s="27"/>
      <c r="AJ125" s="27"/>
      <c r="AK125" s="27"/>
      <c r="AL125" s="27"/>
      <c r="AM125" s="27"/>
      <c r="AN125" s="27"/>
    </row>
    <row r="126">
      <c r="A126" s="105" t="s">
        <v>1565</v>
      </c>
      <c r="B126" s="18" t="s">
        <v>302</v>
      </c>
      <c r="C126" s="71" t="s">
        <v>1658</v>
      </c>
      <c r="D126" s="64"/>
      <c r="E126" s="236" t="s">
        <v>1567</v>
      </c>
      <c r="F126" s="71" t="s">
        <v>1662</v>
      </c>
      <c r="G126" s="120" t="s">
        <v>1569</v>
      </c>
      <c r="H126" s="142" t="s">
        <v>1570</v>
      </c>
      <c r="I126" s="78">
        <v>71.0</v>
      </c>
      <c r="J126" s="62">
        <v>2.0</v>
      </c>
      <c r="K126" s="62" t="s">
        <v>947</v>
      </c>
      <c r="L126" s="62" t="s">
        <v>139</v>
      </c>
      <c r="M126" s="65">
        <v>120674.0</v>
      </c>
      <c r="N126" s="65">
        <v>60337.0</v>
      </c>
      <c r="O126" s="65">
        <v>60337.0</v>
      </c>
      <c r="P126" s="65" t="s">
        <v>811</v>
      </c>
      <c r="Q126" s="64" t="s">
        <v>112</v>
      </c>
      <c r="R126" s="68" t="s">
        <v>197</v>
      </c>
      <c r="S126" s="64" t="s">
        <v>1571</v>
      </c>
      <c r="T126" s="64" t="s">
        <v>153</v>
      </c>
      <c r="U126" s="90" t="s">
        <v>1572</v>
      </c>
      <c r="V126" s="191"/>
      <c r="W126" s="191"/>
    </row>
    <row r="127">
      <c r="A127" s="99" t="s">
        <v>1573</v>
      </c>
      <c r="B127" s="64" t="s">
        <v>218</v>
      </c>
      <c r="C127" s="71" t="s">
        <v>1574</v>
      </c>
      <c r="D127" s="64" t="s">
        <v>153</v>
      </c>
      <c r="E127" s="64" t="s">
        <v>1576</v>
      </c>
      <c r="F127" s="71" t="s">
        <v>1577</v>
      </c>
      <c r="G127" s="101" t="s">
        <v>1578</v>
      </c>
      <c r="H127" s="61" t="s">
        <v>1579</v>
      </c>
      <c r="I127" s="62" t="s">
        <v>1375</v>
      </c>
      <c r="J127" s="62">
        <v>58.0</v>
      </c>
      <c r="K127" s="64" t="s">
        <v>1580</v>
      </c>
      <c r="L127" s="64" t="s">
        <v>773</v>
      </c>
      <c r="M127" s="65">
        <v>1.3398915E7</v>
      </c>
      <c r="N127" s="65">
        <v>231015.775862068</v>
      </c>
      <c r="O127" s="65">
        <v>53749.5</v>
      </c>
      <c r="P127" s="65" t="s">
        <v>811</v>
      </c>
      <c r="Q127" s="64" t="s">
        <v>112</v>
      </c>
      <c r="R127" s="68" t="s">
        <v>197</v>
      </c>
      <c r="S127" s="64" t="s">
        <v>1581</v>
      </c>
      <c r="T127" s="64" t="s">
        <v>1582</v>
      </c>
      <c r="U127" s="90" t="s">
        <v>1583</v>
      </c>
      <c r="V127" s="122"/>
      <c r="W127" s="122"/>
      <c r="X127" s="122"/>
      <c r="Y127" s="122"/>
      <c r="Z127" s="27"/>
      <c r="AA127" s="27"/>
      <c r="AB127" s="27"/>
      <c r="AC127" s="27"/>
      <c r="AD127" s="27"/>
      <c r="AE127" s="27"/>
      <c r="AF127" s="27"/>
      <c r="AG127" s="27"/>
      <c r="AH127" s="27"/>
      <c r="AI127" s="27"/>
      <c r="AJ127" s="27"/>
      <c r="AK127" s="27"/>
      <c r="AL127" s="27"/>
      <c r="AM127" s="27"/>
      <c r="AN127" s="27"/>
    </row>
    <row r="128">
      <c r="A128" s="82" t="s">
        <v>1584</v>
      </c>
      <c r="B128" s="141" t="s">
        <v>1585</v>
      </c>
      <c r="C128" s="52" t="s">
        <v>1586</v>
      </c>
      <c r="D128" s="18" t="s">
        <v>153</v>
      </c>
      <c r="E128" s="18" t="s">
        <v>1587</v>
      </c>
      <c r="F128" s="162" t="s">
        <v>1588</v>
      </c>
      <c r="G128" s="52" t="s">
        <v>1681</v>
      </c>
      <c r="H128" s="61" t="s">
        <v>1590</v>
      </c>
      <c r="I128" s="62" t="s">
        <v>989</v>
      </c>
      <c r="J128" s="62">
        <v>26.0</v>
      </c>
      <c r="K128" s="64" t="s">
        <v>1591</v>
      </c>
      <c r="L128" s="64" t="s">
        <v>139</v>
      </c>
      <c r="M128" s="65">
        <v>6602761.0</v>
      </c>
      <c r="N128" s="65">
        <v>253952.346153846</v>
      </c>
      <c r="O128" s="65">
        <v>52953.0</v>
      </c>
      <c r="P128" s="65" t="s">
        <v>811</v>
      </c>
      <c r="Q128" s="64" t="s">
        <v>112</v>
      </c>
      <c r="R128" s="68" t="s">
        <v>197</v>
      </c>
      <c r="S128" s="18" t="s">
        <v>1592</v>
      </c>
      <c r="T128" s="18" t="s">
        <v>1593</v>
      </c>
      <c r="U128" s="76" t="s">
        <v>1594</v>
      </c>
    </row>
    <row r="129">
      <c r="A129" s="49" t="s">
        <v>1595</v>
      </c>
      <c r="B129" s="25" t="s">
        <v>194</v>
      </c>
      <c r="C129" s="55" t="s">
        <v>1596</v>
      </c>
      <c r="D129" s="40" t="s">
        <v>153</v>
      </c>
      <c r="E129" s="55" t="s">
        <v>1597</v>
      </c>
      <c r="F129" s="139" t="s">
        <v>1692</v>
      </c>
      <c r="G129" s="52" t="s">
        <v>1599</v>
      </c>
      <c r="H129" s="71" t="s">
        <v>1600</v>
      </c>
      <c r="I129" s="62" t="s">
        <v>1090</v>
      </c>
      <c r="J129" s="62">
        <v>61.0</v>
      </c>
      <c r="K129" s="64" t="s">
        <v>789</v>
      </c>
      <c r="L129" s="64" t="s">
        <v>188</v>
      </c>
      <c r="M129" s="65">
        <v>3.7301828E7</v>
      </c>
      <c r="N129" s="65">
        <v>611505.37704918</v>
      </c>
      <c r="O129" s="65">
        <v>52687.0</v>
      </c>
      <c r="P129" s="65" t="s">
        <v>811</v>
      </c>
      <c r="Q129" s="64" t="s">
        <v>112</v>
      </c>
      <c r="R129" s="68" t="s">
        <v>116</v>
      </c>
      <c r="S129" s="40" t="s">
        <v>1601</v>
      </c>
      <c r="T129" s="40" t="s">
        <v>1602</v>
      </c>
      <c r="U129" s="76" t="s">
        <v>1603</v>
      </c>
    </row>
    <row r="130">
      <c r="A130" s="70" t="s">
        <v>1604</v>
      </c>
      <c r="B130" s="77" t="s">
        <v>194</v>
      </c>
      <c r="C130" s="55" t="s">
        <v>1605</v>
      </c>
      <c r="D130" s="40" t="s">
        <v>153</v>
      </c>
      <c r="E130" s="52" t="s">
        <v>1606</v>
      </c>
      <c r="F130" s="52" t="s">
        <v>1607</v>
      </c>
      <c r="G130" s="162" t="s">
        <v>1608</v>
      </c>
      <c r="H130" s="61" t="s">
        <v>1609</v>
      </c>
      <c r="I130" s="62" t="s">
        <v>945</v>
      </c>
      <c r="J130" s="62">
        <v>56.0</v>
      </c>
      <c r="K130" s="64" t="s">
        <v>1610</v>
      </c>
      <c r="L130" s="64" t="s">
        <v>188</v>
      </c>
      <c r="M130" s="65">
        <v>7980529.0</v>
      </c>
      <c r="N130" s="65">
        <v>142509.446428571</v>
      </c>
      <c r="O130" s="65">
        <v>51298.0</v>
      </c>
      <c r="P130" s="65" t="s">
        <v>811</v>
      </c>
      <c r="Q130" s="64" t="s">
        <v>112</v>
      </c>
      <c r="R130" s="68" t="s">
        <v>118</v>
      </c>
      <c r="S130" s="18" t="s">
        <v>1611</v>
      </c>
      <c r="T130" s="18" t="s">
        <v>1612</v>
      </c>
      <c r="U130" s="76" t="s">
        <v>1613</v>
      </c>
    </row>
    <row r="131">
      <c r="A131" s="188" t="s">
        <v>1614</v>
      </c>
      <c r="B131" s="18" t="s">
        <v>267</v>
      </c>
      <c r="C131" s="101" t="s">
        <v>1615</v>
      </c>
      <c r="D131" s="190" t="s">
        <v>1616</v>
      </c>
      <c r="E131" s="101" t="s">
        <v>1616</v>
      </c>
      <c r="F131" s="71" t="s">
        <v>1617</v>
      </c>
      <c r="G131" s="199" t="s">
        <v>1618</v>
      </c>
      <c r="H131" s="61" t="s">
        <v>1619</v>
      </c>
      <c r="I131" s="62" t="s">
        <v>895</v>
      </c>
      <c r="J131" s="62">
        <v>20.0</v>
      </c>
      <c r="K131" s="66" t="s">
        <v>1620</v>
      </c>
      <c r="L131" s="66" t="s">
        <v>297</v>
      </c>
      <c r="M131" s="65">
        <v>6341193.0</v>
      </c>
      <c r="N131" s="65">
        <v>317059.65</v>
      </c>
      <c r="O131" s="65">
        <v>48405.0</v>
      </c>
      <c r="P131" s="66" t="s">
        <v>811</v>
      </c>
      <c r="Q131" s="64" t="s">
        <v>112</v>
      </c>
      <c r="R131" s="68" t="s">
        <v>197</v>
      </c>
      <c r="S131" s="64" t="s">
        <v>1621</v>
      </c>
      <c r="T131" s="64" t="s">
        <v>1622</v>
      </c>
      <c r="U131" s="90" t="s">
        <v>1623</v>
      </c>
      <c r="V131" s="189"/>
    </row>
    <row r="132">
      <c r="A132" s="88" t="s">
        <v>1624</v>
      </c>
      <c r="B132" s="18" t="s">
        <v>218</v>
      </c>
      <c r="C132" s="190" t="s">
        <v>1625</v>
      </c>
      <c r="D132" s="64" t="s">
        <v>153</v>
      </c>
      <c r="E132" s="64" t="s">
        <v>1626</v>
      </c>
      <c r="F132" s="190" t="s">
        <v>1627</v>
      </c>
      <c r="G132" s="192" t="s">
        <v>1628</v>
      </c>
      <c r="H132" s="190" t="s">
        <v>1629</v>
      </c>
      <c r="I132" s="62" t="s">
        <v>907</v>
      </c>
      <c r="J132" s="62">
        <v>15.0</v>
      </c>
      <c r="K132" s="62" t="s">
        <v>1147</v>
      </c>
      <c r="L132" s="62" t="s">
        <v>139</v>
      </c>
      <c r="M132" s="65">
        <v>3078187.0</v>
      </c>
      <c r="N132" s="65">
        <v>205212.466666666</v>
      </c>
      <c r="O132" s="65">
        <v>44348.0</v>
      </c>
      <c r="P132" s="64" t="s">
        <v>811</v>
      </c>
      <c r="Q132" s="64" t="s">
        <v>112</v>
      </c>
      <c r="R132" s="68" t="s">
        <v>197</v>
      </c>
      <c r="S132" s="64" t="s">
        <v>1630</v>
      </c>
      <c r="T132" s="64" t="s">
        <v>1631</v>
      </c>
      <c r="U132" s="90" t="s">
        <v>1632</v>
      </c>
      <c r="V132" s="191"/>
      <c r="W132" s="191"/>
      <c r="X132" s="191"/>
      <c r="Y132" s="191"/>
      <c r="Z132" s="191"/>
      <c r="AA132" s="191"/>
      <c r="AB132" s="191"/>
      <c r="AC132" s="191"/>
      <c r="AD132" s="191"/>
      <c r="AE132" s="191"/>
      <c r="AF132" s="191"/>
      <c r="AG132" s="191"/>
      <c r="AH132" s="191"/>
      <c r="AI132" s="191"/>
      <c r="AJ132" s="191"/>
      <c r="AK132" s="191"/>
      <c r="AL132" s="191"/>
      <c r="AM132" s="191"/>
      <c r="AN132" s="191"/>
    </row>
    <row r="133">
      <c r="A133" s="99" t="s">
        <v>1633</v>
      </c>
      <c r="B133" s="18" t="s">
        <v>1634</v>
      </c>
      <c r="C133" s="101" t="s">
        <v>1635</v>
      </c>
      <c r="D133" s="68"/>
      <c r="E133" s="119" t="s">
        <v>1636</v>
      </c>
      <c r="F133" s="68"/>
      <c r="G133" s="192" t="s">
        <v>1637</v>
      </c>
      <c r="H133" s="120" t="s">
        <v>1638</v>
      </c>
      <c r="I133" s="62">
        <v>49.0</v>
      </c>
      <c r="J133" s="62">
        <v>2.0</v>
      </c>
      <c r="K133" s="64" t="s">
        <v>947</v>
      </c>
      <c r="L133" s="64" t="s">
        <v>285</v>
      </c>
      <c r="M133" s="65">
        <v>85241.0</v>
      </c>
      <c r="N133" s="65">
        <v>42620.5</v>
      </c>
      <c r="O133" s="65">
        <v>42620.5</v>
      </c>
      <c r="P133" s="65" t="s">
        <v>811</v>
      </c>
      <c r="Q133" s="64" t="s">
        <v>112</v>
      </c>
      <c r="R133" s="68" t="s">
        <v>197</v>
      </c>
      <c r="S133" s="68"/>
      <c r="T133" s="42"/>
      <c r="U133" s="104"/>
      <c r="V133" s="27"/>
      <c r="W133" s="27"/>
      <c r="X133" s="27"/>
      <c r="Y133" s="27"/>
      <c r="Z133" s="27"/>
      <c r="AA133" s="27"/>
      <c r="AB133" s="27"/>
      <c r="AC133" s="27"/>
      <c r="AD133" s="27"/>
      <c r="AE133" s="27"/>
      <c r="AF133" s="27"/>
      <c r="AG133" s="27"/>
      <c r="AH133" s="27"/>
      <c r="AI133" s="27"/>
      <c r="AJ133" s="27"/>
      <c r="AK133" s="27"/>
      <c r="AL133" s="27"/>
      <c r="AM133" s="27"/>
      <c r="AN133" s="27"/>
    </row>
    <row r="134">
      <c r="A134" s="100" t="s">
        <v>1639</v>
      </c>
      <c r="B134" s="237" t="s">
        <v>179</v>
      </c>
      <c r="C134" s="52" t="s">
        <v>1640</v>
      </c>
      <c r="D134" s="238" t="s">
        <v>153</v>
      </c>
      <c r="E134" s="40" t="s">
        <v>1641</v>
      </c>
      <c r="F134" s="52" t="s">
        <v>1642</v>
      </c>
      <c r="G134" s="52" t="s">
        <v>1643</v>
      </c>
      <c r="H134" s="61" t="s">
        <v>1644</v>
      </c>
      <c r="I134" s="239" t="s">
        <v>283</v>
      </c>
      <c r="J134" s="62">
        <v>25.0</v>
      </c>
      <c r="K134" s="64" t="s">
        <v>736</v>
      </c>
      <c r="L134" s="64" t="s">
        <v>188</v>
      </c>
      <c r="M134" s="65">
        <v>6374966.0</v>
      </c>
      <c r="N134" s="65">
        <v>254998.64</v>
      </c>
      <c r="O134" s="65">
        <v>38781.0</v>
      </c>
      <c r="P134" s="65" t="s">
        <v>811</v>
      </c>
      <c r="Q134" s="64" t="s">
        <v>112</v>
      </c>
      <c r="R134" s="68" t="s">
        <v>118</v>
      </c>
      <c r="S134" s="40" t="s">
        <v>1645</v>
      </c>
      <c r="T134" s="40" t="s">
        <v>1646</v>
      </c>
      <c r="U134" s="76" t="s">
        <v>1647</v>
      </c>
      <c r="W134" s="18"/>
      <c r="X134" s="18"/>
      <c r="Y134" s="18"/>
      <c r="Z134" s="18"/>
      <c r="AA134" s="240"/>
      <c r="AB134" s="240"/>
      <c r="AC134" s="240"/>
      <c r="AD134" s="240"/>
      <c r="AE134" s="240"/>
      <c r="AF134" s="240"/>
      <c r="AG134" s="240"/>
      <c r="AH134" s="240"/>
      <c r="AI134" s="240"/>
      <c r="AJ134" s="240"/>
      <c r="AK134" s="240"/>
      <c r="AL134" s="240"/>
      <c r="AM134" s="240"/>
      <c r="AN134" s="240"/>
    </row>
    <row r="135">
      <c r="A135" s="45" t="s">
        <v>1648</v>
      </c>
      <c r="B135" s="18" t="s">
        <v>254</v>
      </c>
      <c r="C135" s="55" t="s">
        <v>1649</v>
      </c>
      <c r="D135" s="55" t="s">
        <v>1650</v>
      </c>
      <c r="E135" s="40" t="s">
        <v>1651</v>
      </c>
      <c r="F135" s="59" t="s">
        <v>1758</v>
      </c>
      <c r="G135" s="52" t="s">
        <v>1653</v>
      </c>
      <c r="H135" s="61" t="s">
        <v>1654</v>
      </c>
      <c r="I135" s="62">
        <v>914.0</v>
      </c>
      <c r="J135" s="62">
        <v>11.0</v>
      </c>
      <c r="K135" s="64" t="s">
        <v>364</v>
      </c>
      <c r="L135" s="64" t="s">
        <v>297</v>
      </c>
      <c r="M135" s="65">
        <v>2754690.0</v>
      </c>
      <c r="N135" s="65">
        <v>250426.363636363</v>
      </c>
      <c r="O135" s="65">
        <v>34705.0</v>
      </c>
      <c r="P135" s="65" t="s">
        <v>811</v>
      </c>
      <c r="Q135" s="64" t="s">
        <v>112</v>
      </c>
      <c r="R135" s="68" t="s">
        <v>116</v>
      </c>
      <c r="S135" s="40" t="s">
        <v>1655</v>
      </c>
      <c r="T135" s="40" t="s">
        <v>1656</v>
      </c>
      <c r="U135" s="76" t="s">
        <v>1657</v>
      </c>
    </row>
    <row r="136">
      <c r="A136" s="233" t="s">
        <v>1659</v>
      </c>
      <c r="B136" s="18" t="s">
        <v>165</v>
      </c>
      <c r="C136" s="55" t="s">
        <v>1660</v>
      </c>
      <c r="D136" s="40" t="s">
        <v>153</v>
      </c>
      <c r="E136" s="52" t="s">
        <v>1661</v>
      </c>
      <c r="F136" s="162" t="s">
        <v>1663</v>
      </c>
      <c r="G136" s="59" t="s">
        <v>1664</v>
      </c>
      <c r="H136" s="61" t="s">
        <v>1665</v>
      </c>
      <c r="I136" s="62" t="s">
        <v>752</v>
      </c>
      <c r="J136" s="62">
        <v>126.0</v>
      </c>
      <c r="K136" s="64" t="s">
        <v>1666</v>
      </c>
      <c r="L136" s="64" t="s">
        <v>139</v>
      </c>
      <c r="M136" s="65">
        <v>2.8065302E7</v>
      </c>
      <c r="N136" s="65">
        <v>222740.492063492</v>
      </c>
      <c r="O136" s="65">
        <v>31245.5</v>
      </c>
      <c r="P136" s="65" t="s">
        <v>811</v>
      </c>
      <c r="Q136" s="64" t="s">
        <v>112</v>
      </c>
      <c r="R136" s="68" t="s">
        <v>120</v>
      </c>
      <c r="S136" s="25" t="s">
        <v>1667</v>
      </c>
      <c r="T136" s="40" t="s">
        <v>1668</v>
      </c>
      <c r="U136" s="69" t="s">
        <v>153</v>
      </c>
      <c r="V136" s="27"/>
    </row>
    <row r="137" ht="17.25" customHeight="1">
      <c r="A137" s="88" t="s">
        <v>1669</v>
      </c>
      <c r="B137" s="18" t="s">
        <v>179</v>
      </c>
      <c r="C137" s="71" t="s">
        <v>1670</v>
      </c>
      <c r="D137" s="64" t="s">
        <v>153</v>
      </c>
      <c r="E137" s="176" t="s">
        <v>1671</v>
      </c>
      <c r="F137" s="162" t="s">
        <v>1672</v>
      </c>
      <c r="G137" s="120" t="s">
        <v>1673</v>
      </c>
      <c r="H137" s="192" t="s">
        <v>1674</v>
      </c>
      <c r="I137" s="62">
        <v>159.0</v>
      </c>
      <c r="J137" s="62">
        <v>10.0</v>
      </c>
      <c r="K137" s="62" t="s">
        <v>1591</v>
      </c>
      <c r="L137" s="62" t="s">
        <v>285</v>
      </c>
      <c r="M137" s="65">
        <v>894871.0</v>
      </c>
      <c r="N137" s="65">
        <v>89487.1</v>
      </c>
      <c r="O137" s="65">
        <v>27501.5</v>
      </c>
      <c r="P137" s="64" t="s">
        <v>811</v>
      </c>
      <c r="Q137" s="64" t="s">
        <v>112</v>
      </c>
      <c r="R137" s="68" t="s">
        <v>197</v>
      </c>
      <c r="S137" s="64" t="s">
        <v>1675</v>
      </c>
      <c r="T137" s="191" t="s">
        <v>153</v>
      </c>
      <c r="U137" s="90" t="s">
        <v>153</v>
      </c>
      <c r="V137" s="191"/>
      <c r="W137" s="191"/>
      <c r="X137" s="191"/>
      <c r="Y137" s="191"/>
      <c r="Z137" s="191"/>
      <c r="AA137" s="191"/>
      <c r="AB137" s="191"/>
      <c r="AC137" s="191"/>
      <c r="AD137" s="191"/>
      <c r="AE137" s="191"/>
      <c r="AF137" s="191"/>
      <c r="AG137" s="191"/>
      <c r="AH137" s="191"/>
      <c r="AI137" s="191"/>
      <c r="AJ137" s="191"/>
      <c r="AK137" s="191"/>
      <c r="AL137" s="191"/>
      <c r="AM137" s="191"/>
      <c r="AN137" s="191"/>
    </row>
    <row r="138">
      <c r="A138" s="49" t="s">
        <v>1676</v>
      </c>
      <c r="B138" s="18" t="s">
        <v>179</v>
      </c>
      <c r="C138" s="52" t="s">
        <v>1677</v>
      </c>
      <c r="D138" s="40" t="s">
        <v>153</v>
      </c>
      <c r="E138" s="52" t="s">
        <v>1678</v>
      </c>
      <c r="F138" s="59" t="s">
        <v>1679</v>
      </c>
      <c r="G138" s="59" t="s">
        <v>1680</v>
      </c>
      <c r="H138" s="61" t="s">
        <v>1682</v>
      </c>
      <c r="I138" s="62" t="s">
        <v>1196</v>
      </c>
      <c r="J138" s="62">
        <v>18.0</v>
      </c>
      <c r="K138" s="64" t="s">
        <v>1683</v>
      </c>
      <c r="L138" s="64" t="s">
        <v>908</v>
      </c>
      <c r="M138" s="65">
        <v>5064384.0</v>
      </c>
      <c r="N138" s="65">
        <v>281354.666666666</v>
      </c>
      <c r="O138" s="65">
        <v>26939.5</v>
      </c>
      <c r="P138" s="65" t="s">
        <v>811</v>
      </c>
      <c r="Q138" s="64" t="s">
        <v>112</v>
      </c>
      <c r="R138" s="68" t="s">
        <v>118</v>
      </c>
      <c r="S138" s="77" t="s">
        <v>1684</v>
      </c>
      <c r="T138" s="40" t="s">
        <v>1685</v>
      </c>
      <c r="U138" s="76" t="s">
        <v>153</v>
      </c>
    </row>
    <row r="139">
      <c r="A139" s="100" t="s">
        <v>1686</v>
      </c>
      <c r="B139" s="18" t="s">
        <v>218</v>
      </c>
      <c r="C139" s="55" t="s">
        <v>1687</v>
      </c>
      <c r="D139" s="40" t="s">
        <v>153</v>
      </c>
      <c r="E139" s="52" t="s">
        <v>1688</v>
      </c>
      <c r="F139" s="18" t="s">
        <v>197</v>
      </c>
      <c r="G139" s="55" t="s">
        <v>1689</v>
      </c>
      <c r="H139" s="61" t="s">
        <v>1690</v>
      </c>
      <c r="I139" s="62" t="s">
        <v>1375</v>
      </c>
      <c r="J139" s="62">
        <v>52.0</v>
      </c>
      <c r="K139" s="64" t="s">
        <v>1691</v>
      </c>
      <c r="L139" s="64" t="s">
        <v>139</v>
      </c>
      <c r="M139" s="65">
        <v>1.8933631E7</v>
      </c>
      <c r="N139" s="65">
        <v>364108.288461538</v>
      </c>
      <c r="O139" s="65">
        <v>25927.5</v>
      </c>
      <c r="P139" s="65" t="s">
        <v>811</v>
      </c>
      <c r="Q139" s="64" t="s">
        <v>112</v>
      </c>
      <c r="R139" s="68" t="s">
        <v>197</v>
      </c>
      <c r="S139" s="40" t="s">
        <v>1693</v>
      </c>
      <c r="T139" s="40" t="s">
        <v>1694</v>
      </c>
      <c r="U139" s="76" t="s">
        <v>1695</v>
      </c>
      <c r="V139" s="27"/>
    </row>
    <row r="140">
      <c r="A140" s="99" t="s">
        <v>1696</v>
      </c>
      <c r="B140" s="119" t="s">
        <v>302</v>
      </c>
      <c r="C140" s="173" t="s">
        <v>1697</v>
      </c>
      <c r="D140" s="119" t="s">
        <v>153</v>
      </c>
      <c r="E140" s="173" t="s">
        <v>1698</v>
      </c>
      <c r="F140" s="64" t="s">
        <v>197</v>
      </c>
      <c r="G140" s="205" t="s">
        <v>1699</v>
      </c>
      <c r="H140" s="61" t="s">
        <v>1700</v>
      </c>
      <c r="I140" s="62" t="s">
        <v>989</v>
      </c>
      <c r="J140" s="62">
        <v>29.0</v>
      </c>
      <c r="K140" s="64" t="s">
        <v>1701</v>
      </c>
      <c r="L140" s="64" t="s">
        <v>139</v>
      </c>
      <c r="M140" s="65">
        <v>2163916.0</v>
      </c>
      <c r="N140" s="65">
        <v>74617.7931034482</v>
      </c>
      <c r="O140" s="65">
        <v>25358.0</v>
      </c>
      <c r="P140" s="65" t="s">
        <v>811</v>
      </c>
      <c r="Q140" s="64" t="s">
        <v>112</v>
      </c>
      <c r="R140" s="68" t="s">
        <v>118</v>
      </c>
      <c r="S140" s="102" t="s">
        <v>1702</v>
      </c>
      <c r="T140" s="119" t="s">
        <v>1703</v>
      </c>
      <c r="U140" s="90" t="s">
        <v>1704</v>
      </c>
      <c r="V140" s="27"/>
      <c r="W140" s="27"/>
      <c r="X140" s="27"/>
      <c r="Y140" s="27"/>
      <c r="AA140" s="27"/>
      <c r="AB140" s="27"/>
      <c r="AC140" s="27"/>
      <c r="AD140" s="27"/>
      <c r="AE140" s="27"/>
      <c r="AF140" s="27"/>
      <c r="AG140" s="27"/>
      <c r="AH140" s="27"/>
      <c r="AI140" s="27"/>
      <c r="AJ140" s="27"/>
      <c r="AK140" s="27"/>
      <c r="AL140" s="27"/>
      <c r="AM140" s="27"/>
      <c r="AN140" s="27"/>
    </row>
    <row r="141">
      <c r="A141" s="100" t="s">
        <v>1705</v>
      </c>
      <c r="B141" s="73" t="s">
        <v>1706</v>
      </c>
      <c r="C141" s="52" t="s">
        <v>1707</v>
      </c>
      <c r="D141" s="71" t="s">
        <v>1708</v>
      </c>
      <c r="E141" s="40" t="s">
        <v>1709</v>
      </c>
      <c r="F141" s="52" t="s">
        <v>1710</v>
      </c>
      <c r="G141" s="52" t="s">
        <v>1711</v>
      </c>
      <c r="H141" s="61" t="s">
        <v>1712</v>
      </c>
      <c r="I141" s="62" t="s">
        <v>386</v>
      </c>
      <c r="J141" s="62">
        <v>22.0</v>
      </c>
      <c r="K141" s="64" t="s">
        <v>1713</v>
      </c>
      <c r="L141" s="64" t="s">
        <v>188</v>
      </c>
      <c r="M141" s="65">
        <v>1052871.0</v>
      </c>
      <c r="N141" s="65">
        <v>47857.7727272727</v>
      </c>
      <c r="O141" s="65">
        <v>22927.0</v>
      </c>
      <c r="P141" s="65" t="s">
        <v>811</v>
      </c>
      <c r="Q141" s="64" t="s">
        <v>112</v>
      </c>
      <c r="R141" s="119" t="s">
        <v>197</v>
      </c>
      <c r="S141" s="40" t="s">
        <v>1714</v>
      </c>
      <c r="T141" s="241" t="s">
        <v>1715</v>
      </c>
      <c r="U141" s="90" t="s">
        <v>1716</v>
      </c>
    </row>
    <row r="142">
      <c r="A142" s="88" t="s">
        <v>1717</v>
      </c>
      <c r="B142" s="18" t="s">
        <v>1416</v>
      </c>
      <c r="C142" s="71" t="s">
        <v>1718</v>
      </c>
      <c r="D142" s="64" t="s">
        <v>153</v>
      </c>
      <c r="E142" s="64" t="s">
        <v>1719</v>
      </c>
      <c r="F142" s="190" t="s">
        <v>1720</v>
      </c>
      <c r="G142" s="242" t="s">
        <v>1721</v>
      </c>
      <c r="H142" s="190" t="s">
        <v>1722</v>
      </c>
      <c r="I142" s="78">
        <v>248.0</v>
      </c>
      <c r="J142" s="78">
        <v>2.0</v>
      </c>
      <c r="K142" s="92" t="s">
        <v>1723</v>
      </c>
      <c r="L142" s="92" t="s">
        <v>188</v>
      </c>
      <c r="M142" s="65">
        <v>40484.0</v>
      </c>
      <c r="N142" s="65">
        <v>20242.0</v>
      </c>
      <c r="O142" s="65">
        <v>20242.0</v>
      </c>
      <c r="P142" s="92" t="s">
        <v>811</v>
      </c>
      <c r="Q142" s="64" t="s">
        <v>112</v>
      </c>
      <c r="R142" s="68" t="s">
        <v>197</v>
      </c>
      <c r="S142" s="64" t="s">
        <v>1724</v>
      </c>
      <c r="T142" s="64" t="s">
        <v>1725</v>
      </c>
      <c r="U142" s="90" t="s">
        <v>1726</v>
      </c>
      <c r="V142" s="191"/>
      <c r="W142" s="191"/>
      <c r="X142" s="191"/>
      <c r="Y142" s="191"/>
      <c r="Z142" s="191"/>
      <c r="AA142" s="191"/>
      <c r="AB142" s="191"/>
      <c r="AC142" s="191"/>
      <c r="AD142" s="191"/>
      <c r="AE142" s="191"/>
      <c r="AF142" s="191"/>
      <c r="AG142" s="191"/>
      <c r="AH142" s="191"/>
      <c r="AI142" s="191"/>
      <c r="AJ142" s="191"/>
      <c r="AK142" s="191"/>
      <c r="AL142" s="191"/>
      <c r="AM142" s="191"/>
      <c r="AN142" s="191"/>
    </row>
    <row r="143">
      <c r="A143" s="88" t="s">
        <v>1727</v>
      </c>
      <c r="B143" s="18" t="s">
        <v>218</v>
      </c>
      <c r="C143" s="61" t="s">
        <v>1728</v>
      </c>
      <c r="D143" s="64" t="s">
        <v>153</v>
      </c>
      <c r="E143" s="64" t="s">
        <v>1729</v>
      </c>
      <c r="F143" s="71" t="s">
        <v>1730</v>
      </c>
      <c r="G143" s="209" t="s">
        <v>1731</v>
      </c>
      <c r="H143" s="61" t="s">
        <v>1732</v>
      </c>
      <c r="I143" s="62" t="s">
        <v>863</v>
      </c>
      <c r="J143" s="62">
        <v>24.0</v>
      </c>
      <c r="K143" s="64" t="s">
        <v>1733</v>
      </c>
      <c r="L143" s="64" t="s">
        <v>139</v>
      </c>
      <c r="M143" s="65">
        <v>6720827.0</v>
      </c>
      <c r="N143" s="65">
        <v>280034.458333333</v>
      </c>
      <c r="O143" s="65">
        <v>19353.5</v>
      </c>
      <c r="P143" s="66" t="s">
        <v>811</v>
      </c>
      <c r="Q143" s="64" t="s">
        <v>112</v>
      </c>
      <c r="R143" s="68" t="s">
        <v>197</v>
      </c>
      <c r="S143" s="64" t="s">
        <v>1734</v>
      </c>
      <c r="T143" s="64" t="s">
        <v>1735</v>
      </c>
      <c r="U143" s="92" t="s">
        <v>153</v>
      </c>
      <c r="V143" s="122"/>
      <c r="W143" s="122"/>
      <c r="X143" s="122"/>
      <c r="Y143" s="122"/>
      <c r="Z143" s="122"/>
      <c r="AA143" s="122"/>
      <c r="AB143" s="122"/>
      <c r="AC143" s="122"/>
      <c r="AD143" s="122"/>
      <c r="AE143" s="122"/>
      <c r="AF143" s="122"/>
      <c r="AG143" s="122"/>
      <c r="AH143" s="122"/>
      <c r="AI143" s="122"/>
      <c r="AJ143" s="122"/>
      <c r="AK143" s="122"/>
      <c r="AL143" s="122"/>
      <c r="AM143" s="122"/>
      <c r="AN143" s="122"/>
    </row>
    <row r="144">
      <c r="A144" s="218" t="s">
        <v>1736</v>
      </c>
      <c r="B144" s="220" t="s">
        <v>179</v>
      </c>
      <c r="C144" s="120" t="s">
        <v>1737</v>
      </c>
      <c r="D144" s="220" t="s">
        <v>153</v>
      </c>
      <c r="E144" s="120" t="s">
        <v>1738</v>
      </c>
      <c r="F144" s="243" t="s">
        <v>1860</v>
      </c>
      <c r="G144" s="120" t="s">
        <v>1740</v>
      </c>
      <c r="H144" s="61" t="s">
        <v>1741</v>
      </c>
      <c r="I144" s="222" t="s">
        <v>1742</v>
      </c>
      <c r="J144" s="62">
        <v>179.0</v>
      </c>
      <c r="K144" s="83" t="s">
        <v>1296</v>
      </c>
      <c r="L144" s="83" t="s">
        <v>188</v>
      </c>
      <c r="M144" s="65">
        <v>3.9414516E7</v>
      </c>
      <c r="N144" s="65">
        <v>220192.826815642</v>
      </c>
      <c r="O144" s="65">
        <v>18091.0</v>
      </c>
      <c r="P144" s="64" t="s">
        <v>811</v>
      </c>
      <c r="Q144" s="183" t="s">
        <v>112</v>
      </c>
      <c r="R144" s="122" t="s">
        <v>116</v>
      </c>
      <c r="S144" s="102" t="s">
        <v>1743</v>
      </c>
      <c r="T144" s="102" t="s">
        <v>1744</v>
      </c>
      <c r="U144" s="224" t="s">
        <v>1745</v>
      </c>
      <c r="AB144" s="122"/>
      <c r="AC144" s="122"/>
      <c r="AD144" s="122"/>
      <c r="AE144" s="122"/>
      <c r="AF144" s="122"/>
      <c r="AG144" s="122"/>
      <c r="AH144" s="122"/>
      <c r="AI144" s="122"/>
      <c r="AJ144" s="122"/>
      <c r="AK144" s="122"/>
      <c r="AL144" s="122"/>
      <c r="AM144" s="122"/>
      <c r="AN144" s="122"/>
    </row>
    <row r="145">
      <c r="A145" s="70" t="s">
        <v>1746</v>
      </c>
      <c r="B145" s="77" t="s">
        <v>778</v>
      </c>
      <c r="C145" s="52" t="s">
        <v>1747</v>
      </c>
      <c r="D145" s="40" t="s">
        <v>153</v>
      </c>
      <c r="E145" s="40" t="s">
        <v>1748</v>
      </c>
      <c r="F145" s="86" t="s">
        <v>197</v>
      </c>
      <c r="G145" s="193" t="s">
        <v>1749</v>
      </c>
      <c r="H145" s="71" t="s">
        <v>1750</v>
      </c>
      <c r="I145" s="62">
        <v>876.0</v>
      </c>
      <c r="J145" s="62">
        <v>23.0</v>
      </c>
      <c r="K145" s="64" t="s">
        <v>1495</v>
      </c>
      <c r="L145" s="64" t="s">
        <v>203</v>
      </c>
      <c r="M145" s="65">
        <v>613928.0</v>
      </c>
      <c r="N145" s="65">
        <v>26692.5217391304</v>
      </c>
      <c r="O145" s="65">
        <v>14725.0</v>
      </c>
      <c r="P145" s="65" t="s">
        <v>811</v>
      </c>
      <c r="Q145" s="64" t="s">
        <v>112</v>
      </c>
      <c r="R145" s="68" t="s">
        <v>116</v>
      </c>
      <c r="S145" s="25" t="s">
        <v>1751</v>
      </c>
      <c r="T145" s="40" t="s">
        <v>1752</v>
      </c>
      <c r="U145" s="69" t="s">
        <v>153</v>
      </c>
      <c r="V145" s="27"/>
    </row>
    <row r="146">
      <c r="A146" s="100" t="s">
        <v>1753</v>
      </c>
      <c r="B146" s="18" t="s">
        <v>218</v>
      </c>
      <c r="C146" s="162" t="s">
        <v>1754</v>
      </c>
      <c r="D146" s="18" t="s">
        <v>153</v>
      </c>
      <c r="E146" s="18" t="s">
        <v>1755</v>
      </c>
      <c r="F146" s="18" t="s">
        <v>197</v>
      </c>
      <c r="G146" s="52" t="s">
        <v>1756</v>
      </c>
      <c r="H146" s="61" t="s">
        <v>1757</v>
      </c>
      <c r="I146" s="62" t="s">
        <v>1759</v>
      </c>
      <c r="J146" s="62">
        <v>118.0</v>
      </c>
      <c r="K146" s="64" t="s">
        <v>1591</v>
      </c>
      <c r="L146" s="64" t="s">
        <v>139</v>
      </c>
      <c r="M146" s="65">
        <v>1.6615376E7</v>
      </c>
      <c r="N146" s="65">
        <v>140808.27118644</v>
      </c>
      <c r="O146" s="65">
        <v>14346.5</v>
      </c>
      <c r="P146" s="65" t="s">
        <v>811</v>
      </c>
      <c r="Q146" s="64" t="s">
        <v>112</v>
      </c>
      <c r="R146" s="68" t="s">
        <v>197</v>
      </c>
      <c r="S146" s="18" t="s">
        <v>1760</v>
      </c>
      <c r="T146" s="18" t="s">
        <v>1761</v>
      </c>
      <c r="U146" s="76" t="s">
        <v>1762</v>
      </c>
    </row>
    <row r="147" ht="16.5" customHeight="1">
      <c r="A147" s="100" t="s">
        <v>1763</v>
      </c>
      <c r="B147" s="18" t="s">
        <v>1764</v>
      </c>
      <c r="C147" s="162" t="s">
        <v>1765</v>
      </c>
      <c r="D147" s="22"/>
      <c r="E147" s="210" t="s">
        <v>1766</v>
      </c>
      <c r="F147" s="181" t="s">
        <v>197</v>
      </c>
      <c r="G147" s="52" t="s">
        <v>1767</v>
      </c>
      <c r="H147" s="52" t="s">
        <v>1768</v>
      </c>
      <c r="I147" s="62" t="s">
        <v>386</v>
      </c>
      <c r="J147" s="62">
        <v>13.0</v>
      </c>
      <c r="K147" s="62" t="s">
        <v>1769</v>
      </c>
      <c r="L147" s="62" t="s">
        <v>297</v>
      </c>
      <c r="M147" s="182">
        <v>342234.0</v>
      </c>
      <c r="N147" s="182">
        <v>26325.6923076923</v>
      </c>
      <c r="O147" s="182">
        <v>11270.0</v>
      </c>
      <c r="P147" s="65" t="s">
        <v>811</v>
      </c>
      <c r="Q147" s="183" t="s">
        <v>112</v>
      </c>
      <c r="R147" s="74" t="s">
        <v>120</v>
      </c>
      <c r="S147" s="18" t="s">
        <v>1770</v>
      </c>
      <c r="T147" s="18"/>
      <c r="U147" s="76" t="s">
        <v>1771</v>
      </c>
    </row>
    <row r="148">
      <c r="A148" s="49" t="s">
        <v>1772</v>
      </c>
      <c r="B148" s="203" t="s">
        <v>218</v>
      </c>
      <c r="C148" s="116" t="s">
        <v>1773</v>
      </c>
      <c r="D148" s="203" t="s">
        <v>153</v>
      </c>
      <c r="E148" s="203" t="s">
        <v>1774</v>
      </c>
      <c r="F148" s="116" t="s">
        <v>1775</v>
      </c>
      <c r="G148" s="116" t="s">
        <v>1776</v>
      </c>
      <c r="H148" s="61" t="s">
        <v>1777</v>
      </c>
      <c r="I148" s="62" t="s">
        <v>907</v>
      </c>
      <c r="J148" s="62">
        <v>70.0</v>
      </c>
      <c r="K148" s="64" t="s">
        <v>608</v>
      </c>
      <c r="L148" s="64" t="s">
        <v>773</v>
      </c>
      <c r="M148" s="65">
        <v>5677522.0</v>
      </c>
      <c r="N148" s="65">
        <v>81107.4571428571</v>
      </c>
      <c r="O148" s="65">
        <v>11076.5</v>
      </c>
      <c r="P148" s="65" t="s">
        <v>811</v>
      </c>
      <c r="Q148" s="183" t="s">
        <v>112</v>
      </c>
      <c r="R148" s="68" t="s">
        <v>118</v>
      </c>
      <c r="S148" s="129" t="s">
        <v>1778</v>
      </c>
      <c r="T148" s="131" t="s">
        <v>1779</v>
      </c>
      <c r="U148" s="244" t="s">
        <v>153</v>
      </c>
      <c r="V148" s="27"/>
      <c r="W148" s="27"/>
      <c r="X148" s="27"/>
      <c r="Y148" s="27"/>
      <c r="Z148" s="27"/>
      <c r="AA148" s="27"/>
      <c r="AB148" s="27"/>
      <c r="AC148" s="27"/>
      <c r="AD148" s="27"/>
      <c r="AE148" s="27"/>
      <c r="AF148" s="27"/>
      <c r="AG148" s="27"/>
      <c r="AH148" s="27"/>
      <c r="AI148" s="27"/>
      <c r="AJ148" s="27"/>
      <c r="AK148" s="27"/>
      <c r="AL148" s="27"/>
      <c r="AM148" s="27"/>
      <c r="AN148" s="27"/>
    </row>
    <row r="149">
      <c r="A149" s="82" t="s">
        <v>1780</v>
      </c>
      <c r="B149" s="40" t="s">
        <v>1781</v>
      </c>
      <c r="C149" s="52" t="s">
        <v>1782</v>
      </c>
      <c r="D149" s="71" t="s">
        <v>1783</v>
      </c>
      <c r="E149" s="40" t="s">
        <v>1784</v>
      </c>
      <c r="F149" s="52" t="s">
        <v>1785</v>
      </c>
      <c r="G149" s="55" t="s">
        <v>1786</v>
      </c>
      <c r="H149" s="61" t="s">
        <v>1787</v>
      </c>
      <c r="I149" s="62" t="s">
        <v>1742</v>
      </c>
      <c r="J149" s="62">
        <v>29.0</v>
      </c>
      <c r="K149" s="64" t="s">
        <v>296</v>
      </c>
      <c r="L149" s="64" t="s">
        <v>249</v>
      </c>
      <c r="M149" s="65">
        <v>8738298.0</v>
      </c>
      <c r="N149" s="65">
        <v>301320.620689655</v>
      </c>
      <c r="O149" s="65">
        <v>11009.0</v>
      </c>
      <c r="P149" s="65" t="s">
        <v>811</v>
      </c>
      <c r="Q149" s="64" t="s">
        <v>112</v>
      </c>
      <c r="R149" s="68" t="s">
        <v>118</v>
      </c>
      <c r="S149" s="40" t="s">
        <v>1788</v>
      </c>
      <c r="T149" s="40" t="s">
        <v>1789</v>
      </c>
      <c r="U149" s="74" t="s">
        <v>1790</v>
      </c>
    </row>
    <row r="150">
      <c r="A150" s="105" t="s">
        <v>1791</v>
      </c>
      <c r="B150" s="18" t="s">
        <v>179</v>
      </c>
      <c r="C150" s="71" t="s">
        <v>1792</v>
      </c>
      <c r="D150" s="64" t="s">
        <v>153</v>
      </c>
      <c r="E150" s="102" t="s">
        <v>1793</v>
      </c>
      <c r="F150" s="71" t="s">
        <v>1794</v>
      </c>
      <c r="G150" s="71" t="s">
        <v>1795</v>
      </c>
      <c r="H150" s="167" t="s">
        <v>1796</v>
      </c>
      <c r="I150" s="78">
        <v>37.0</v>
      </c>
      <c r="J150" s="78">
        <v>5.0</v>
      </c>
      <c r="K150" s="62" t="s">
        <v>884</v>
      </c>
      <c r="L150" s="245" t="s">
        <v>285</v>
      </c>
      <c r="M150" s="79">
        <v>243545.0</v>
      </c>
      <c r="N150" s="79">
        <v>48709.0</v>
      </c>
      <c r="O150" s="80">
        <v>10534.0</v>
      </c>
      <c r="P150" s="65" t="s">
        <v>811</v>
      </c>
      <c r="Q150" s="64" t="s">
        <v>112</v>
      </c>
      <c r="R150" s="68" t="s">
        <v>197</v>
      </c>
      <c r="S150" s="64" t="s">
        <v>1797</v>
      </c>
      <c r="T150" s="92" t="s">
        <v>1798</v>
      </c>
      <c r="U150" s="90" t="s">
        <v>1799</v>
      </c>
      <c r="V150" s="191"/>
      <c r="W150" s="191"/>
    </row>
    <row r="151" ht="16.5" customHeight="1">
      <c r="A151" s="100" t="s">
        <v>1800</v>
      </c>
      <c r="B151" s="18" t="s">
        <v>1416</v>
      </c>
      <c r="C151" s="52" t="s">
        <v>1801</v>
      </c>
      <c r="D151" s="40"/>
      <c r="E151" s="40" t="s">
        <v>1802</v>
      </c>
      <c r="F151" s="86" t="s">
        <v>1803</v>
      </c>
      <c r="G151" s="52" t="s">
        <v>1804</v>
      </c>
      <c r="H151" s="71" t="s">
        <v>1805</v>
      </c>
      <c r="I151" s="62">
        <v>229.0</v>
      </c>
      <c r="J151" s="62">
        <v>11.0</v>
      </c>
      <c r="K151" s="62" t="s">
        <v>1391</v>
      </c>
      <c r="L151" s="62" t="s">
        <v>139</v>
      </c>
      <c r="M151" s="80">
        <v>573492.0</v>
      </c>
      <c r="N151" s="80">
        <v>52135.6363636363</v>
      </c>
      <c r="O151" s="80">
        <v>9991.0</v>
      </c>
      <c r="P151" s="65" t="s">
        <v>811</v>
      </c>
      <c r="Q151" s="64" t="s">
        <v>112</v>
      </c>
      <c r="R151" s="68" t="s">
        <v>116</v>
      </c>
      <c r="S151" s="40" t="s">
        <v>1806</v>
      </c>
      <c r="T151" s="40" t="s">
        <v>1807</v>
      </c>
      <c r="U151" s="76" t="s">
        <v>1808</v>
      </c>
    </row>
    <row r="152">
      <c r="A152" s="100" t="s">
        <v>1809</v>
      </c>
      <c r="B152" s="18" t="s">
        <v>218</v>
      </c>
      <c r="C152" s="199" t="s">
        <v>1810</v>
      </c>
      <c r="D152" s="22"/>
      <c r="E152" s="22"/>
      <c r="F152" s="18" t="s">
        <v>1811</v>
      </c>
      <c r="G152" s="199" t="s">
        <v>1812</v>
      </c>
      <c r="H152" s="199" t="s">
        <v>1813</v>
      </c>
      <c r="I152" s="128">
        <v>85.0</v>
      </c>
      <c r="J152" s="62">
        <v>6.0</v>
      </c>
      <c r="K152" s="127" t="s">
        <v>1814</v>
      </c>
      <c r="L152" s="246" t="s">
        <v>203</v>
      </c>
      <c r="M152" s="80">
        <v>194022.0</v>
      </c>
      <c r="N152" s="80">
        <v>32337.0</v>
      </c>
      <c r="O152" s="80">
        <v>9473.5</v>
      </c>
      <c r="P152" s="64" t="s">
        <v>811</v>
      </c>
      <c r="Q152" s="64" t="s">
        <v>112</v>
      </c>
      <c r="R152" s="68" t="s">
        <v>116</v>
      </c>
      <c r="S152" s="18" t="s">
        <v>1815</v>
      </c>
      <c r="T152" s="18" t="s">
        <v>1816</v>
      </c>
      <c r="U152" s="76" t="s">
        <v>1817</v>
      </c>
      <c r="V152" s="14"/>
      <c r="W152" s="14"/>
      <c r="X152" s="14"/>
      <c r="Y152" s="14"/>
      <c r="Z152" s="14"/>
      <c r="AA152" s="14"/>
      <c r="AB152" s="14"/>
      <c r="AC152" s="14"/>
      <c r="AD152" s="14"/>
      <c r="AE152" s="14"/>
      <c r="AF152" s="14"/>
      <c r="AG152" s="14"/>
      <c r="AH152" s="14"/>
      <c r="AI152" s="14"/>
      <c r="AJ152" s="14"/>
      <c r="AK152" s="14"/>
      <c r="AL152" s="14"/>
      <c r="AM152" s="14"/>
      <c r="AN152" s="14"/>
    </row>
    <row r="153" ht="16.5" customHeight="1">
      <c r="A153" s="70" t="s">
        <v>1818</v>
      </c>
      <c r="B153" s="40" t="s">
        <v>194</v>
      </c>
      <c r="C153" s="52" t="s">
        <v>1819</v>
      </c>
      <c r="D153" s="40" t="s">
        <v>153</v>
      </c>
      <c r="E153" s="86" t="s">
        <v>1820</v>
      </c>
      <c r="F153" s="59" t="s">
        <v>1821</v>
      </c>
      <c r="G153" s="55" t="s">
        <v>1822</v>
      </c>
      <c r="H153" s="61" t="s">
        <v>1823</v>
      </c>
      <c r="I153" s="62" t="s">
        <v>989</v>
      </c>
      <c r="J153" s="62">
        <v>17.0</v>
      </c>
      <c r="K153" s="64" t="s">
        <v>1591</v>
      </c>
      <c r="L153" s="64" t="s">
        <v>1824</v>
      </c>
      <c r="M153" s="65">
        <v>2557679.0</v>
      </c>
      <c r="N153" s="65">
        <v>150451.705882352</v>
      </c>
      <c r="O153" s="65">
        <v>8803.0</v>
      </c>
      <c r="P153" s="65" t="s">
        <v>811</v>
      </c>
      <c r="Q153" s="64" t="s">
        <v>112</v>
      </c>
      <c r="R153" s="68" t="s">
        <v>118</v>
      </c>
      <c r="S153" s="40" t="s">
        <v>1825</v>
      </c>
      <c r="T153" s="40" t="s">
        <v>1826</v>
      </c>
      <c r="U153" s="76" t="s">
        <v>1827</v>
      </c>
    </row>
    <row r="154">
      <c r="A154" s="70" t="s">
        <v>1828</v>
      </c>
      <c r="B154" s="40" t="s">
        <v>267</v>
      </c>
      <c r="C154" s="52" t="s">
        <v>1829</v>
      </c>
      <c r="D154" s="40" t="s">
        <v>153</v>
      </c>
      <c r="E154" s="52" t="s">
        <v>1830</v>
      </c>
      <c r="F154" s="247" t="s">
        <v>1831</v>
      </c>
      <c r="G154" s="52" t="s">
        <v>1832</v>
      </c>
      <c r="H154" s="61" t="s">
        <v>1833</v>
      </c>
      <c r="I154" s="62">
        <v>313.0</v>
      </c>
      <c r="J154" s="62">
        <v>12.0</v>
      </c>
      <c r="K154" s="64" t="s">
        <v>978</v>
      </c>
      <c r="L154" s="64" t="s">
        <v>139</v>
      </c>
      <c r="M154" s="65">
        <v>102363.0</v>
      </c>
      <c r="N154" s="65">
        <v>8530.25</v>
      </c>
      <c r="O154" s="65">
        <v>7523.5</v>
      </c>
      <c r="P154" s="65" t="s">
        <v>811</v>
      </c>
      <c r="Q154" s="64" t="s">
        <v>112</v>
      </c>
      <c r="R154" s="68" t="s">
        <v>197</v>
      </c>
      <c r="S154" s="40" t="s">
        <v>1834</v>
      </c>
      <c r="T154" s="40" t="s">
        <v>1835</v>
      </c>
      <c r="U154" s="76" t="s">
        <v>1836</v>
      </c>
    </row>
    <row r="155">
      <c r="A155" s="88" t="s">
        <v>1837</v>
      </c>
      <c r="B155" s="18" t="s">
        <v>1416</v>
      </c>
      <c r="C155" s="190" t="s">
        <v>1838</v>
      </c>
      <c r="D155" s="201" t="s">
        <v>153</v>
      </c>
      <c r="E155" s="64" t="s">
        <v>1839</v>
      </c>
      <c r="F155" s="64" t="s">
        <v>197</v>
      </c>
      <c r="G155" s="190" t="s">
        <v>1840</v>
      </c>
      <c r="H155" s="190" t="s">
        <v>1841</v>
      </c>
      <c r="I155" s="62">
        <v>24.0</v>
      </c>
      <c r="J155" s="62">
        <v>2.0</v>
      </c>
      <c r="K155" s="64" t="s">
        <v>1242</v>
      </c>
      <c r="L155" s="64" t="s">
        <v>1842</v>
      </c>
      <c r="M155" s="65">
        <v>12461.0</v>
      </c>
      <c r="N155" s="65">
        <v>6230.5</v>
      </c>
      <c r="O155" s="65">
        <v>6230.5</v>
      </c>
      <c r="P155" s="64" t="s">
        <v>811</v>
      </c>
      <c r="Q155" s="64" t="s">
        <v>112</v>
      </c>
      <c r="R155" s="68" t="s">
        <v>197</v>
      </c>
      <c r="S155" s="64" t="s">
        <v>1843</v>
      </c>
      <c r="T155" s="64" t="s">
        <v>1844</v>
      </c>
      <c r="U155" s="90" t="s">
        <v>1845</v>
      </c>
      <c r="V155" s="122"/>
      <c r="W155" s="122"/>
      <c r="X155" s="122"/>
      <c r="Y155" s="191"/>
      <c r="Z155" s="191"/>
      <c r="AA155" s="191"/>
      <c r="AB155" s="191"/>
      <c r="AC155" s="191"/>
      <c r="AD155" s="191"/>
      <c r="AE155" s="191"/>
      <c r="AF155" s="191"/>
      <c r="AG155" s="191"/>
      <c r="AH155" s="191"/>
      <c r="AI155" s="191"/>
      <c r="AJ155" s="191"/>
      <c r="AK155" s="191"/>
      <c r="AL155" s="191"/>
      <c r="AM155" s="191"/>
      <c r="AN155" s="191"/>
    </row>
    <row r="156">
      <c r="A156" s="105" t="s">
        <v>1846</v>
      </c>
      <c r="B156" s="18" t="s">
        <v>194</v>
      </c>
      <c r="C156" s="199" t="s">
        <v>1847</v>
      </c>
      <c r="D156" s="18" t="s">
        <v>153</v>
      </c>
      <c r="E156" s="55" t="s">
        <v>1848</v>
      </c>
      <c r="F156" s="162" t="s">
        <v>1849</v>
      </c>
      <c r="G156" s="162" t="s">
        <v>1850</v>
      </c>
      <c r="H156" s="199" t="s">
        <v>1851</v>
      </c>
      <c r="I156" s="62">
        <v>27.0</v>
      </c>
      <c r="J156" s="62">
        <v>4.0</v>
      </c>
      <c r="K156" s="62" t="s">
        <v>1852</v>
      </c>
      <c r="L156" s="62" t="s">
        <v>285</v>
      </c>
      <c r="M156" s="65">
        <v>27414.0</v>
      </c>
      <c r="N156" s="65">
        <v>6853.5</v>
      </c>
      <c r="O156" s="65">
        <v>4424.5</v>
      </c>
      <c r="P156" s="64" t="s">
        <v>811</v>
      </c>
      <c r="Q156" s="183" t="s">
        <v>112</v>
      </c>
      <c r="R156" s="122" t="s">
        <v>197</v>
      </c>
      <c r="S156" s="18" t="s">
        <v>1853</v>
      </c>
      <c r="T156" s="22"/>
      <c r="U156" s="76" t="s">
        <v>1854</v>
      </c>
    </row>
    <row r="157">
      <c r="A157" s="82" t="s">
        <v>1855</v>
      </c>
      <c r="B157" s="40" t="s">
        <v>1856</v>
      </c>
      <c r="C157" s="55" t="s">
        <v>1857</v>
      </c>
      <c r="D157" s="86" t="s">
        <v>153</v>
      </c>
      <c r="E157" s="55" t="s">
        <v>1858</v>
      </c>
      <c r="F157" s="40" t="s">
        <v>197</v>
      </c>
      <c r="G157" s="55" t="s">
        <v>1859</v>
      </c>
      <c r="H157" s="61" t="s">
        <v>1861</v>
      </c>
      <c r="I157" s="117">
        <v>775.0</v>
      </c>
      <c r="J157" s="117">
        <v>23.0</v>
      </c>
      <c r="K157" s="197" t="s">
        <v>1862</v>
      </c>
      <c r="L157" s="197" t="s">
        <v>139</v>
      </c>
      <c r="M157" s="65">
        <v>4763301.0</v>
      </c>
      <c r="N157" s="65">
        <v>207100.04347826</v>
      </c>
      <c r="O157" s="65">
        <v>4099.0</v>
      </c>
      <c r="P157" s="65" t="s">
        <v>811</v>
      </c>
      <c r="Q157" s="64" t="s">
        <v>112</v>
      </c>
      <c r="R157" s="68" t="s">
        <v>116</v>
      </c>
      <c r="S157" s="40" t="s">
        <v>1863</v>
      </c>
      <c r="T157" s="40" t="s">
        <v>1864</v>
      </c>
      <c r="U157" s="76" t="s">
        <v>1865</v>
      </c>
    </row>
    <row r="158" ht="16.5" customHeight="1">
      <c r="A158" s="100" t="s">
        <v>1866</v>
      </c>
      <c r="B158" s="18" t="s">
        <v>1764</v>
      </c>
      <c r="C158" s="162" t="s">
        <v>1867</v>
      </c>
      <c r="D158" s="22"/>
      <c r="E158" s="210"/>
      <c r="F158" s="181" t="s">
        <v>197</v>
      </c>
      <c r="G158" s="52" t="s">
        <v>1868</v>
      </c>
      <c r="H158" s="52" t="s">
        <v>1869</v>
      </c>
      <c r="I158" s="62" t="s">
        <v>989</v>
      </c>
      <c r="J158" s="62">
        <v>43.0</v>
      </c>
      <c r="K158" s="62" t="s">
        <v>562</v>
      </c>
      <c r="L158" s="62" t="s">
        <v>188</v>
      </c>
      <c r="M158" s="182">
        <v>751386.0</v>
      </c>
      <c r="N158" s="182">
        <v>17474.0930232558</v>
      </c>
      <c r="O158" s="182">
        <v>3111.0</v>
      </c>
      <c r="P158" s="65" t="s">
        <v>811</v>
      </c>
      <c r="Q158" s="183" t="s">
        <v>112</v>
      </c>
      <c r="R158" s="68" t="s">
        <v>197</v>
      </c>
      <c r="S158" s="18" t="s">
        <v>1870</v>
      </c>
      <c r="T158" s="18"/>
      <c r="U158" s="76" t="s">
        <v>1871</v>
      </c>
    </row>
    <row r="159">
      <c r="A159" s="188" t="s">
        <v>1872</v>
      </c>
      <c r="B159" s="18" t="s">
        <v>1416</v>
      </c>
      <c r="C159" s="52" t="s">
        <v>1873</v>
      </c>
      <c r="D159" s="18" t="s">
        <v>153</v>
      </c>
      <c r="E159" s="199" t="s">
        <v>1874</v>
      </c>
      <c r="F159" s="162" t="s">
        <v>1875</v>
      </c>
      <c r="G159" s="55" t="s">
        <v>1876</v>
      </c>
      <c r="H159" s="71" t="s">
        <v>1877</v>
      </c>
      <c r="I159" s="62" t="s">
        <v>989</v>
      </c>
      <c r="J159" s="62">
        <v>64.0</v>
      </c>
      <c r="K159" s="64" t="s">
        <v>935</v>
      </c>
      <c r="L159" s="64" t="s">
        <v>285</v>
      </c>
      <c r="M159" s="65">
        <v>1015290.0</v>
      </c>
      <c r="N159" s="65">
        <v>15863.90625</v>
      </c>
      <c r="O159" s="65">
        <v>1883.5</v>
      </c>
      <c r="P159" s="65" t="s">
        <v>811</v>
      </c>
      <c r="Q159" s="64" t="s">
        <v>112</v>
      </c>
      <c r="R159" s="68" t="s">
        <v>197</v>
      </c>
      <c r="S159" s="18" t="s">
        <v>1878</v>
      </c>
      <c r="T159" s="18" t="s">
        <v>1879</v>
      </c>
      <c r="U159" s="76" t="s">
        <v>1880</v>
      </c>
    </row>
    <row r="160">
      <c r="A160" s="88" t="s">
        <v>1881</v>
      </c>
      <c r="B160" s="18" t="s">
        <v>218</v>
      </c>
      <c r="C160" s="71" t="s">
        <v>1882</v>
      </c>
      <c r="D160" s="64" t="s">
        <v>153</v>
      </c>
      <c r="E160" s="64" t="s">
        <v>1883</v>
      </c>
      <c r="F160" s="190" t="s">
        <v>1884</v>
      </c>
      <c r="G160" s="192" t="s">
        <v>1885</v>
      </c>
      <c r="H160" s="190" t="s">
        <v>1886</v>
      </c>
      <c r="I160" s="62">
        <v>660.0</v>
      </c>
      <c r="J160" s="62">
        <v>16.0</v>
      </c>
      <c r="K160" s="64" t="s">
        <v>1147</v>
      </c>
      <c r="L160" s="64" t="s">
        <v>139</v>
      </c>
      <c r="M160" s="65">
        <v>217307.0</v>
      </c>
      <c r="N160" s="65">
        <v>13581.6875</v>
      </c>
      <c r="O160" s="65">
        <v>1431.5</v>
      </c>
      <c r="P160" s="64" t="s">
        <v>811</v>
      </c>
      <c r="Q160" s="64" t="s">
        <v>112</v>
      </c>
      <c r="R160" s="68" t="s">
        <v>197</v>
      </c>
      <c r="S160" s="64" t="s">
        <v>1887</v>
      </c>
      <c r="T160" s="64" t="s">
        <v>1888</v>
      </c>
      <c r="U160" s="90" t="s">
        <v>1889</v>
      </c>
      <c r="V160" s="191"/>
      <c r="W160" s="191"/>
      <c r="X160" s="191"/>
      <c r="Y160" s="191"/>
      <c r="Z160" s="191"/>
      <c r="AA160" s="191"/>
      <c r="AB160" s="191"/>
      <c r="AC160" s="191"/>
      <c r="AD160" s="191"/>
      <c r="AE160" s="191"/>
      <c r="AF160" s="191"/>
      <c r="AG160" s="191"/>
      <c r="AH160" s="191"/>
      <c r="AI160" s="191"/>
      <c r="AJ160" s="191"/>
      <c r="AK160" s="191"/>
      <c r="AL160" s="191"/>
      <c r="AM160" s="191"/>
      <c r="AN160" s="191"/>
    </row>
    <row r="161">
      <c r="A161" s="100" t="s">
        <v>1890</v>
      </c>
      <c r="B161" s="18" t="s">
        <v>179</v>
      </c>
      <c r="C161" s="52" t="s">
        <v>1891</v>
      </c>
      <c r="D161" s="40" t="s">
        <v>153</v>
      </c>
      <c r="E161" s="210" t="s">
        <v>1892</v>
      </c>
      <c r="F161" s="52" t="s">
        <v>1893</v>
      </c>
      <c r="G161" s="52" t="s">
        <v>1894</v>
      </c>
      <c r="H161" s="61" t="s">
        <v>1895</v>
      </c>
      <c r="I161" s="62">
        <v>46.0</v>
      </c>
      <c r="J161" s="62">
        <v>5.0</v>
      </c>
      <c r="K161" s="64" t="s">
        <v>935</v>
      </c>
      <c r="L161" s="64" t="s">
        <v>908</v>
      </c>
      <c r="M161" s="65">
        <v>19048.0</v>
      </c>
      <c r="N161" s="65">
        <v>3809.6</v>
      </c>
      <c r="O161" s="65">
        <v>188.0</v>
      </c>
      <c r="P161" s="65" t="s">
        <v>811</v>
      </c>
      <c r="Q161" s="64" t="s">
        <v>112</v>
      </c>
      <c r="R161" s="68" t="s">
        <v>197</v>
      </c>
      <c r="S161" s="40" t="s">
        <v>1896</v>
      </c>
      <c r="T161" s="40" t="s">
        <v>1897</v>
      </c>
      <c r="U161" s="76" t="s">
        <v>1898</v>
      </c>
    </row>
    <row r="162">
      <c r="A162" s="100" t="s">
        <v>1899</v>
      </c>
      <c r="B162" s="18" t="s">
        <v>179</v>
      </c>
      <c r="C162" s="52" t="s">
        <v>1900</v>
      </c>
      <c r="D162" s="52" t="s">
        <v>1901</v>
      </c>
      <c r="E162" s="210" t="s">
        <v>1902</v>
      </c>
      <c r="F162" s="52" t="s">
        <v>1903</v>
      </c>
      <c r="G162" s="52" t="s">
        <v>1904</v>
      </c>
      <c r="H162" s="61" t="s">
        <v>1905</v>
      </c>
      <c r="I162" s="62">
        <v>364.0</v>
      </c>
      <c r="J162" s="62">
        <v>14.0</v>
      </c>
      <c r="K162" s="64" t="s">
        <v>1814</v>
      </c>
      <c r="L162" s="64" t="s">
        <v>285</v>
      </c>
      <c r="M162" s="65">
        <v>1469586.0</v>
      </c>
      <c r="N162" s="65">
        <v>104970.428571428</v>
      </c>
      <c r="O162" s="65">
        <v>249.0</v>
      </c>
      <c r="P162" s="65" t="s">
        <v>811</v>
      </c>
      <c r="Q162" s="64" t="s">
        <v>112</v>
      </c>
      <c r="R162" s="68" t="s">
        <v>197</v>
      </c>
      <c r="S162" s="40" t="s">
        <v>1906</v>
      </c>
      <c r="T162" s="40" t="s">
        <v>1907</v>
      </c>
      <c r="U162" s="76" t="s">
        <v>1908</v>
      </c>
    </row>
    <row r="163">
      <c r="A163" s="105" t="s">
        <v>1909</v>
      </c>
      <c r="B163" s="18" t="s">
        <v>179</v>
      </c>
      <c r="C163" s="71" t="s">
        <v>1910</v>
      </c>
      <c r="D163" s="64" t="s">
        <v>153</v>
      </c>
      <c r="E163" s="120" t="s">
        <v>1911</v>
      </c>
      <c r="F163" s="71" t="s">
        <v>1912</v>
      </c>
      <c r="G163" s="120" t="s">
        <v>1913</v>
      </c>
      <c r="H163" s="192" t="s">
        <v>1914</v>
      </c>
      <c r="I163" s="62">
        <v>7.0</v>
      </c>
      <c r="J163" s="62">
        <v>1.0</v>
      </c>
      <c r="K163" s="62" t="s">
        <v>444</v>
      </c>
      <c r="L163" s="62" t="s">
        <v>444</v>
      </c>
      <c r="M163" s="65">
        <v>3704.0</v>
      </c>
      <c r="N163" s="65">
        <v>3704.0</v>
      </c>
      <c r="O163" s="65">
        <v>3704.0</v>
      </c>
      <c r="P163" s="64" t="s">
        <v>1915</v>
      </c>
      <c r="Q163" s="64" t="s">
        <v>112</v>
      </c>
      <c r="R163" s="68" t="s">
        <v>197</v>
      </c>
      <c r="S163" s="64" t="s">
        <v>1916</v>
      </c>
      <c r="T163" s="191" t="s">
        <v>153</v>
      </c>
      <c r="U163" s="90" t="s">
        <v>1917</v>
      </c>
      <c r="V163" s="191"/>
      <c r="W163" s="191"/>
    </row>
    <row r="164" ht="15.75" customHeight="1">
      <c r="A164" s="88" t="s">
        <v>1918</v>
      </c>
      <c r="B164" s="18" t="s">
        <v>1919</v>
      </c>
      <c r="C164" s="71" t="s">
        <v>1920</v>
      </c>
      <c r="D164" s="64" t="s">
        <v>153</v>
      </c>
      <c r="E164" s="190" t="s">
        <v>1921</v>
      </c>
      <c r="F164" s="83" t="s">
        <v>2025</v>
      </c>
      <c r="G164" s="71" t="s">
        <v>1923</v>
      </c>
      <c r="H164" s="190" t="s">
        <v>1924</v>
      </c>
      <c r="I164" s="62" t="s">
        <v>153</v>
      </c>
      <c r="J164" s="62">
        <v>1.0</v>
      </c>
      <c r="K164" s="62" t="s">
        <v>249</v>
      </c>
      <c r="L164" s="62" t="s">
        <v>249</v>
      </c>
      <c r="M164" s="65">
        <v>4768.0</v>
      </c>
      <c r="N164" s="65">
        <v>4768.0</v>
      </c>
      <c r="O164" s="65">
        <v>4768.0</v>
      </c>
      <c r="P164" s="64" t="s">
        <v>1915</v>
      </c>
      <c r="Q164" s="64" t="s">
        <v>112</v>
      </c>
      <c r="R164" s="68" t="s">
        <v>197</v>
      </c>
      <c r="S164" s="64" t="s">
        <v>1925</v>
      </c>
      <c r="T164" s="64" t="s">
        <v>1926</v>
      </c>
      <c r="U164" s="90" t="s">
        <v>1927</v>
      </c>
      <c r="V164" s="191"/>
      <c r="W164" s="191"/>
      <c r="X164" s="191"/>
      <c r="Y164" s="191"/>
      <c r="Z164" s="191"/>
      <c r="AA164" s="191"/>
      <c r="AB164" s="191"/>
      <c r="AC164" s="191"/>
      <c r="AD164" s="191"/>
      <c r="AE164" s="191"/>
      <c r="AF164" s="191"/>
      <c r="AG164" s="191"/>
      <c r="AH164" s="191"/>
      <c r="AI164" s="191"/>
      <c r="AJ164" s="191"/>
      <c r="AK164" s="191"/>
      <c r="AL164" s="191"/>
      <c r="AM164" s="191"/>
      <c r="AN164" s="191"/>
    </row>
    <row r="165">
      <c r="A165" s="100" t="s">
        <v>1928</v>
      </c>
      <c r="B165" s="18" t="s">
        <v>1416</v>
      </c>
      <c r="C165" s="52" t="s">
        <v>1929</v>
      </c>
      <c r="D165" s="18" t="s">
        <v>153</v>
      </c>
      <c r="E165" s="162" t="s">
        <v>1930</v>
      </c>
      <c r="F165" s="71" t="s">
        <v>1931</v>
      </c>
      <c r="G165" s="52" t="s">
        <v>1932</v>
      </c>
      <c r="H165" s="61" t="s">
        <v>1933</v>
      </c>
      <c r="I165" s="62">
        <v>518.0</v>
      </c>
      <c r="J165" s="62">
        <v>3.0</v>
      </c>
      <c r="K165" s="64" t="s">
        <v>1123</v>
      </c>
      <c r="L165" s="64" t="s">
        <v>1934</v>
      </c>
      <c r="M165" s="65">
        <v>248.0</v>
      </c>
      <c r="N165" s="65">
        <v>82.6666666666666</v>
      </c>
      <c r="O165" s="65">
        <v>4.0</v>
      </c>
      <c r="P165" s="65" t="s">
        <v>1915</v>
      </c>
      <c r="Q165" s="183" t="s">
        <v>112</v>
      </c>
      <c r="R165" s="68" t="s">
        <v>197</v>
      </c>
      <c r="S165" s="18" t="s">
        <v>1935</v>
      </c>
      <c r="T165" s="18" t="s">
        <v>1936</v>
      </c>
      <c r="U165" s="74" t="s">
        <v>1937</v>
      </c>
    </row>
    <row r="166" ht="18.75" customHeight="1">
      <c r="A166" s="248" t="s">
        <v>1938</v>
      </c>
      <c r="B166" s="73" t="s">
        <v>1939</v>
      </c>
      <c r="C166" s="249" t="s">
        <v>1940</v>
      </c>
      <c r="D166" s="250" t="s">
        <v>153</v>
      </c>
      <c r="E166" s="251"/>
      <c r="F166" s="229" t="s">
        <v>1941</v>
      </c>
      <c r="G166" s="229" t="s">
        <v>1942</v>
      </c>
      <c r="H166" s="229" t="s">
        <v>1943</v>
      </c>
      <c r="I166" s="252"/>
      <c r="J166" s="253"/>
      <c r="K166" s="254"/>
      <c r="L166" s="255"/>
      <c r="M166" s="255"/>
      <c r="N166" s="255"/>
      <c r="O166" s="256"/>
      <c r="P166" s="250" t="s">
        <v>1915</v>
      </c>
      <c r="Q166" s="74" t="s">
        <v>112</v>
      </c>
      <c r="R166" s="250"/>
      <c r="S166" s="22"/>
      <c r="T166" s="257"/>
      <c r="U166" s="74" t="s">
        <v>1944</v>
      </c>
      <c r="V166" s="258"/>
      <c r="W166" s="258"/>
      <c r="X166" s="258"/>
      <c r="Y166" s="258"/>
      <c r="Z166" s="258"/>
      <c r="AA166" s="258"/>
      <c r="AB166" s="258"/>
      <c r="AC166" s="258"/>
      <c r="AD166" s="258"/>
      <c r="AE166" s="258"/>
      <c r="AF166" s="258"/>
      <c r="AG166" s="258"/>
      <c r="AH166" s="258"/>
      <c r="AI166" s="258"/>
      <c r="AJ166" s="258"/>
      <c r="AK166" s="258"/>
      <c r="AL166" s="258"/>
      <c r="AM166" s="258"/>
      <c r="AN166" s="258"/>
    </row>
    <row r="167" ht="16.5" customHeight="1">
      <c r="A167" s="217" t="s">
        <v>1945</v>
      </c>
      <c r="B167" s="18" t="s">
        <v>357</v>
      </c>
      <c r="C167" s="199" t="s">
        <v>1946</v>
      </c>
      <c r="D167" s="22"/>
      <c r="E167" s="259" t="s">
        <v>1947</v>
      </c>
      <c r="F167" s="18" t="s">
        <v>1948</v>
      </c>
      <c r="G167" s="18" t="s">
        <v>1949</v>
      </c>
      <c r="H167" s="18" t="s">
        <v>1949</v>
      </c>
      <c r="I167" s="62"/>
      <c r="J167" s="62">
        <v>5.0</v>
      </c>
      <c r="K167" s="62" t="s">
        <v>1950</v>
      </c>
      <c r="L167" s="62" t="s">
        <v>285</v>
      </c>
      <c r="M167" s="65">
        <v>298440.0</v>
      </c>
      <c r="N167" s="65">
        <v>59688.0</v>
      </c>
      <c r="O167" s="65">
        <v>3117.0</v>
      </c>
      <c r="P167" s="64" t="s">
        <v>811</v>
      </c>
      <c r="Q167" s="64" t="s">
        <v>112</v>
      </c>
      <c r="R167" s="68" t="s">
        <v>197</v>
      </c>
      <c r="S167" s="22"/>
      <c r="T167" s="18" t="s">
        <v>1951</v>
      </c>
      <c r="U167" s="216" t="s">
        <v>1952</v>
      </c>
      <c r="V167" s="14"/>
      <c r="W167" s="14"/>
      <c r="X167" s="14"/>
      <c r="Y167" s="14"/>
      <c r="Z167" s="14"/>
      <c r="AA167" s="14"/>
      <c r="AB167" s="14"/>
      <c r="AC167" s="14"/>
      <c r="AD167" s="14"/>
      <c r="AE167" s="14"/>
      <c r="AF167" s="14"/>
      <c r="AG167" s="14"/>
      <c r="AH167" s="14"/>
      <c r="AI167" s="14"/>
      <c r="AJ167" s="14"/>
      <c r="AK167" s="14"/>
      <c r="AL167" s="14"/>
      <c r="AM167" s="14"/>
      <c r="AN167" s="14"/>
    </row>
    <row r="168" ht="16.5" customHeight="1">
      <c r="A168" s="88" t="s">
        <v>1953</v>
      </c>
      <c r="B168" s="18" t="s">
        <v>1764</v>
      </c>
      <c r="C168" s="162" t="s">
        <v>1954</v>
      </c>
      <c r="D168" s="71" t="s">
        <v>1955</v>
      </c>
      <c r="E168" s="210" t="s">
        <v>1956</v>
      </c>
      <c r="F168" s="199" t="s">
        <v>1957</v>
      </c>
      <c r="G168" s="86" t="s">
        <v>1949</v>
      </c>
      <c r="H168" s="86" t="s">
        <v>1949</v>
      </c>
      <c r="I168" s="62" t="s">
        <v>153</v>
      </c>
      <c r="J168" s="62">
        <v>1.0</v>
      </c>
      <c r="K168" s="62" t="s">
        <v>1296</v>
      </c>
      <c r="L168" s="62" t="s">
        <v>1296</v>
      </c>
      <c r="M168" s="65">
        <v>448.0</v>
      </c>
      <c r="N168" s="65">
        <v>448.0</v>
      </c>
      <c r="O168" s="65">
        <v>448.0</v>
      </c>
      <c r="P168" s="64" t="s">
        <v>1915</v>
      </c>
      <c r="Q168" s="183" t="s">
        <v>112</v>
      </c>
      <c r="R168" s="68" t="s">
        <v>197</v>
      </c>
      <c r="S168" s="22"/>
      <c r="T168" s="18" t="s">
        <v>1958</v>
      </c>
      <c r="U168" s="76" t="s">
        <v>1959</v>
      </c>
    </row>
    <row r="169">
      <c r="A169" s="260" t="s">
        <v>1043</v>
      </c>
      <c r="B169" s="74" t="s">
        <v>1960</v>
      </c>
      <c r="C169" s="212" t="s">
        <v>1045</v>
      </c>
      <c r="D169" s="213"/>
      <c r="E169" s="261"/>
      <c r="F169" s="84" t="s">
        <v>1053</v>
      </c>
      <c r="G169" s="74" t="s">
        <v>153</v>
      </c>
      <c r="H169" s="74" t="s">
        <v>153</v>
      </c>
      <c r="I169" s="262" t="s">
        <v>153</v>
      </c>
      <c r="J169" s="92" t="s">
        <v>153</v>
      </c>
      <c r="K169" s="92" t="s">
        <v>153</v>
      </c>
      <c r="L169" s="263" t="s">
        <v>153</v>
      </c>
      <c r="M169" s="79"/>
      <c r="N169" s="79"/>
      <c r="O169" s="79"/>
      <c r="P169" s="92" t="s">
        <v>1915</v>
      </c>
      <c r="Q169" s="74" t="s">
        <v>112</v>
      </c>
      <c r="R169" s="74" t="s">
        <v>116</v>
      </c>
      <c r="S169" s="22"/>
      <c r="T169" s="74" t="s">
        <v>153</v>
      </c>
      <c r="U169" s="264" t="s">
        <v>1055</v>
      </c>
      <c r="V169" s="265"/>
      <c r="W169" s="265"/>
      <c r="X169" s="265"/>
      <c r="Y169" s="265"/>
      <c r="Z169" s="265"/>
      <c r="AA169" s="265"/>
      <c r="AB169" s="265"/>
      <c r="AC169" s="265"/>
      <c r="AD169" s="265"/>
      <c r="AE169" s="265"/>
      <c r="AF169" s="265"/>
      <c r="AG169" s="265"/>
      <c r="AH169" s="265"/>
      <c r="AI169" s="265"/>
      <c r="AJ169" s="265"/>
      <c r="AK169" s="265"/>
      <c r="AL169" s="265"/>
      <c r="AM169" s="265"/>
      <c r="AN169" s="265"/>
    </row>
    <row r="170" ht="15.75" customHeight="1">
      <c r="A170" s="88" t="s">
        <v>1961</v>
      </c>
      <c r="B170" s="64" t="s">
        <v>1962</v>
      </c>
      <c r="C170" s="71" t="s">
        <v>1963</v>
      </c>
      <c r="D170" s="83" t="s">
        <v>153</v>
      </c>
      <c r="E170" s="61" t="s">
        <v>1964</v>
      </c>
      <c r="F170" s="71" t="s">
        <v>1965</v>
      </c>
      <c r="G170" s="147"/>
      <c r="H170" s="220"/>
      <c r="I170" s="266"/>
      <c r="J170" s="122"/>
      <c r="K170" s="64" t="s">
        <v>789</v>
      </c>
      <c r="L170" s="64" t="s">
        <v>1285</v>
      </c>
      <c r="M170" s="182"/>
      <c r="N170" s="182"/>
      <c r="O170" s="182"/>
      <c r="P170" s="64" t="s">
        <v>1915</v>
      </c>
      <c r="Q170" s="183" t="s">
        <v>112</v>
      </c>
      <c r="R170" s="27"/>
      <c r="S170" s="22"/>
      <c r="T170" s="27"/>
      <c r="U170" s="90" t="s">
        <v>1966</v>
      </c>
      <c r="V170" s="27"/>
      <c r="W170" s="27"/>
      <c r="X170" s="27"/>
      <c r="Y170" s="27"/>
      <c r="Z170" s="27"/>
      <c r="AA170" s="27"/>
      <c r="AB170" s="27"/>
      <c r="AC170" s="27"/>
      <c r="AD170" s="27"/>
      <c r="AE170" s="27"/>
      <c r="AF170" s="27"/>
      <c r="AG170" s="27"/>
      <c r="AH170" s="27"/>
      <c r="AI170" s="27"/>
      <c r="AJ170" s="27"/>
      <c r="AK170" s="27"/>
      <c r="AL170" s="27"/>
      <c r="AM170" s="27"/>
      <c r="AN170" s="27"/>
    </row>
    <row r="171" ht="18.0" customHeight="1">
      <c r="A171" s="100" t="s">
        <v>1967</v>
      </c>
      <c r="B171" s="18" t="s">
        <v>60</v>
      </c>
      <c r="C171" s="162" t="s">
        <v>1968</v>
      </c>
      <c r="D171" s="22"/>
      <c r="E171" s="40" t="s">
        <v>1969</v>
      </c>
      <c r="F171" s="18" t="s">
        <v>1970</v>
      </c>
      <c r="G171" s="22"/>
      <c r="H171" s="22"/>
      <c r="I171" s="266"/>
      <c r="J171" s="62">
        <v>4.0</v>
      </c>
      <c r="K171" s="267">
        <v>46143.0</v>
      </c>
      <c r="L171" s="226">
        <v>46357.0</v>
      </c>
      <c r="M171" s="44"/>
      <c r="N171" s="44"/>
      <c r="O171" s="44"/>
      <c r="P171" s="64" t="s">
        <v>1915</v>
      </c>
      <c r="Q171" s="64" t="s">
        <v>112</v>
      </c>
      <c r="R171" s="122" t="s">
        <v>197</v>
      </c>
      <c r="S171" s="22"/>
      <c r="T171" s="18" t="s">
        <v>1971</v>
      </c>
      <c r="U171" s="76" t="s">
        <v>1972</v>
      </c>
    </row>
    <row r="172" ht="16.5" customHeight="1">
      <c r="A172" s="217" t="s">
        <v>1973</v>
      </c>
      <c r="B172" s="40" t="s">
        <v>254</v>
      </c>
      <c r="C172" s="162" t="s">
        <v>1974</v>
      </c>
      <c r="D172" s="162" t="s">
        <v>1975</v>
      </c>
      <c r="E172" s="40"/>
      <c r="F172" s="40"/>
      <c r="G172" s="86"/>
      <c r="H172" s="40"/>
      <c r="I172" s="268"/>
      <c r="J172" s="269"/>
      <c r="K172" s="270"/>
      <c r="L172" s="271"/>
      <c r="M172" s="65"/>
      <c r="N172" s="65"/>
      <c r="O172" s="65"/>
      <c r="P172" s="62" t="s">
        <v>1915</v>
      </c>
      <c r="Q172" s="183" t="s">
        <v>112</v>
      </c>
      <c r="R172" s="18" t="s">
        <v>197</v>
      </c>
      <c r="S172" s="22"/>
      <c r="T172" s="18"/>
      <c r="U172" s="118" t="s">
        <v>1976</v>
      </c>
    </row>
    <row r="173">
      <c r="A173" s="189"/>
      <c r="B173" s="22"/>
      <c r="C173" s="22"/>
      <c r="D173" s="22"/>
      <c r="E173" s="22"/>
      <c r="F173" s="22"/>
      <c r="G173" s="22"/>
      <c r="H173" s="22"/>
      <c r="I173" s="266"/>
      <c r="J173" s="272"/>
      <c r="K173" s="272"/>
      <c r="L173" s="272"/>
      <c r="M173" s="273"/>
      <c r="N173" s="273"/>
      <c r="O173" s="273"/>
      <c r="P173" s="27"/>
      <c r="Q173" s="27"/>
      <c r="R173" s="27"/>
      <c r="S173" s="22"/>
      <c r="T173" s="22"/>
      <c r="U173" s="28"/>
    </row>
    <row r="174">
      <c r="A174" s="283" t="s">
        <v>1979</v>
      </c>
      <c r="B174" s="284"/>
      <c r="C174" s="285"/>
      <c r="D174" s="284"/>
      <c r="E174" s="284"/>
      <c r="F174" s="284"/>
      <c r="G174" s="284"/>
      <c r="H174" s="284"/>
      <c r="I174" s="286"/>
      <c r="J174" s="286"/>
      <c r="K174" s="286"/>
      <c r="L174" s="286"/>
      <c r="M174" s="287"/>
      <c r="N174" s="287"/>
      <c r="O174" s="287"/>
      <c r="P174" s="288"/>
      <c r="Q174" s="289"/>
      <c r="R174" s="289"/>
      <c r="S174" s="284"/>
      <c r="T174" s="284"/>
      <c r="U174" s="290"/>
    </row>
    <row r="175">
      <c r="A175" s="189"/>
      <c r="B175" s="22"/>
      <c r="C175" s="22"/>
      <c r="D175" s="22"/>
      <c r="E175" s="22"/>
      <c r="F175" s="22"/>
      <c r="G175" s="22"/>
      <c r="H175" s="22"/>
      <c r="I175" s="266"/>
      <c r="J175" s="272"/>
      <c r="K175" s="272"/>
      <c r="L175" s="272"/>
      <c r="M175" s="273"/>
      <c r="N175" s="273"/>
      <c r="O175" s="273"/>
      <c r="P175" s="27"/>
      <c r="Q175" s="27"/>
      <c r="R175" s="27"/>
      <c r="S175" s="22"/>
      <c r="T175" s="22"/>
      <c r="U175" s="28"/>
    </row>
    <row r="176">
      <c r="A176" s="88" t="s">
        <v>1980</v>
      </c>
      <c r="B176" s="83" t="s">
        <v>1981</v>
      </c>
      <c r="C176" s="84" t="s">
        <v>1982</v>
      </c>
      <c r="D176" s="14"/>
      <c r="E176" s="83" t="s">
        <v>1983</v>
      </c>
      <c r="F176" s="84" t="s">
        <v>1984</v>
      </c>
      <c r="G176" s="142" t="s">
        <v>1985</v>
      </c>
      <c r="H176" s="142" t="s">
        <v>1986</v>
      </c>
      <c r="I176" s="106">
        <v>766.0</v>
      </c>
      <c r="J176" s="106">
        <v>17.0</v>
      </c>
      <c r="K176" s="291">
        <v>43709.0</v>
      </c>
      <c r="L176" s="64" t="s">
        <v>1285</v>
      </c>
      <c r="M176" s="292" t="s">
        <v>153</v>
      </c>
      <c r="N176" s="292" t="s">
        <v>153</v>
      </c>
      <c r="O176" s="292" t="s">
        <v>153</v>
      </c>
      <c r="P176" s="68" t="s">
        <v>811</v>
      </c>
      <c r="Q176" s="68" t="s">
        <v>1987</v>
      </c>
      <c r="R176" s="68" t="s">
        <v>197</v>
      </c>
      <c r="S176" s="83" t="s">
        <v>1988</v>
      </c>
      <c r="T176" s="83" t="s">
        <v>1989</v>
      </c>
      <c r="U176" s="146" t="s">
        <v>153</v>
      </c>
    </row>
    <row r="177">
      <c r="A177" s="105" t="s">
        <v>1990</v>
      </c>
      <c r="B177" s="14"/>
      <c r="C177" s="84" t="s">
        <v>1991</v>
      </c>
      <c r="D177" s="14"/>
      <c r="E177" s="141" t="s">
        <v>1992</v>
      </c>
      <c r="F177" s="261" t="s">
        <v>1993</v>
      </c>
      <c r="G177" s="142" t="s">
        <v>1994</v>
      </c>
      <c r="H177" s="142" t="s">
        <v>1995</v>
      </c>
      <c r="I177" s="106">
        <v>334.0</v>
      </c>
      <c r="J177" s="106"/>
      <c r="K177" s="291"/>
      <c r="L177" s="293"/>
      <c r="M177" s="292"/>
      <c r="N177" s="292"/>
      <c r="O177" s="292"/>
      <c r="P177" s="68" t="s">
        <v>811</v>
      </c>
      <c r="Q177" s="68" t="s">
        <v>1996</v>
      </c>
      <c r="R177" s="42"/>
      <c r="S177" s="83" t="s">
        <v>1997</v>
      </c>
      <c r="T177" s="83" t="s">
        <v>1998</v>
      </c>
      <c r="U177" s="146" t="s">
        <v>1999</v>
      </c>
    </row>
    <row r="178">
      <c r="A178" s="82" t="s">
        <v>2000</v>
      </c>
      <c r="B178" s="40" t="s">
        <v>760</v>
      </c>
      <c r="C178" s="52" t="s">
        <v>2001</v>
      </c>
      <c r="D178" s="52" t="s">
        <v>2002</v>
      </c>
      <c r="E178" s="40" t="s">
        <v>2003</v>
      </c>
      <c r="F178" s="52" t="s">
        <v>2004</v>
      </c>
      <c r="G178" s="59" t="s">
        <v>2005</v>
      </c>
      <c r="H178" s="61" t="s">
        <v>2006</v>
      </c>
      <c r="I178" s="72">
        <v>17.0</v>
      </c>
      <c r="J178" s="72">
        <v>11.0</v>
      </c>
      <c r="K178" s="294" t="s">
        <v>2007</v>
      </c>
      <c r="L178" s="294" t="s">
        <v>1467</v>
      </c>
      <c r="M178" s="228">
        <v>249562.0</v>
      </c>
      <c r="N178" s="228">
        <v>15172.0</v>
      </c>
      <c r="O178" s="228">
        <v>3721.0</v>
      </c>
      <c r="P178" s="295" t="s">
        <v>811</v>
      </c>
      <c r="Q178" s="68" t="s">
        <v>112</v>
      </c>
      <c r="R178" s="68" t="s">
        <v>116</v>
      </c>
      <c r="S178" s="25" t="s">
        <v>2008</v>
      </c>
      <c r="T178" s="40" t="s">
        <v>2009</v>
      </c>
      <c r="U178" s="69" t="s">
        <v>2010</v>
      </c>
    </row>
    <row r="179">
      <c r="A179" s="100" t="s">
        <v>2011</v>
      </c>
      <c r="B179" s="18" t="s">
        <v>302</v>
      </c>
      <c r="C179" s="199" t="s">
        <v>2012</v>
      </c>
      <c r="D179" s="22"/>
      <c r="E179" s="149" t="s">
        <v>2181</v>
      </c>
      <c r="F179" s="162" t="s">
        <v>2014</v>
      </c>
      <c r="G179" s="22"/>
      <c r="H179" s="22"/>
      <c r="I179" s="266"/>
      <c r="J179" s="266"/>
      <c r="K179" s="266"/>
      <c r="L179" s="266"/>
      <c r="M179" s="44"/>
      <c r="N179" s="44"/>
      <c r="O179" s="44"/>
      <c r="P179" s="68" t="s">
        <v>2015</v>
      </c>
      <c r="Q179" s="122"/>
      <c r="R179" s="122"/>
      <c r="S179" s="22"/>
      <c r="T179" s="18" t="s">
        <v>2016</v>
      </c>
      <c r="U179" s="76" t="s">
        <v>2017</v>
      </c>
    </row>
    <row r="180">
      <c r="A180" s="100" t="s">
        <v>2018</v>
      </c>
      <c r="B180" s="18" t="s">
        <v>194</v>
      </c>
      <c r="C180" s="162" t="s">
        <v>2019</v>
      </c>
      <c r="D180" s="22"/>
      <c r="E180" s="22"/>
      <c r="F180" s="162" t="s">
        <v>2196</v>
      </c>
      <c r="G180" s="22"/>
      <c r="H180" s="22"/>
      <c r="I180" s="266"/>
      <c r="J180" s="266"/>
      <c r="K180" s="272"/>
      <c r="L180" s="272"/>
      <c r="M180" s="273"/>
      <c r="N180" s="273"/>
      <c r="O180" s="273"/>
      <c r="P180" s="68" t="s">
        <v>2015</v>
      </c>
      <c r="Q180" s="27"/>
      <c r="R180" s="27"/>
      <c r="S180" s="22"/>
      <c r="T180" s="22"/>
      <c r="U180" s="28"/>
    </row>
    <row r="181">
      <c r="A181" s="100" t="s">
        <v>2021</v>
      </c>
      <c r="B181" s="18" t="s">
        <v>194</v>
      </c>
      <c r="C181" s="199" t="s">
        <v>2022</v>
      </c>
      <c r="D181" s="22"/>
      <c r="E181" s="52" t="s">
        <v>2023</v>
      </c>
      <c r="F181" s="162" t="s">
        <v>2024</v>
      </c>
      <c r="G181" s="22"/>
      <c r="H181" s="22"/>
      <c r="I181" s="43"/>
      <c r="J181" s="266"/>
      <c r="K181" s="272"/>
      <c r="L181" s="272"/>
      <c r="M181" s="273"/>
      <c r="N181" s="273"/>
      <c r="O181" s="273"/>
      <c r="P181" s="68" t="s">
        <v>2015</v>
      </c>
      <c r="Q181" s="27"/>
      <c r="R181" s="27"/>
      <c r="S181" s="22"/>
      <c r="T181" s="22"/>
      <c r="U181" s="28"/>
    </row>
    <row r="182">
      <c r="A182" s="100" t="s">
        <v>2026</v>
      </c>
      <c r="B182" s="18" t="s">
        <v>194</v>
      </c>
      <c r="C182" s="162" t="s">
        <v>2027</v>
      </c>
      <c r="D182" s="22"/>
      <c r="E182" s="18" t="s">
        <v>2028</v>
      </c>
      <c r="F182" s="162" t="s">
        <v>2211</v>
      </c>
      <c r="G182" s="22"/>
      <c r="H182" s="22"/>
      <c r="I182" s="266"/>
      <c r="J182" s="43"/>
      <c r="K182" s="296"/>
      <c r="L182" s="296"/>
      <c r="M182" s="273"/>
      <c r="N182" s="273"/>
      <c r="O182" s="273"/>
      <c r="P182" s="68" t="s">
        <v>2030</v>
      </c>
      <c r="Q182" s="68" t="s">
        <v>2031</v>
      </c>
      <c r="R182" s="27"/>
      <c r="S182" s="22"/>
      <c r="T182" s="22"/>
      <c r="U182" s="28"/>
    </row>
    <row r="183">
      <c r="A183" s="91" t="s">
        <v>2032</v>
      </c>
      <c r="B183" s="73" t="s">
        <v>2033</v>
      </c>
      <c r="C183" s="94" t="s">
        <v>2034</v>
      </c>
      <c r="E183" s="94" t="s">
        <v>2035</v>
      </c>
      <c r="F183" s="94" t="s">
        <v>2036</v>
      </c>
      <c r="G183" s="94" t="s">
        <v>2037</v>
      </c>
      <c r="H183" s="93" t="s">
        <v>2038</v>
      </c>
      <c r="I183" s="78" t="s">
        <v>863</v>
      </c>
      <c r="J183" s="92">
        <v>85.0</v>
      </c>
      <c r="K183" s="297">
        <v>41122.0</v>
      </c>
      <c r="L183" s="297">
        <v>45992.0</v>
      </c>
      <c r="M183" s="79" t="s">
        <v>2039</v>
      </c>
      <c r="N183" s="79" t="s">
        <v>2040</v>
      </c>
      <c r="O183" s="79" t="s">
        <v>2041</v>
      </c>
      <c r="P183" s="298" t="s">
        <v>811</v>
      </c>
      <c r="Q183" s="74" t="s">
        <v>812</v>
      </c>
      <c r="R183" s="74" t="s">
        <v>197</v>
      </c>
      <c r="S183" s="73" t="s">
        <v>2042</v>
      </c>
      <c r="T183" s="73" t="s">
        <v>2043</v>
      </c>
      <c r="U183" s="92" t="s">
        <v>2044</v>
      </c>
      <c r="V183" s="265"/>
      <c r="W183" s="265"/>
      <c r="X183" s="265"/>
      <c r="Y183" s="265"/>
      <c r="Z183" s="265"/>
      <c r="AA183" s="265"/>
      <c r="AB183" s="265"/>
      <c r="AC183" s="265"/>
      <c r="AD183" s="265"/>
      <c r="AE183" s="265"/>
      <c r="AF183" s="265"/>
      <c r="AG183" s="265"/>
      <c r="AH183" s="265"/>
      <c r="AI183" s="265"/>
      <c r="AJ183" s="265"/>
      <c r="AK183" s="265"/>
      <c r="AL183" s="265"/>
      <c r="AM183" s="265"/>
      <c r="AN183" s="265"/>
    </row>
    <row r="184">
      <c r="A184" s="100" t="s">
        <v>2045</v>
      </c>
      <c r="B184" s="22"/>
      <c r="C184" s="162" t="s">
        <v>2046</v>
      </c>
      <c r="D184" s="22"/>
      <c r="E184" s="22"/>
      <c r="F184" s="18" t="s">
        <v>2047</v>
      </c>
      <c r="G184" s="22"/>
      <c r="H184" s="22"/>
      <c r="I184" s="266"/>
      <c r="J184" s="266"/>
      <c r="K184" s="272"/>
      <c r="L184" s="272"/>
      <c r="M184" s="273"/>
      <c r="N184" s="273"/>
      <c r="O184" s="273"/>
      <c r="P184" s="68" t="s">
        <v>2015</v>
      </c>
      <c r="Q184" s="68" t="s">
        <v>2048</v>
      </c>
      <c r="R184" s="68" t="s">
        <v>118</v>
      </c>
      <c r="S184" s="22"/>
      <c r="T184" s="18" t="s">
        <v>2049</v>
      </c>
      <c r="U184" s="28"/>
    </row>
    <row r="185">
      <c r="A185" s="100" t="s">
        <v>2050</v>
      </c>
      <c r="B185" s="18" t="s">
        <v>194</v>
      </c>
      <c r="C185" s="199" t="s">
        <v>2051</v>
      </c>
      <c r="D185" s="22"/>
      <c r="E185" s="22"/>
      <c r="F185" s="22"/>
      <c r="G185" s="22"/>
      <c r="H185" s="22"/>
      <c r="I185" s="266"/>
      <c r="J185" s="266"/>
      <c r="K185" s="272"/>
      <c r="L185" s="272"/>
      <c r="M185" s="273"/>
      <c r="N185" s="273"/>
      <c r="O185" s="273"/>
      <c r="P185" s="27"/>
      <c r="Q185" s="27"/>
      <c r="R185" s="27"/>
      <c r="S185" s="22"/>
      <c r="T185" s="18" t="s">
        <v>2052</v>
      </c>
      <c r="U185" s="74" t="s">
        <v>2053</v>
      </c>
    </row>
    <row r="186">
      <c r="A186" s="100" t="s">
        <v>2054</v>
      </c>
      <c r="B186" s="18" t="s">
        <v>194</v>
      </c>
      <c r="C186" s="18" t="s">
        <v>2055</v>
      </c>
      <c r="D186" s="22"/>
      <c r="E186" s="18" t="s">
        <v>2056</v>
      </c>
      <c r="F186" s="18" t="s">
        <v>2056</v>
      </c>
      <c r="G186" s="18" t="s">
        <v>2057</v>
      </c>
      <c r="H186" s="18" t="s">
        <v>2058</v>
      </c>
      <c r="I186" s="266"/>
      <c r="J186" s="266"/>
      <c r="K186" s="62" t="s">
        <v>2059</v>
      </c>
      <c r="L186" s="272"/>
      <c r="M186" s="273"/>
      <c r="N186" s="273"/>
      <c r="O186" s="273"/>
      <c r="P186" s="68" t="s">
        <v>811</v>
      </c>
      <c r="Q186" s="68" t="s">
        <v>2060</v>
      </c>
      <c r="R186" s="27"/>
      <c r="S186" s="22"/>
      <c r="T186" s="18" t="s">
        <v>2059</v>
      </c>
      <c r="U186" s="76" t="s">
        <v>2061</v>
      </c>
    </row>
    <row r="187">
      <c r="A187" s="100" t="s">
        <v>2062</v>
      </c>
      <c r="B187" s="18" t="s">
        <v>1764</v>
      </c>
      <c r="C187" s="199" t="s">
        <v>2063</v>
      </c>
      <c r="D187" s="22"/>
      <c r="E187" s="18" t="s">
        <v>2064</v>
      </c>
      <c r="F187" s="162" t="s">
        <v>2065</v>
      </c>
      <c r="G187" s="55" t="s">
        <v>2240</v>
      </c>
      <c r="H187" s="55" t="s">
        <v>2067</v>
      </c>
      <c r="I187" s="266"/>
      <c r="J187" s="62">
        <v>11.0</v>
      </c>
      <c r="K187" s="272"/>
      <c r="L187" s="272"/>
      <c r="M187" s="273"/>
      <c r="N187" s="273"/>
      <c r="O187" s="273"/>
      <c r="P187" s="68" t="s">
        <v>811</v>
      </c>
      <c r="Q187" s="68" t="s">
        <v>2060</v>
      </c>
      <c r="R187" s="27"/>
      <c r="S187" s="18" t="s">
        <v>2068</v>
      </c>
      <c r="T187" s="18" t="s">
        <v>2069</v>
      </c>
      <c r="U187" s="76" t="s">
        <v>2243</v>
      </c>
    </row>
    <row r="188">
      <c r="A188" s="170" t="s">
        <v>2071</v>
      </c>
      <c r="B188" s="141" t="s">
        <v>179</v>
      </c>
      <c r="C188" s="173" t="s">
        <v>2072</v>
      </c>
      <c r="D188" s="42"/>
      <c r="E188" s="173" t="s">
        <v>2073</v>
      </c>
      <c r="F188" s="27"/>
      <c r="G188" s="299" t="s">
        <v>2074</v>
      </c>
      <c r="H188" s="27"/>
      <c r="I188" s="121">
        <v>315.0</v>
      </c>
      <c r="J188" s="62">
        <v>10.0</v>
      </c>
      <c r="K188" s="27"/>
      <c r="L188" s="27"/>
      <c r="M188" s="300"/>
      <c r="N188" s="300"/>
      <c r="O188" s="300"/>
      <c r="P188" s="83" t="s">
        <v>2075</v>
      </c>
      <c r="Q188" s="83" t="s">
        <v>2076</v>
      </c>
      <c r="R188" s="27"/>
      <c r="S188" s="22"/>
      <c r="T188" s="27"/>
      <c r="U188" s="179" t="s">
        <v>2077</v>
      </c>
      <c r="V188" s="27"/>
      <c r="W188" s="27"/>
      <c r="X188" s="27"/>
      <c r="Y188" s="27"/>
      <c r="Z188" s="27"/>
      <c r="AA188" s="27"/>
      <c r="AB188" s="27"/>
      <c r="AC188" s="27"/>
      <c r="AD188" s="27"/>
      <c r="AE188" s="27"/>
      <c r="AF188" s="27"/>
      <c r="AG188" s="27"/>
      <c r="AH188" s="27"/>
      <c r="AI188" s="27"/>
      <c r="AJ188" s="27"/>
      <c r="AK188" s="27"/>
      <c r="AL188" s="27"/>
      <c r="AM188" s="27"/>
      <c r="AN188" s="27"/>
    </row>
    <row r="189">
      <c r="A189" s="170" t="s">
        <v>2078</v>
      </c>
      <c r="B189" s="141" t="s">
        <v>179</v>
      </c>
      <c r="C189" s="173" t="s">
        <v>2079</v>
      </c>
      <c r="D189" s="42"/>
      <c r="E189" s="173" t="s">
        <v>2080</v>
      </c>
      <c r="F189" s="122" t="s">
        <v>2081</v>
      </c>
      <c r="G189" s="27"/>
      <c r="H189" s="27"/>
      <c r="I189" s="27"/>
      <c r="J189" s="27"/>
      <c r="K189" s="27"/>
      <c r="L189" s="27"/>
      <c r="M189" s="300"/>
      <c r="N189" s="300"/>
      <c r="O189" s="300"/>
      <c r="P189" s="27" t="s">
        <v>811</v>
      </c>
      <c r="Q189" s="27"/>
      <c r="R189" s="27"/>
      <c r="S189" s="22"/>
      <c r="T189" s="27"/>
      <c r="U189" s="179" t="s">
        <v>2082</v>
      </c>
      <c r="V189" s="27"/>
      <c r="W189" s="27"/>
      <c r="X189" s="27"/>
      <c r="Y189" s="27"/>
      <c r="Z189" s="27"/>
      <c r="AA189" s="27"/>
      <c r="AB189" s="27"/>
      <c r="AC189" s="27"/>
      <c r="AD189" s="27"/>
      <c r="AE189" s="27"/>
      <c r="AF189" s="27"/>
      <c r="AG189" s="27"/>
      <c r="AH189" s="27"/>
      <c r="AI189" s="27"/>
      <c r="AJ189" s="27"/>
      <c r="AK189" s="27"/>
      <c r="AL189" s="27"/>
      <c r="AM189" s="27"/>
      <c r="AN189" s="27"/>
    </row>
    <row r="190">
      <c r="A190" s="70" t="s">
        <v>2083</v>
      </c>
      <c r="B190" s="141" t="s">
        <v>194</v>
      </c>
      <c r="C190" s="163" t="s">
        <v>2084</v>
      </c>
      <c r="D190" s="301"/>
      <c r="E190" s="156" t="s">
        <v>2085</v>
      </c>
      <c r="F190" s="302" t="s">
        <v>2086</v>
      </c>
      <c r="G190" s="303"/>
      <c r="H190" s="153"/>
      <c r="J190" s="85"/>
      <c r="M190" s="304"/>
      <c r="N190" s="304"/>
      <c r="O190" s="304"/>
      <c r="P190" s="42" t="s">
        <v>811</v>
      </c>
      <c r="Q190" s="27"/>
      <c r="R190" s="27"/>
      <c r="S190" s="22"/>
      <c r="U190" s="146" t="s">
        <v>2087</v>
      </c>
    </row>
    <row r="191">
      <c r="A191" s="189"/>
      <c r="B191" s="22"/>
      <c r="C191" s="22"/>
      <c r="D191" s="22"/>
      <c r="E191" s="22"/>
      <c r="F191" s="22"/>
      <c r="G191" s="22"/>
      <c r="H191" s="22"/>
      <c r="I191" s="266"/>
      <c r="J191" s="272"/>
      <c r="K191" s="272"/>
      <c r="L191" s="272"/>
      <c r="M191" s="273"/>
      <c r="N191" s="273"/>
      <c r="O191" s="273"/>
      <c r="P191" s="27"/>
      <c r="Q191" s="27"/>
      <c r="R191" s="27"/>
      <c r="S191" s="22"/>
      <c r="T191" s="22"/>
      <c r="U191" s="28"/>
    </row>
    <row r="192">
      <c r="A192" s="168" t="s">
        <v>697</v>
      </c>
      <c r="B192" s="169"/>
      <c r="C192" s="171"/>
      <c r="D192" s="169"/>
      <c r="E192" s="169"/>
      <c r="F192" s="169"/>
      <c r="G192" s="169"/>
      <c r="H192" s="169"/>
      <c r="I192" s="172"/>
      <c r="J192" s="172"/>
      <c r="K192" s="172"/>
      <c r="L192" s="172"/>
      <c r="M192" s="305"/>
      <c r="N192" s="305"/>
      <c r="O192" s="305"/>
      <c r="P192" s="306"/>
      <c r="Q192" s="307"/>
      <c r="R192" s="307"/>
      <c r="S192" s="169"/>
      <c r="T192" s="169"/>
      <c r="U192" s="308"/>
    </row>
    <row r="193">
      <c r="A193" s="189"/>
      <c r="B193" s="22"/>
      <c r="C193" s="22"/>
      <c r="D193" s="22"/>
      <c r="E193" s="22"/>
      <c r="F193" s="22"/>
      <c r="G193" s="22"/>
      <c r="H193" s="22"/>
      <c r="I193" s="266"/>
      <c r="J193" s="272"/>
      <c r="K193" s="272"/>
      <c r="L193" s="272"/>
      <c r="M193" s="273"/>
      <c r="N193" s="273"/>
      <c r="O193" s="273"/>
      <c r="P193" s="27"/>
      <c r="Q193" s="27"/>
      <c r="R193" s="27"/>
      <c r="S193" s="22"/>
      <c r="T193" s="22"/>
      <c r="U193" s="28"/>
    </row>
    <row r="194">
      <c r="A194" s="100" t="s">
        <v>2088</v>
      </c>
      <c r="B194" s="18" t="s">
        <v>179</v>
      </c>
      <c r="C194" s="55" t="s">
        <v>2089</v>
      </c>
      <c r="D194" s="40" t="s">
        <v>153</v>
      </c>
      <c r="E194" s="55" t="s">
        <v>2090</v>
      </c>
      <c r="F194" s="309" t="s">
        <v>197</v>
      </c>
      <c r="G194" s="193" t="s">
        <v>2091</v>
      </c>
      <c r="H194" s="61" t="s">
        <v>2092</v>
      </c>
      <c r="I194" s="43" t="s">
        <v>1111</v>
      </c>
      <c r="J194" s="68" t="s">
        <v>201</v>
      </c>
      <c r="K194" s="64" t="s">
        <v>2093</v>
      </c>
      <c r="L194" s="64" t="s">
        <v>2094</v>
      </c>
      <c r="M194" s="44">
        <v>1.6710859E8</v>
      </c>
      <c r="N194" s="44">
        <v>1.19363278571428E7</v>
      </c>
      <c r="O194" s="44">
        <v>3918048.0</v>
      </c>
      <c r="P194" s="295" t="s">
        <v>189</v>
      </c>
      <c r="Q194" s="68" t="s">
        <v>107</v>
      </c>
      <c r="R194" s="68" t="s">
        <v>120</v>
      </c>
      <c r="S194" s="25" t="s">
        <v>2095</v>
      </c>
      <c r="T194" s="40" t="s">
        <v>2096</v>
      </c>
      <c r="U194" s="69" t="s">
        <v>2097</v>
      </c>
      <c r="V194" s="27"/>
    </row>
    <row r="195">
      <c r="A195" s="49" t="s">
        <v>2098</v>
      </c>
      <c r="B195" s="25" t="s">
        <v>179</v>
      </c>
      <c r="C195" s="52" t="s">
        <v>2099</v>
      </c>
      <c r="D195" s="55" t="s">
        <v>2100</v>
      </c>
      <c r="E195" s="52" t="s">
        <v>2101</v>
      </c>
      <c r="F195" s="59" t="s">
        <v>2102</v>
      </c>
      <c r="G195" s="59" t="s">
        <v>2105</v>
      </c>
      <c r="H195" s="61" t="s">
        <v>2108</v>
      </c>
      <c r="I195" s="43" t="s">
        <v>2109</v>
      </c>
      <c r="J195" s="314" t="s">
        <v>2110</v>
      </c>
      <c r="K195" s="64" t="s">
        <v>424</v>
      </c>
      <c r="L195" s="64" t="s">
        <v>831</v>
      </c>
      <c r="M195" s="44">
        <v>1.31601313E8</v>
      </c>
      <c r="N195" s="44">
        <v>3290032.825</v>
      </c>
      <c r="O195" s="44">
        <v>561068.0</v>
      </c>
      <c r="P195" s="314" t="s">
        <v>189</v>
      </c>
      <c r="Q195" s="68" t="s">
        <v>2111</v>
      </c>
      <c r="R195" s="68" t="s">
        <v>116</v>
      </c>
      <c r="S195" s="25" t="s">
        <v>2112</v>
      </c>
      <c r="T195" s="40" t="s">
        <v>2114</v>
      </c>
      <c r="U195" s="316" t="s">
        <v>2115</v>
      </c>
      <c r="V195" s="27"/>
    </row>
    <row r="196">
      <c r="A196" s="317" t="s">
        <v>2118</v>
      </c>
      <c r="B196" s="40" t="s">
        <v>179</v>
      </c>
      <c r="C196" s="52" t="s">
        <v>2119</v>
      </c>
      <c r="D196" s="40" t="s">
        <v>153</v>
      </c>
      <c r="E196" s="40" t="s">
        <v>2121</v>
      </c>
      <c r="F196" s="52" t="s">
        <v>2123</v>
      </c>
      <c r="G196" s="55" t="s">
        <v>2125</v>
      </c>
      <c r="H196" s="71" t="s">
        <v>2128</v>
      </c>
      <c r="I196" s="62" t="s">
        <v>2130</v>
      </c>
      <c r="J196" s="314" t="s">
        <v>2131</v>
      </c>
      <c r="K196" s="64" t="s">
        <v>284</v>
      </c>
      <c r="L196" s="64" t="s">
        <v>1723</v>
      </c>
      <c r="M196" s="44">
        <v>1.2732034E8</v>
      </c>
      <c r="N196" s="44">
        <v>1.15745763636363E7</v>
      </c>
      <c r="O196" s="44">
        <v>1843713.0</v>
      </c>
      <c r="P196" s="314" t="s">
        <v>189</v>
      </c>
      <c r="Q196" s="122" t="s">
        <v>2111</v>
      </c>
      <c r="R196" s="68" t="s">
        <v>118</v>
      </c>
      <c r="S196" s="40" t="s">
        <v>2133</v>
      </c>
      <c r="T196" s="40" t="s">
        <v>2136</v>
      </c>
      <c r="U196" s="76" t="s">
        <v>2137</v>
      </c>
    </row>
    <row r="197">
      <c r="A197" s="49" t="s">
        <v>2139</v>
      </c>
      <c r="B197" s="220" t="s">
        <v>194</v>
      </c>
      <c r="C197" s="219" t="s">
        <v>2140</v>
      </c>
      <c r="D197" s="220" t="s">
        <v>153</v>
      </c>
      <c r="E197" s="220" t="s">
        <v>2142</v>
      </c>
      <c r="F197" s="219" t="s">
        <v>327</v>
      </c>
      <c r="G197" s="219" t="s">
        <v>2145</v>
      </c>
      <c r="H197" s="192" t="s">
        <v>2147</v>
      </c>
      <c r="I197" s="319" t="s">
        <v>2150</v>
      </c>
      <c r="J197" s="106">
        <v>6.0</v>
      </c>
      <c r="K197" s="320">
        <v>44044.0</v>
      </c>
      <c r="L197" s="320">
        <v>45017.0</v>
      </c>
      <c r="M197" s="228">
        <v>2.68E7</v>
      </c>
      <c r="N197" s="228">
        <v>4400000.0</v>
      </c>
      <c r="O197" s="228">
        <v>2200000.0</v>
      </c>
      <c r="P197" s="68" t="s">
        <v>811</v>
      </c>
      <c r="Q197" s="122" t="s">
        <v>107</v>
      </c>
      <c r="R197" s="122" t="s">
        <v>118</v>
      </c>
      <c r="S197" s="102" t="s">
        <v>2151</v>
      </c>
      <c r="T197" s="220" t="s">
        <v>2152</v>
      </c>
      <c r="U197" s="206" t="s">
        <v>2153</v>
      </c>
      <c r="V197" s="27"/>
      <c r="W197" s="27"/>
      <c r="X197" s="27"/>
      <c r="Y197" s="27"/>
      <c r="Z197" s="27"/>
      <c r="AA197" s="27"/>
      <c r="AB197" s="27"/>
      <c r="AC197" s="27"/>
      <c r="AD197" s="27"/>
      <c r="AE197" s="27"/>
    </row>
    <row r="198">
      <c r="A198" s="170" t="s">
        <v>2154</v>
      </c>
      <c r="B198" s="220" t="s">
        <v>179</v>
      </c>
      <c r="C198" s="219" t="s">
        <v>2157</v>
      </c>
      <c r="D198" s="219" t="s">
        <v>2158</v>
      </c>
      <c r="E198" s="220" t="s">
        <v>2161</v>
      </c>
      <c r="F198" s="219" t="s">
        <v>849</v>
      </c>
      <c r="G198" s="219" t="s">
        <v>2162</v>
      </c>
      <c r="H198" s="167" t="s">
        <v>2167</v>
      </c>
      <c r="I198" s="319" t="s">
        <v>2168</v>
      </c>
      <c r="J198" s="106">
        <v>25.0</v>
      </c>
      <c r="K198" s="320">
        <v>42125.0</v>
      </c>
      <c r="L198" s="320">
        <v>45413.0</v>
      </c>
      <c r="M198" s="228">
        <v>2.25E7</v>
      </c>
      <c r="N198" s="228">
        <v>901500.0</v>
      </c>
      <c r="O198" s="228">
        <v>158600.0</v>
      </c>
      <c r="P198" s="68" t="s">
        <v>811</v>
      </c>
      <c r="Q198" s="122" t="s">
        <v>2170</v>
      </c>
      <c r="R198" s="122" t="s">
        <v>116</v>
      </c>
      <c r="S198" s="102" t="s">
        <v>2174</v>
      </c>
      <c r="T198" s="220" t="s">
        <v>2175</v>
      </c>
      <c r="U198" s="206" t="s">
        <v>2176</v>
      </c>
      <c r="V198" s="27"/>
      <c r="W198" s="27"/>
      <c r="X198" s="27"/>
      <c r="Y198" s="27"/>
      <c r="Z198" s="27"/>
      <c r="AA198" s="27"/>
      <c r="AB198" s="27"/>
      <c r="AC198" s="27"/>
      <c r="AD198" s="27"/>
      <c r="AE198" s="27"/>
      <c r="AF198" s="27"/>
    </row>
    <row r="199">
      <c r="A199" s="82" t="s">
        <v>2177</v>
      </c>
      <c r="B199" s="40" t="s">
        <v>194</v>
      </c>
      <c r="C199" s="52" t="s">
        <v>2178</v>
      </c>
      <c r="D199" s="52" t="s">
        <v>2182</v>
      </c>
      <c r="E199" s="55" t="s">
        <v>2186</v>
      </c>
      <c r="F199" s="86" t="s">
        <v>197</v>
      </c>
      <c r="G199" s="199" t="s">
        <v>2187</v>
      </c>
      <c r="H199" s="61" t="s">
        <v>2191</v>
      </c>
      <c r="I199" s="43" t="s">
        <v>386</v>
      </c>
      <c r="J199" s="68" t="s">
        <v>2197</v>
      </c>
      <c r="K199" s="64" t="s">
        <v>967</v>
      </c>
      <c r="L199" s="64" t="s">
        <v>1058</v>
      </c>
      <c r="M199" s="44">
        <v>1.6661821E7</v>
      </c>
      <c r="N199" s="44">
        <v>724427.0</v>
      </c>
      <c r="O199" s="44">
        <v>87510.0</v>
      </c>
      <c r="P199" s="295" t="s">
        <v>811</v>
      </c>
      <c r="Q199" s="68" t="s">
        <v>110</v>
      </c>
      <c r="R199" s="68" t="s">
        <v>118</v>
      </c>
      <c r="S199" s="18" t="s">
        <v>2198</v>
      </c>
      <c r="T199" s="18" t="s">
        <v>2199</v>
      </c>
      <c r="U199" s="90" t="s">
        <v>2200</v>
      </c>
    </row>
    <row r="200">
      <c r="A200" s="49" t="s">
        <v>2202</v>
      </c>
      <c r="B200" s="220" t="s">
        <v>218</v>
      </c>
      <c r="C200" s="219" t="s">
        <v>2203</v>
      </c>
      <c r="D200" s="220" t="s">
        <v>153</v>
      </c>
      <c r="E200" s="219" t="s">
        <v>2204</v>
      </c>
      <c r="F200" s="220" t="s">
        <v>197</v>
      </c>
      <c r="G200" s="219" t="s">
        <v>2205</v>
      </c>
      <c r="H200" s="149" t="s">
        <v>2206</v>
      </c>
      <c r="I200" s="319" t="s">
        <v>989</v>
      </c>
      <c r="J200" s="106">
        <v>4.0</v>
      </c>
      <c r="K200" s="320">
        <v>43709.0</v>
      </c>
      <c r="L200" s="320">
        <v>44927.0</v>
      </c>
      <c r="M200" s="228">
        <v>1400000.0</v>
      </c>
      <c r="N200" s="228">
        <v>359200.0</v>
      </c>
      <c r="O200" s="228">
        <v>183100.0</v>
      </c>
      <c r="P200" s="68" t="s">
        <v>811</v>
      </c>
      <c r="Q200" s="122" t="s">
        <v>2170</v>
      </c>
      <c r="R200" s="122" t="s">
        <v>116</v>
      </c>
      <c r="S200" s="102" t="s">
        <v>2207</v>
      </c>
      <c r="T200" s="220" t="s">
        <v>2208</v>
      </c>
      <c r="U200" s="206" t="s">
        <v>153</v>
      </c>
      <c r="V200" s="27"/>
      <c r="W200" s="27"/>
      <c r="X200" s="27"/>
      <c r="Y200" s="27"/>
      <c r="Z200" s="27"/>
      <c r="AA200" s="27"/>
      <c r="AB200" s="27"/>
      <c r="AC200" s="27"/>
      <c r="AD200" s="27"/>
      <c r="AE200" s="27"/>
      <c r="AF200" s="27"/>
    </row>
    <row r="201">
      <c r="A201" s="82" t="s">
        <v>2209</v>
      </c>
      <c r="B201" s="40" t="s">
        <v>254</v>
      </c>
      <c r="C201" s="52" t="s">
        <v>2210</v>
      </c>
      <c r="D201" s="40" t="s">
        <v>153</v>
      </c>
      <c r="E201" s="52" t="s">
        <v>2212</v>
      </c>
      <c r="F201" s="52" t="s">
        <v>2213</v>
      </c>
      <c r="G201" s="52" t="s">
        <v>2214</v>
      </c>
      <c r="H201" s="71" t="s">
        <v>2215</v>
      </c>
      <c r="I201" s="62" t="s">
        <v>863</v>
      </c>
      <c r="J201" s="62">
        <v>5.0</v>
      </c>
      <c r="K201" s="64" t="s">
        <v>284</v>
      </c>
      <c r="L201" s="64" t="s">
        <v>875</v>
      </c>
      <c r="M201" s="228">
        <v>1.5450647E7</v>
      </c>
      <c r="N201" s="228">
        <v>3090129.4</v>
      </c>
      <c r="O201" s="228">
        <v>1881477.0</v>
      </c>
      <c r="P201" s="295" t="s">
        <v>811</v>
      </c>
      <c r="Q201" s="68" t="s">
        <v>112</v>
      </c>
      <c r="R201" s="68" t="s">
        <v>116</v>
      </c>
      <c r="S201" s="40" t="s">
        <v>2216</v>
      </c>
      <c r="T201" s="40" t="s">
        <v>2217</v>
      </c>
      <c r="U201" s="76" t="s">
        <v>2218</v>
      </c>
    </row>
    <row r="202">
      <c r="A202" s="70" t="s">
        <v>2219</v>
      </c>
      <c r="B202" s="40"/>
      <c r="C202" s="55" t="s">
        <v>2220</v>
      </c>
      <c r="D202" s="40" t="s">
        <v>153</v>
      </c>
      <c r="E202" s="52" t="s">
        <v>2221</v>
      </c>
      <c r="F202" s="59" t="s">
        <v>2222</v>
      </c>
      <c r="G202" s="199" t="s">
        <v>2223</v>
      </c>
      <c r="H202" s="61" t="s">
        <v>2224</v>
      </c>
      <c r="I202" s="62" t="s">
        <v>283</v>
      </c>
      <c r="J202" s="62">
        <v>5.0</v>
      </c>
      <c r="K202" s="64" t="s">
        <v>2225</v>
      </c>
      <c r="L202" s="64" t="s">
        <v>831</v>
      </c>
      <c r="M202" s="228">
        <v>1.1583987E7</v>
      </c>
      <c r="N202" s="228">
        <v>2316797.4</v>
      </c>
      <c r="O202" s="228">
        <v>234961.0</v>
      </c>
      <c r="P202" s="295" t="s">
        <v>811</v>
      </c>
      <c r="Q202" s="68" t="s">
        <v>2170</v>
      </c>
      <c r="R202" s="68" t="s">
        <v>118</v>
      </c>
      <c r="S202" s="40" t="s">
        <v>2226</v>
      </c>
      <c r="T202" s="40" t="s">
        <v>2227</v>
      </c>
      <c r="U202" s="76" t="s">
        <v>2228</v>
      </c>
    </row>
    <row r="203">
      <c r="A203" s="88" t="s">
        <v>2229</v>
      </c>
      <c r="B203" s="18" t="s">
        <v>179</v>
      </c>
      <c r="C203" s="71" t="s">
        <v>2230</v>
      </c>
      <c r="D203" s="64" t="s">
        <v>153</v>
      </c>
      <c r="E203" s="64" t="s">
        <v>2231</v>
      </c>
      <c r="F203" s="71" t="s">
        <v>2232</v>
      </c>
      <c r="G203" s="190" t="s">
        <v>2233</v>
      </c>
      <c r="H203" s="190" t="s">
        <v>2234</v>
      </c>
      <c r="I203" s="62" t="s">
        <v>1196</v>
      </c>
      <c r="J203" s="62">
        <v>1.0</v>
      </c>
      <c r="K203" s="62" t="s">
        <v>2235</v>
      </c>
      <c r="L203" s="62" t="s">
        <v>1814</v>
      </c>
      <c r="M203" s="228">
        <v>3652.0</v>
      </c>
      <c r="N203" s="228">
        <v>3652.0</v>
      </c>
      <c r="O203" s="228">
        <v>3652.0</v>
      </c>
      <c r="P203" s="68" t="s">
        <v>1915</v>
      </c>
      <c r="Q203" s="68" t="s">
        <v>112</v>
      </c>
      <c r="R203" s="68" t="s">
        <v>197</v>
      </c>
      <c r="S203" s="64" t="s">
        <v>2236</v>
      </c>
      <c r="T203" s="64" t="s">
        <v>2237</v>
      </c>
      <c r="U203" s="90" t="s">
        <v>153</v>
      </c>
      <c r="V203" s="191"/>
      <c r="W203" s="191"/>
      <c r="X203" s="191"/>
      <c r="Y203" s="191"/>
      <c r="Z203" s="191"/>
      <c r="AA203" s="191"/>
      <c r="AB203" s="191"/>
      <c r="AC203" s="191"/>
      <c r="AD203" s="191"/>
      <c r="AE203" s="191"/>
      <c r="AF203" s="191"/>
      <c r="AG203" s="191"/>
      <c r="AH203" s="191"/>
      <c r="AI203" s="191"/>
      <c r="AJ203" s="191"/>
      <c r="AK203" s="191"/>
      <c r="AL203" s="191"/>
      <c r="AM203" s="191"/>
      <c r="AN203" s="191"/>
    </row>
    <row r="204">
      <c r="A204" s="49" t="s">
        <v>2238</v>
      </c>
      <c r="B204" s="25" t="s">
        <v>194</v>
      </c>
      <c r="C204" s="52" t="s">
        <v>2239</v>
      </c>
      <c r="D204" s="40" t="s">
        <v>153</v>
      </c>
      <c r="E204" s="52" t="s">
        <v>2239</v>
      </c>
      <c r="F204" s="59" t="s">
        <v>2241</v>
      </c>
      <c r="G204" s="52" t="s">
        <v>2242</v>
      </c>
      <c r="H204" s="71" t="s">
        <v>2244</v>
      </c>
      <c r="I204" s="62">
        <v>476.0</v>
      </c>
      <c r="J204" s="68" t="s">
        <v>2245</v>
      </c>
      <c r="K204" s="64" t="s">
        <v>1666</v>
      </c>
      <c r="L204" s="64" t="s">
        <v>1683</v>
      </c>
      <c r="M204" s="295">
        <v>5370909.0</v>
      </c>
      <c r="N204" s="295">
        <v>1074181.8</v>
      </c>
      <c r="O204" s="295">
        <v>391209.0</v>
      </c>
      <c r="P204" s="295" t="s">
        <v>811</v>
      </c>
      <c r="Q204" s="68" t="s">
        <v>112</v>
      </c>
      <c r="R204" s="68" t="s">
        <v>116</v>
      </c>
      <c r="S204" s="77" t="s">
        <v>2246</v>
      </c>
      <c r="T204" s="40" t="s">
        <v>2247</v>
      </c>
      <c r="U204" s="76" t="s">
        <v>153</v>
      </c>
    </row>
    <row r="205">
      <c r="A205" s="100" t="s">
        <v>2248</v>
      </c>
      <c r="B205" s="18" t="s">
        <v>194</v>
      </c>
      <c r="C205" s="55" t="s">
        <v>2249</v>
      </c>
      <c r="D205" s="55" t="s">
        <v>2250</v>
      </c>
      <c r="E205" s="40" t="s">
        <v>2251</v>
      </c>
      <c r="F205" s="18" t="s">
        <v>197</v>
      </c>
      <c r="G205" s="55" t="s">
        <v>2252</v>
      </c>
      <c r="H205" s="61" t="s">
        <v>2253</v>
      </c>
      <c r="I205" s="143" t="s">
        <v>895</v>
      </c>
      <c r="J205" s="322" t="s">
        <v>2254</v>
      </c>
      <c r="K205" s="144" t="s">
        <v>1296</v>
      </c>
      <c r="L205" s="144" t="s">
        <v>2255</v>
      </c>
      <c r="M205" s="295">
        <v>3.6254274E7</v>
      </c>
      <c r="N205" s="295">
        <v>1.8127137E7</v>
      </c>
      <c r="O205" s="295">
        <v>1.8127137E7</v>
      </c>
      <c r="P205" s="295" t="s">
        <v>811</v>
      </c>
      <c r="Q205" s="68" t="s">
        <v>110</v>
      </c>
      <c r="R205" s="68" t="s">
        <v>120</v>
      </c>
      <c r="S205" s="40" t="s">
        <v>2256</v>
      </c>
      <c r="T205" s="40" t="s">
        <v>2257</v>
      </c>
      <c r="U205" s="76" t="s">
        <v>2258</v>
      </c>
    </row>
    <row r="206">
      <c r="A206" s="45" t="s">
        <v>2259</v>
      </c>
      <c r="B206" s="25"/>
      <c r="C206" s="59" t="s">
        <v>2260</v>
      </c>
      <c r="D206" s="247" t="s">
        <v>153</v>
      </c>
      <c r="E206" s="247" t="s">
        <v>2261</v>
      </c>
      <c r="F206" s="59" t="s">
        <v>2262</v>
      </c>
      <c r="G206" s="323" t="s">
        <v>2263</v>
      </c>
      <c r="H206" s="61" t="s">
        <v>2264</v>
      </c>
      <c r="I206" s="62" t="s">
        <v>1742</v>
      </c>
      <c r="J206" s="314" t="s">
        <v>1091</v>
      </c>
      <c r="K206" s="64" t="s">
        <v>2265</v>
      </c>
      <c r="L206" s="64" t="s">
        <v>884</v>
      </c>
      <c r="M206" s="295">
        <v>1.26531971039348E8</v>
      </c>
      <c r="N206" s="295">
        <v>7908248.18995927</v>
      </c>
      <c r="O206" s="295">
        <v>494547.201526811</v>
      </c>
      <c r="P206" s="314" t="s">
        <v>189</v>
      </c>
      <c r="Q206" s="68" t="s">
        <v>2111</v>
      </c>
      <c r="R206" s="68" t="s">
        <v>116</v>
      </c>
      <c r="S206" s="18" t="s">
        <v>2266</v>
      </c>
      <c r="T206" s="18" t="s">
        <v>2267</v>
      </c>
      <c r="U206" s="76" t="s">
        <v>2268</v>
      </c>
    </row>
    <row r="207">
      <c r="A207" s="45" t="s">
        <v>2269</v>
      </c>
      <c r="B207" s="324" t="s">
        <v>165</v>
      </c>
      <c r="C207" s="59" t="s">
        <v>2270</v>
      </c>
      <c r="D207" s="116" t="s">
        <v>2271</v>
      </c>
      <c r="E207" s="59" t="s">
        <v>2272</v>
      </c>
      <c r="F207" s="325" t="s">
        <v>2273</v>
      </c>
      <c r="G207" s="325" t="s">
        <v>2274</v>
      </c>
      <c r="H207" s="61" t="s">
        <v>2275</v>
      </c>
      <c r="I207" s="62" t="s">
        <v>283</v>
      </c>
      <c r="J207" s="68" t="s">
        <v>2276</v>
      </c>
      <c r="K207" s="64" t="s">
        <v>1495</v>
      </c>
      <c r="L207" s="64" t="s">
        <v>1467</v>
      </c>
      <c r="M207" s="295">
        <v>5323150.0</v>
      </c>
      <c r="N207" s="295">
        <v>129832.926829268</v>
      </c>
      <c r="O207" s="295">
        <v>23270.0</v>
      </c>
      <c r="P207" s="295" t="s">
        <v>811</v>
      </c>
      <c r="Q207" s="122" t="s">
        <v>112</v>
      </c>
      <c r="R207" s="68" t="s">
        <v>116</v>
      </c>
      <c r="S207" s="129" t="s">
        <v>2277</v>
      </c>
      <c r="T207" s="129" t="s">
        <v>2278</v>
      </c>
      <c r="U207" s="69" t="s">
        <v>2279</v>
      </c>
      <c r="V207" s="27"/>
      <c r="W207" s="27"/>
      <c r="X207" s="27"/>
      <c r="Y207" s="27"/>
      <c r="Z207" s="27"/>
      <c r="AA207" s="27"/>
      <c r="AB207" s="27"/>
      <c r="AC207" s="27"/>
      <c r="AD207" s="27"/>
      <c r="AE207" s="27"/>
      <c r="AF207" s="27"/>
      <c r="AG207" s="27"/>
      <c r="AH207" s="27"/>
      <c r="AI207" s="27"/>
      <c r="AJ207" s="27"/>
      <c r="AK207" s="27"/>
      <c r="AL207" s="27"/>
      <c r="AM207" s="27"/>
      <c r="AN207" s="27"/>
    </row>
    <row r="208">
      <c r="A208" s="70" t="s">
        <v>2280</v>
      </c>
      <c r="B208" s="40" t="s">
        <v>194</v>
      </c>
      <c r="C208" s="52" t="s">
        <v>2281</v>
      </c>
      <c r="D208" s="40" t="s">
        <v>153</v>
      </c>
      <c r="E208" s="52" t="s">
        <v>2282</v>
      </c>
      <c r="F208" s="247" t="s">
        <v>197</v>
      </c>
      <c r="G208" s="52" t="s">
        <v>2283</v>
      </c>
      <c r="H208" s="61" t="s">
        <v>2284</v>
      </c>
      <c r="I208" s="117" t="s">
        <v>1196</v>
      </c>
      <c r="J208" s="326" t="s">
        <v>2285</v>
      </c>
      <c r="K208" s="197" t="s">
        <v>2286</v>
      </c>
      <c r="L208" s="197" t="s">
        <v>320</v>
      </c>
      <c r="M208" s="65">
        <v>1.0117808E7</v>
      </c>
      <c r="N208" s="65">
        <v>1011780.8</v>
      </c>
      <c r="O208" s="65">
        <v>93062.0</v>
      </c>
      <c r="P208" s="295" t="s">
        <v>811</v>
      </c>
      <c r="Q208" s="68" t="s">
        <v>2170</v>
      </c>
      <c r="R208" s="68" t="s">
        <v>116</v>
      </c>
      <c r="S208" s="40" t="s">
        <v>2287</v>
      </c>
      <c r="T208" s="40" t="s">
        <v>2288</v>
      </c>
      <c r="U208" s="76" t="s">
        <v>2289</v>
      </c>
    </row>
    <row r="209">
      <c r="A209" s="70" t="s">
        <v>2290</v>
      </c>
      <c r="B209" s="40" t="s">
        <v>194</v>
      </c>
      <c r="C209" s="55" t="s">
        <v>2291</v>
      </c>
      <c r="D209" s="52" t="s">
        <v>2292</v>
      </c>
      <c r="E209" s="52" t="s">
        <v>2293</v>
      </c>
      <c r="F209" s="59" t="s">
        <v>2294</v>
      </c>
      <c r="G209" s="52" t="s">
        <v>2295</v>
      </c>
      <c r="H209" s="61" t="s">
        <v>2296</v>
      </c>
      <c r="I209" s="62">
        <v>126.0</v>
      </c>
      <c r="J209" s="68" t="s">
        <v>2297</v>
      </c>
      <c r="K209" s="64" t="s">
        <v>671</v>
      </c>
      <c r="L209" s="64" t="s">
        <v>2094</v>
      </c>
      <c r="M209" s="65">
        <v>835305.0</v>
      </c>
      <c r="N209" s="65">
        <v>139217.5</v>
      </c>
      <c r="O209" s="65">
        <v>67993.5</v>
      </c>
      <c r="P209" s="295" t="s">
        <v>811</v>
      </c>
      <c r="Q209" s="68" t="s">
        <v>112</v>
      </c>
      <c r="R209" s="68" t="s">
        <v>116</v>
      </c>
      <c r="S209" s="40" t="s">
        <v>2298</v>
      </c>
      <c r="T209" s="40" t="s">
        <v>2299</v>
      </c>
      <c r="U209" s="76" t="s">
        <v>2300</v>
      </c>
    </row>
    <row r="210">
      <c r="A210" s="82" t="s">
        <v>2301</v>
      </c>
      <c r="B210" s="40" t="s">
        <v>243</v>
      </c>
      <c r="C210" s="52" t="s">
        <v>2302</v>
      </c>
      <c r="D210" s="40" t="s">
        <v>153</v>
      </c>
      <c r="E210" s="52" t="s">
        <v>2303</v>
      </c>
      <c r="F210" s="52" t="s">
        <v>2304</v>
      </c>
      <c r="G210" s="52" t="s">
        <v>2305</v>
      </c>
      <c r="H210" s="61" t="s">
        <v>2306</v>
      </c>
      <c r="I210" s="62">
        <v>856.0</v>
      </c>
      <c r="J210" s="68" t="s">
        <v>2307</v>
      </c>
      <c r="K210" s="64" t="s">
        <v>2308</v>
      </c>
      <c r="L210" s="64" t="s">
        <v>1207</v>
      </c>
      <c r="M210" s="65">
        <v>2067366.0</v>
      </c>
      <c r="N210" s="65">
        <v>516841.5</v>
      </c>
      <c r="O210" s="65">
        <v>504770.0</v>
      </c>
      <c r="P210" s="295" t="s">
        <v>811</v>
      </c>
      <c r="Q210" s="68" t="s">
        <v>2170</v>
      </c>
      <c r="R210" s="68" t="s">
        <v>118</v>
      </c>
      <c r="S210" s="40" t="s">
        <v>2309</v>
      </c>
      <c r="T210" s="40" t="s">
        <v>2310</v>
      </c>
      <c r="U210" s="76" t="s">
        <v>2311</v>
      </c>
    </row>
    <row r="211">
      <c r="A211" s="99" t="s">
        <v>2312</v>
      </c>
      <c r="B211" s="68" t="s">
        <v>194</v>
      </c>
      <c r="C211" s="101" t="s">
        <v>2313</v>
      </c>
      <c r="D211" s="68" t="s">
        <v>153</v>
      </c>
      <c r="E211" s="68" t="s">
        <v>2314</v>
      </c>
      <c r="F211" s="327" t="s">
        <v>2435</v>
      </c>
      <c r="G211" s="101" t="s">
        <v>2316</v>
      </c>
      <c r="H211" s="101" t="s">
        <v>2317</v>
      </c>
      <c r="I211" s="62">
        <v>33.0</v>
      </c>
      <c r="J211" s="62">
        <v>4.0</v>
      </c>
      <c r="K211" s="62" t="s">
        <v>2094</v>
      </c>
      <c r="L211" s="64" t="s">
        <v>947</v>
      </c>
      <c r="M211" s="65">
        <v>143271.0</v>
      </c>
      <c r="N211" s="65">
        <v>35817.75</v>
      </c>
      <c r="O211" s="65">
        <v>12844.0</v>
      </c>
      <c r="P211" s="295" t="s">
        <v>811</v>
      </c>
      <c r="Q211" s="68" t="s">
        <v>112</v>
      </c>
      <c r="R211" s="42" t="s">
        <v>197</v>
      </c>
      <c r="S211" s="64" t="s">
        <v>2318</v>
      </c>
      <c r="T211" s="68" t="s">
        <v>2319</v>
      </c>
      <c r="U211" s="179" t="s">
        <v>2320</v>
      </c>
      <c r="V211" s="27"/>
      <c r="W211" s="27"/>
      <c r="X211" s="27"/>
      <c r="Y211" s="27"/>
      <c r="Z211" s="27"/>
      <c r="AA211" s="27"/>
      <c r="AB211" s="27"/>
      <c r="AC211" s="27"/>
      <c r="AD211" s="27"/>
      <c r="AE211" s="27"/>
      <c r="AF211" s="27"/>
      <c r="AG211" s="27"/>
      <c r="AH211" s="27"/>
      <c r="AI211" s="27"/>
      <c r="AJ211" s="27"/>
      <c r="AK211" s="27"/>
      <c r="AL211" s="27"/>
      <c r="AM211" s="27"/>
      <c r="AN211" s="27"/>
    </row>
    <row r="212">
      <c r="A212" s="70" t="s">
        <v>2321</v>
      </c>
      <c r="B212" s="64" t="s">
        <v>952</v>
      </c>
      <c r="C212" s="98" t="s">
        <v>2322</v>
      </c>
      <c r="D212" s="301" t="s">
        <v>153</v>
      </c>
      <c r="E212" s="98" t="s">
        <v>2323</v>
      </c>
      <c r="G212" s="153"/>
      <c r="H212" s="153"/>
      <c r="M212" s="304"/>
      <c r="N212" s="304"/>
      <c r="O212" s="304"/>
      <c r="P212" s="295" t="s">
        <v>811</v>
      </c>
      <c r="Q212" s="122" t="s">
        <v>112</v>
      </c>
      <c r="R212" s="68" t="s">
        <v>116</v>
      </c>
      <c r="S212" s="22"/>
      <c r="U212" s="146" t="s">
        <v>2324</v>
      </c>
    </row>
    <row r="213">
      <c r="A213" s="88" t="s">
        <v>2325</v>
      </c>
      <c r="B213" s="89" t="s">
        <v>194</v>
      </c>
      <c r="C213" s="71" t="s">
        <v>2326</v>
      </c>
      <c r="D213" s="64" t="s">
        <v>153</v>
      </c>
      <c r="E213" s="190" t="s">
        <v>2327</v>
      </c>
      <c r="F213" s="71" t="s">
        <v>2328</v>
      </c>
      <c r="G213" s="192" t="s">
        <v>2329</v>
      </c>
      <c r="H213" s="190" t="s">
        <v>2330</v>
      </c>
      <c r="I213" s="62">
        <v>348.0</v>
      </c>
      <c r="J213" s="68" t="s">
        <v>2331</v>
      </c>
      <c r="K213" s="62" t="s">
        <v>1262</v>
      </c>
      <c r="L213" s="62" t="s">
        <v>908</v>
      </c>
      <c r="M213" s="65">
        <v>2276052.0</v>
      </c>
      <c r="N213" s="65">
        <v>142253.25</v>
      </c>
      <c r="O213" s="65">
        <v>2598.5</v>
      </c>
      <c r="P213" s="68" t="s">
        <v>811</v>
      </c>
      <c r="Q213" s="129" t="s">
        <v>112</v>
      </c>
      <c r="R213" s="129" t="s">
        <v>118</v>
      </c>
      <c r="S213" s="64" t="s">
        <v>2332</v>
      </c>
      <c r="T213" s="64" t="s">
        <v>2333</v>
      </c>
      <c r="U213" s="90" t="s">
        <v>153</v>
      </c>
      <c r="V213" s="191"/>
      <c r="W213" s="191"/>
      <c r="X213" s="191"/>
      <c r="Y213" s="191"/>
      <c r="Z213" s="191"/>
      <c r="AA213" s="191"/>
      <c r="AB213" s="191"/>
      <c r="AC213" s="191"/>
      <c r="AD213" s="191"/>
      <c r="AE213" s="191"/>
      <c r="AF213" s="191"/>
      <c r="AG213" s="191"/>
      <c r="AH213" s="191"/>
      <c r="AI213" s="191"/>
      <c r="AJ213" s="191"/>
      <c r="AK213" s="191"/>
      <c r="AL213" s="191"/>
      <c r="AM213" s="191"/>
      <c r="AN213" s="191"/>
    </row>
    <row r="214">
      <c r="A214" s="100" t="s">
        <v>2334</v>
      </c>
      <c r="B214" s="18" t="s">
        <v>194</v>
      </c>
      <c r="C214" s="199" t="s">
        <v>2335</v>
      </c>
      <c r="D214" s="22"/>
      <c r="E214" s="41"/>
      <c r="F214" s="162" t="s">
        <v>2336</v>
      </c>
      <c r="G214" s="22"/>
      <c r="H214" s="22"/>
      <c r="I214" s="266"/>
      <c r="J214" s="272"/>
      <c r="K214" s="272"/>
      <c r="L214" s="272"/>
      <c r="M214" s="273"/>
      <c r="N214" s="273"/>
      <c r="O214" s="273"/>
      <c r="P214" s="27"/>
      <c r="Q214" s="27"/>
      <c r="R214" s="27"/>
      <c r="S214" s="22"/>
      <c r="T214" s="22"/>
      <c r="U214" s="76" t="s">
        <v>2337</v>
      </c>
    </row>
    <row r="215">
      <c r="A215" s="100" t="s">
        <v>2338</v>
      </c>
      <c r="B215" s="18" t="s">
        <v>179</v>
      </c>
      <c r="C215" s="52" t="s">
        <v>2339</v>
      </c>
      <c r="D215" s="40" t="s">
        <v>153</v>
      </c>
      <c r="E215" s="52" t="s">
        <v>2340</v>
      </c>
      <c r="F215" s="18" t="s">
        <v>197</v>
      </c>
      <c r="G215" s="52" t="s">
        <v>2341</v>
      </c>
      <c r="H215" s="61" t="s">
        <v>2342</v>
      </c>
      <c r="I215" s="62" t="s">
        <v>907</v>
      </c>
      <c r="J215" s="62">
        <v>22.0</v>
      </c>
      <c r="K215" s="64" t="s">
        <v>582</v>
      </c>
      <c r="L215" s="64" t="s">
        <v>1242</v>
      </c>
      <c r="M215" s="65">
        <v>1431035.0</v>
      </c>
      <c r="N215" s="65">
        <v>65047.0454545454</v>
      </c>
      <c r="O215" s="65">
        <v>16422.5</v>
      </c>
      <c r="P215" s="295" t="s">
        <v>811</v>
      </c>
      <c r="Q215" s="68" t="s">
        <v>112</v>
      </c>
      <c r="R215" s="68" t="s">
        <v>116</v>
      </c>
      <c r="S215" s="18" t="s">
        <v>2343</v>
      </c>
      <c r="T215" s="18" t="s">
        <v>2344</v>
      </c>
      <c r="U215" s="76" t="s">
        <v>2345</v>
      </c>
    </row>
    <row r="216" ht="16.5" customHeight="1">
      <c r="A216" s="217" t="s">
        <v>2346</v>
      </c>
      <c r="B216" s="40" t="s">
        <v>1416</v>
      </c>
      <c r="C216" s="212" t="s">
        <v>2347</v>
      </c>
      <c r="D216" s="22"/>
      <c r="E216" s="40"/>
      <c r="F216" s="40"/>
      <c r="G216" s="86"/>
      <c r="H216" s="40"/>
      <c r="I216" s="268"/>
      <c r="J216" s="269"/>
      <c r="K216" s="270"/>
      <c r="L216" s="271"/>
      <c r="M216" s="65"/>
      <c r="N216" s="65"/>
      <c r="O216" s="65"/>
      <c r="P216" s="62"/>
      <c r="Q216" s="18"/>
      <c r="R216" s="18"/>
      <c r="S216" s="22"/>
      <c r="T216" s="18"/>
      <c r="U216" s="118"/>
    </row>
    <row r="217">
      <c r="A217" s="99" t="s">
        <v>2348</v>
      </c>
      <c r="B217" s="328" t="s">
        <v>165</v>
      </c>
      <c r="C217" s="173" t="s">
        <v>2349</v>
      </c>
      <c r="D217" s="121" t="s">
        <v>153</v>
      </c>
      <c r="E217" s="119" t="s">
        <v>2350</v>
      </c>
      <c r="F217" s="173" t="s">
        <v>2351</v>
      </c>
      <c r="G217" s="205" t="s">
        <v>2352</v>
      </c>
      <c r="H217" s="61" t="s">
        <v>2353</v>
      </c>
      <c r="I217" s="127" t="s">
        <v>1196</v>
      </c>
      <c r="J217" s="62">
        <v>6.0</v>
      </c>
      <c r="K217" s="64" t="s">
        <v>1701</v>
      </c>
      <c r="L217" s="64" t="s">
        <v>1950</v>
      </c>
      <c r="M217" s="65">
        <v>2547379.0</v>
      </c>
      <c r="N217" s="65">
        <v>424563.166666666</v>
      </c>
      <c r="O217" s="65">
        <v>182761.0</v>
      </c>
      <c r="P217" s="295" t="s">
        <v>811</v>
      </c>
      <c r="Q217" s="68" t="s">
        <v>812</v>
      </c>
      <c r="R217" s="68" t="s">
        <v>118</v>
      </c>
      <c r="S217" s="102" t="s">
        <v>2354</v>
      </c>
      <c r="T217" s="119" t="s">
        <v>2355</v>
      </c>
      <c r="U217" s="92" t="s">
        <v>2356</v>
      </c>
      <c r="V217" s="206"/>
      <c r="W217" s="206"/>
      <c r="X217" s="206"/>
      <c r="Y217" s="206"/>
      <c r="AA217" s="27"/>
      <c r="AB217" s="27"/>
      <c r="AC217" s="27"/>
      <c r="AD217" s="27"/>
      <c r="AE217" s="27"/>
      <c r="AF217" s="27"/>
      <c r="AG217" s="27"/>
      <c r="AH217" s="27"/>
      <c r="AI217" s="27"/>
      <c r="AJ217" s="27"/>
      <c r="AK217" s="27"/>
      <c r="AL217" s="27"/>
      <c r="AM217" s="27"/>
      <c r="AN217" s="27"/>
    </row>
    <row r="218">
      <c r="A218" s="317" t="s">
        <v>2357</v>
      </c>
      <c r="B218" s="40" t="s">
        <v>2358</v>
      </c>
      <c r="C218" s="55" t="s">
        <v>2359</v>
      </c>
      <c r="D218" s="40" t="s">
        <v>153</v>
      </c>
      <c r="E218" s="52" t="s">
        <v>2360</v>
      </c>
      <c r="F218" s="86" t="s">
        <v>197</v>
      </c>
      <c r="G218" s="55" t="s">
        <v>2361</v>
      </c>
      <c r="H218" s="61" t="s">
        <v>2362</v>
      </c>
      <c r="I218" s="62" t="s">
        <v>989</v>
      </c>
      <c r="J218" s="62">
        <v>18.0</v>
      </c>
      <c r="K218" s="64" t="s">
        <v>990</v>
      </c>
      <c r="L218" s="64" t="s">
        <v>2363</v>
      </c>
      <c r="M218" s="65">
        <v>6283767.0</v>
      </c>
      <c r="N218" s="65">
        <v>349098.166666666</v>
      </c>
      <c r="O218" s="65">
        <v>67622.5</v>
      </c>
      <c r="P218" s="295" t="s">
        <v>811</v>
      </c>
      <c r="Q218" s="68" t="s">
        <v>812</v>
      </c>
      <c r="R218" s="68" t="s">
        <v>197</v>
      </c>
      <c r="S218" s="40" t="s">
        <v>2364</v>
      </c>
      <c r="T218" s="40" t="s">
        <v>2365</v>
      </c>
      <c r="U218" s="76" t="s">
        <v>153</v>
      </c>
    </row>
    <row r="219">
      <c r="A219" s="100" t="s">
        <v>2366</v>
      </c>
      <c r="B219" s="25" t="s">
        <v>165</v>
      </c>
      <c r="C219" s="52" t="s">
        <v>2367</v>
      </c>
      <c r="D219" s="40" t="s">
        <v>153</v>
      </c>
      <c r="E219" s="190" t="s">
        <v>2368</v>
      </c>
      <c r="F219" s="86" t="s">
        <v>197</v>
      </c>
      <c r="G219" s="52" t="s">
        <v>2369</v>
      </c>
      <c r="H219" s="52" t="s">
        <v>2370</v>
      </c>
      <c r="I219" s="62">
        <v>213.0</v>
      </c>
      <c r="J219" s="62">
        <v>1.0</v>
      </c>
      <c r="K219" s="64" t="s">
        <v>1862</v>
      </c>
      <c r="L219" s="64" t="s">
        <v>831</v>
      </c>
      <c r="M219" s="65">
        <v>114569.0</v>
      </c>
      <c r="N219" s="65">
        <v>114569.0</v>
      </c>
      <c r="O219" s="65">
        <v>114569.0</v>
      </c>
      <c r="P219" s="295" t="s">
        <v>811</v>
      </c>
      <c r="Q219" s="68" t="s">
        <v>812</v>
      </c>
      <c r="R219" s="68" t="s">
        <v>197</v>
      </c>
      <c r="S219" s="40" t="s">
        <v>2371</v>
      </c>
      <c r="T219" s="83" t="s">
        <v>2372</v>
      </c>
      <c r="U219" s="76" t="s">
        <v>153</v>
      </c>
      <c r="V219" s="189"/>
    </row>
    <row r="220">
      <c r="A220" s="82" t="s">
        <v>2373</v>
      </c>
      <c r="B220" s="40" t="s">
        <v>218</v>
      </c>
      <c r="C220" s="55" t="s">
        <v>2374</v>
      </c>
      <c r="D220" s="40" t="s">
        <v>153</v>
      </c>
      <c r="E220" s="40" t="s">
        <v>2375</v>
      </c>
      <c r="F220" s="40" t="s">
        <v>197</v>
      </c>
      <c r="G220" s="52" t="s">
        <v>2376</v>
      </c>
      <c r="H220" s="61" t="s">
        <v>2377</v>
      </c>
      <c r="I220" s="62">
        <v>180.0</v>
      </c>
      <c r="J220" s="62">
        <v>4.0</v>
      </c>
      <c r="K220" s="64" t="s">
        <v>1147</v>
      </c>
      <c r="L220" s="64" t="s">
        <v>2378</v>
      </c>
      <c r="M220" s="65">
        <v>495478.0</v>
      </c>
      <c r="N220" s="65">
        <v>123869.5</v>
      </c>
      <c r="O220" s="65">
        <v>114197.5</v>
      </c>
      <c r="P220" s="295" t="s">
        <v>811</v>
      </c>
      <c r="Q220" s="68" t="s">
        <v>112</v>
      </c>
      <c r="R220" s="68" t="s">
        <v>116</v>
      </c>
      <c r="S220" s="40" t="s">
        <v>2379</v>
      </c>
      <c r="T220" s="40" t="s">
        <v>2380</v>
      </c>
      <c r="U220" s="76" t="s">
        <v>153</v>
      </c>
    </row>
    <row r="221">
      <c r="A221" s="70" t="s">
        <v>2381</v>
      </c>
      <c r="B221" s="77" t="s">
        <v>179</v>
      </c>
      <c r="C221" s="52" t="s">
        <v>2382</v>
      </c>
      <c r="D221" s="40" t="s">
        <v>153</v>
      </c>
      <c r="E221" s="52" t="s">
        <v>2383</v>
      </c>
      <c r="F221" s="40" t="s">
        <v>197</v>
      </c>
      <c r="G221" s="55" t="s">
        <v>2384</v>
      </c>
      <c r="H221" s="61" t="s">
        <v>2385</v>
      </c>
      <c r="I221" s="62">
        <v>500.0</v>
      </c>
      <c r="J221" s="62">
        <v>1.0</v>
      </c>
      <c r="K221" s="64" t="s">
        <v>1070</v>
      </c>
      <c r="L221" s="64" t="s">
        <v>1070</v>
      </c>
      <c r="M221" s="65">
        <v>53577.0</v>
      </c>
      <c r="N221" s="65">
        <v>53577.0</v>
      </c>
      <c r="O221" s="65">
        <v>53577.0</v>
      </c>
      <c r="P221" s="295" t="s">
        <v>811</v>
      </c>
      <c r="Q221" s="68" t="s">
        <v>112</v>
      </c>
      <c r="R221" s="68" t="s">
        <v>116</v>
      </c>
      <c r="S221" s="18" t="s">
        <v>2386</v>
      </c>
      <c r="T221" s="18" t="s">
        <v>2387</v>
      </c>
      <c r="U221" s="76" t="s">
        <v>2388</v>
      </c>
    </row>
    <row r="222">
      <c r="A222" s="100" t="s">
        <v>2389</v>
      </c>
      <c r="B222" s="18" t="s">
        <v>2390</v>
      </c>
      <c r="C222" s="199" t="s">
        <v>2391</v>
      </c>
      <c r="D222" s="18" t="s">
        <v>153</v>
      </c>
      <c r="E222" s="18" t="s">
        <v>2392</v>
      </c>
      <c r="F222" s="199" t="s">
        <v>2393</v>
      </c>
      <c r="G222" s="64" t="s">
        <v>153</v>
      </c>
      <c r="H222" s="71" t="s">
        <v>2394</v>
      </c>
      <c r="I222" s="64" t="s">
        <v>153</v>
      </c>
      <c r="J222" s="62">
        <v>46.0</v>
      </c>
      <c r="K222" s="62" t="s">
        <v>1349</v>
      </c>
      <c r="L222" s="64" t="s">
        <v>2395</v>
      </c>
      <c r="M222" s="65">
        <v>304713.0</v>
      </c>
      <c r="N222" s="65">
        <v>6624.19565217391</v>
      </c>
      <c r="O222" s="65">
        <v>4434.0</v>
      </c>
      <c r="P222" s="295" t="s">
        <v>811</v>
      </c>
      <c r="Q222" s="122" t="s">
        <v>112</v>
      </c>
      <c r="R222" s="68" t="s">
        <v>197</v>
      </c>
      <c r="S222" s="64" t="s">
        <v>2396</v>
      </c>
      <c r="T222" s="18" t="s">
        <v>2397</v>
      </c>
      <c r="U222" s="76" t="s">
        <v>2398</v>
      </c>
    </row>
    <row r="223">
      <c r="A223" s="88" t="s">
        <v>2399</v>
      </c>
      <c r="B223" s="18" t="s">
        <v>179</v>
      </c>
      <c r="C223" s="71" t="s">
        <v>2400</v>
      </c>
      <c r="D223" s="191"/>
      <c r="E223" s="192" t="s">
        <v>2401</v>
      </c>
      <c r="F223" s="191"/>
      <c r="G223" s="192" t="s">
        <v>2402</v>
      </c>
      <c r="H223" s="192" t="s">
        <v>2403</v>
      </c>
      <c r="I223" s="62" t="s">
        <v>2404</v>
      </c>
      <c r="J223" s="62">
        <v>2.0</v>
      </c>
      <c r="K223" s="62" t="s">
        <v>736</v>
      </c>
      <c r="L223" s="62" t="s">
        <v>2094</v>
      </c>
      <c r="M223" s="65">
        <v>1.3575376E7</v>
      </c>
      <c r="N223" s="65">
        <v>6787688.0</v>
      </c>
      <c r="O223" s="65">
        <v>6787688.0</v>
      </c>
      <c r="P223" s="68" t="s">
        <v>811</v>
      </c>
      <c r="Q223" s="68" t="s">
        <v>112</v>
      </c>
      <c r="R223" s="68" t="s">
        <v>197</v>
      </c>
      <c r="S223" s="64" t="s">
        <v>2405</v>
      </c>
      <c r="T223" s="64" t="s">
        <v>2406</v>
      </c>
      <c r="U223" s="90" t="s">
        <v>2407</v>
      </c>
      <c r="V223" s="191"/>
      <c r="W223" s="191"/>
      <c r="X223" s="191"/>
      <c r="Y223" s="191"/>
      <c r="Z223" s="191"/>
      <c r="AA223" s="191"/>
      <c r="AB223" s="122"/>
      <c r="AC223" s="122"/>
      <c r="AD223" s="122"/>
      <c r="AE223" s="122"/>
      <c r="AF223" s="122"/>
      <c r="AG223" s="122"/>
      <c r="AH223" s="122"/>
      <c r="AI223" s="122"/>
      <c r="AJ223" s="122"/>
      <c r="AK223" s="122"/>
      <c r="AL223" s="122"/>
      <c r="AM223" s="122"/>
      <c r="AN223" s="122"/>
    </row>
    <row r="224">
      <c r="A224" s="88" t="s">
        <v>2408</v>
      </c>
      <c r="B224" s="18" t="s">
        <v>254</v>
      </c>
      <c r="C224" s="71" t="s">
        <v>2409</v>
      </c>
      <c r="D224" s="64"/>
      <c r="E224" s="64" t="s">
        <v>2410</v>
      </c>
      <c r="F224" s="71" t="s">
        <v>2411</v>
      </c>
      <c r="G224" s="190" t="s">
        <v>2412</v>
      </c>
      <c r="H224" s="190" t="s">
        <v>2413</v>
      </c>
      <c r="I224" s="62">
        <v>0.0</v>
      </c>
      <c r="J224" s="62">
        <v>2.0</v>
      </c>
      <c r="K224" s="62" t="s">
        <v>2414</v>
      </c>
      <c r="L224" s="62" t="s">
        <v>1058</v>
      </c>
      <c r="M224" s="65">
        <v>2524.0</v>
      </c>
      <c r="N224" s="65">
        <v>1262.0</v>
      </c>
      <c r="O224" s="65">
        <v>1262.0</v>
      </c>
      <c r="P224" s="295" t="s">
        <v>1915</v>
      </c>
      <c r="Q224" s="68" t="s">
        <v>112</v>
      </c>
      <c r="R224" s="68" t="s">
        <v>197</v>
      </c>
      <c r="S224" s="64" t="s">
        <v>2415</v>
      </c>
      <c r="T224" s="64" t="s">
        <v>2416</v>
      </c>
      <c r="U224" s="90" t="s">
        <v>2417</v>
      </c>
      <c r="V224" s="122"/>
      <c r="W224" s="122"/>
      <c r="X224" s="122"/>
      <c r="Y224" s="122"/>
      <c r="Z224" s="122"/>
      <c r="AA224" s="122"/>
      <c r="AB224" s="122"/>
      <c r="AC224" s="122"/>
      <c r="AD224" s="122"/>
      <c r="AE224" s="122"/>
      <c r="AF224" s="122"/>
      <c r="AG224" s="122"/>
      <c r="AH224" s="122"/>
      <c r="AI224" s="122"/>
      <c r="AJ224" s="122"/>
      <c r="AK224" s="122"/>
      <c r="AL224" s="122"/>
      <c r="AM224" s="122"/>
      <c r="AN224" s="122"/>
    </row>
    <row r="225">
      <c r="A225" s="88" t="s">
        <v>2418</v>
      </c>
      <c r="B225" s="64" t="s">
        <v>2419</v>
      </c>
      <c r="C225" s="125" t="s">
        <v>2420</v>
      </c>
      <c r="D225" s="18"/>
      <c r="E225" s="204" t="s">
        <v>2421</v>
      </c>
      <c r="F225" s="125" t="s">
        <v>2422</v>
      </c>
      <c r="G225" s="199" t="s">
        <v>2423</v>
      </c>
      <c r="H225" s="126" t="s">
        <v>2424</v>
      </c>
      <c r="I225" s="127">
        <v>68.0</v>
      </c>
      <c r="J225" s="127">
        <v>1.0</v>
      </c>
      <c r="K225" s="127" t="s">
        <v>841</v>
      </c>
      <c r="L225" s="129" t="s">
        <v>841</v>
      </c>
      <c r="M225" s="182">
        <v>29968.0</v>
      </c>
      <c r="N225" s="182">
        <v>29968.0</v>
      </c>
      <c r="O225" s="182">
        <v>29968.0</v>
      </c>
      <c r="P225" s="68" t="s">
        <v>811</v>
      </c>
      <c r="Q225" s="68" t="s">
        <v>112</v>
      </c>
      <c r="R225" s="74" t="s">
        <v>118</v>
      </c>
      <c r="S225" s="129" t="s">
        <v>2425</v>
      </c>
      <c r="T225" s="129" t="s">
        <v>2426</v>
      </c>
      <c r="U225" s="69" t="s">
        <v>2427</v>
      </c>
      <c r="V225" s="131"/>
      <c r="W225" s="131"/>
      <c r="X225" s="131"/>
      <c r="Y225" s="131"/>
      <c r="Z225" s="131"/>
      <c r="AA225" s="131"/>
      <c r="AB225" s="131"/>
      <c r="AC225" s="131"/>
      <c r="AD225" s="131"/>
      <c r="AE225" s="131"/>
      <c r="AF225" s="131"/>
      <c r="AG225" s="131"/>
      <c r="AH225" s="131"/>
      <c r="AI225" s="131"/>
      <c r="AJ225" s="131"/>
      <c r="AK225" s="131"/>
      <c r="AL225" s="131"/>
      <c r="AM225" s="131"/>
      <c r="AN225" s="131"/>
    </row>
    <row r="226">
      <c r="A226" s="82" t="s">
        <v>2428</v>
      </c>
      <c r="B226" s="40" t="s">
        <v>218</v>
      </c>
      <c r="C226" s="55" t="s">
        <v>2429</v>
      </c>
      <c r="D226" s="40" t="s">
        <v>153</v>
      </c>
      <c r="E226" s="55" t="s">
        <v>2430</v>
      </c>
      <c r="F226" s="52" t="s">
        <v>2431</v>
      </c>
      <c r="G226" s="52" t="s">
        <v>2432</v>
      </c>
      <c r="H226" s="61" t="s">
        <v>2433</v>
      </c>
      <c r="I226" s="62" t="s">
        <v>989</v>
      </c>
      <c r="J226" s="62">
        <v>12.0</v>
      </c>
      <c r="K226" s="64" t="s">
        <v>2434</v>
      </c>
      <c r="L226" s="64" t="s">
        <v>1934</v>
      </c>
      <c r="M226" s="65">
        <v>2847426.0</v>
      </c>
      <c r="N226" s="65">
        <v>237285.5</v>
      </c>
      <c r="O226" s="65">
        <v>47846.5</v>
      </c>
      <c r="P226" s="295" t="s">
        <v>811</v>
      </c>
      <c r="Q226" s="68" t="s">
        <v>812</v>
      </c>
      <c r="R226" s="68" t="s">
        <v>118</v>
      </c>
      <c r="S226" s="40" t="s">
        <v>2436</v>
      </c>
      <c r="T226" s="40" t="s">
        <v>2437</v>
      </c>
      <c r="U226" s="76" t="s">
        <v>2438</v>
      </c>
    </row>
    <row r="227">
      <c r="A227" s="49" t="s">
        <v>2439</v>
      </c>
      <c r="B227" s="203" t="s">
        <v>218</v>
      </c>
      <c r="C227" s="116" t="s">
        <v>2440</v>
      </c>
      <c r="D227" s="203" t="s">
        <v>153</v>
      </c>
      <c r="E227" s="203" t="s">
        <v>2441</v>
      </c>
      <c r="F227" s="203" t="s">
        <v>197</v>
      </c>
      <c r="G227" s="116" t="s">
        <v>2442</v>
      </c>
      <c r="H227" s="61" t="s">
        <v>2443</v>
      </c>
      <c r="I227" s="62">
        <v>71.0</v>
      </c>
      <c r="J227" s="62">
        <v>3.0</v>
      </c>
      <c r="K227" s="64" t="s">
        <v>353</v>
      </c>
      <c r="L227" s="64" t="s">
        <v>1102</v>
      </c>
      <c r="M227" s="65">
        <v>6401.0</v>
      </c>
      <c r="N227" s="65">
        <v>2133.66666666666</v>
      </c>
      <c r="O227" s="65">
        <v>1132.0</v>
      </c>
      <c r="P227" s="295" t="s">
        <v>1915</v>
      </c>
      <c r="Q227" s="122" t="s">
        <v>112</v>
      </c>
      <c r="R227" s="68" t="s">
        <v>197</v>
      </c>
      <c r="S227" s="25" t="s">
        <v>2444</v>
      </c>
      <c r="T227" s="203" t="s">
        <v>2445</v>
      </c>
      <c r="U227" s="244" t="s">
        <v>2446</v>
      </c>
      <c r="V227" s="27"/>
      <c r="W227" s="27"/>
      <c r="X227" s="27"/>
      <c r="Y227" s="27"/>
      <c r="Z227" s="27"/>
      <c r="AA227" s="27"/>
      <c r="AB227" s="27"/>
      <c r="AC227" s="27"/>
      <c r="AD227" s="27"/>
      <c r="AE227" s="27"/>
      <c r="AF227" s="27"/>
      <c r="AG227" s="27"/>
      <c r="AH227" s="27"/>
      <c r="AI227" s="27"/>
      <c r="AJ227" s="27"/>
      <c r="AK227" s="27"/>
      <c r="AL227" s="27"/>
      <c r="AM227" s="27"/>
      <c r="AN227" s="27"/>
    </row>
    <row r="228" ht="15.75" customHeight="1">
      <c r="A228" s="88" t="s">
        <v>2447</v>
      </c>
      <c r="B228" s="40" t="s">
        <v>2448</v>
      </c>
      <c r="C228" s="190" t="s">
        <v>2449</v>
      </c>
      <c r="D228" s="68" t="s">
        <v>153</v>
      </c>
      <c r="E228" s="64" t="s">
        <v>2450</v>
      </c>
      <c r="F228" s="71" t="str">
        <f>HYPERLINK("https://www.linkedin.com/in/akiszachariadis","Akis Zachariadis")</f>
        <v>Akis Zachariadis</v>
      </c>
      <c r="G228" s="192" t="s">
        <v>2451</v>
      </c>
      <c r="H228" s="190" t="s">
        <v>2452</v>
      </c>
      <c r="I228" s="62">
        <v>104.0</v>
      </c>
      <c r="J228" s="62">
        <v>2.0</v>
      </c>
      <c r="K228" s="62" t="s">
        <v>2453</v>
      </c>
      <c r="L228" s="62" t="s">
        <v>1723</v>
      </c>
      <c r="M228" s="65">
        <v>11267.0</v>
      </c>
      <c r="N228" s="65">
        <v>5633.5</v>
      </c>
      <c r="O228" s="65">
        <v>5633.5</v>
      </c>
      <c r="P228" s="295" t="s">
        <v>811</v>
      </c>
      <c r="Q228" s="68" t="s">
        <v>112</v>
      </c>
      <c r="R228" s="68" t="s">
        <v>197</v>
      </c>
      <c r="S228" s="64" t="s">
        <v>2454</v>
      </c>
      <c r="T228" s="64" t="s">
        <v>2455</v>
      </c>
      <c r="U228" s="90" t="s">
        <v>153</v>
      </c>
      <c r="V228" s="122"/>
      <c r="W228" s="122"/>
      <c r="X228" s="122"/>
      <c r="Y228" s="122"/>
      <c r="Z228" s="122"/>
      <c r="AA228" s="122"/>
      <c r="AB228" s="122"/>
      <c r="AC228" s="122"/>
      <c r="AD228" s="122"/>
      <c r="AE228" s="122"/>
      <c r="AF228" s="122"/>
      <c r="AG228" s="122"/>
      <c r="AH228" s="122"/>
      <c r="AI228" s="122"/>
      <c r="AJ228" s="122"/>
      <c r="AK228" s="122"/>
      <c r="AL228" s="122"/>
      <c r="AM228" s="122"/>
      <c r="AN228" s="122"/>
    </row>
    <row r="229">
      <c r="A229" s="100" t="s">
        <v>2456</v>
      </c>
      <c r="B229" s="18" t="s">
        <v>179</v>
      </c>
      <c r="C229" s="52" t="s">
        <v>2457</v>
      </c>
      <c r="D229" s="18" t="s">
        <v>153</v>
      </c>
      <c r="E229" s="18" t="s">
        <v>2458</v>
      </c>
      <c r="F229" s="162" t="s">
        <v>2459</v>
      </c>
      <c r="G229" s="329" t="s">
        <v>2460</v>
      </c>
      <c r="H229" s="61" t="s">
        <v>2461</v>
      </c>
      <c r="I229" s="62" t="s">
        <v>283</v>
      </c>
      <c r="J229" s="62">
        <v>1.0</v>
      </c>
      <c r="K229" s="64" t="s">
        <v>2395</v>
      </c>
      <c r="L229" s="64" t="s">
        <v>2395</v>
      </c>
      <c r="M229" s="65">
        <v>1390030.0</v>
      </c>
      <c r="N229" s="65">
        <v>1390030.0</v>
      </c>
      <c r="O229" s="65">
        <v>1390030.0</v>
      </c>
      <c r="P229" s="295" t="s">
        <v>811</v>
      </c>
      <c r="Q229" s="68" t="s">
        <v>112</v>
      </c>
      <c r="R229" s="68" t="s">
        <v>197</v>
      </c>
      <c r="S229" s="18" t="s">
        <v>2462</v>
      </c>
      <c r="T229" s="18" t="s">
        <v>2463</v>
      </c>
      <c r="U229" s="76" t="s">
        <v>2464</v>
      </c>
      <c r="V229" s="22"/>
      <c r="W229" s="22"/>
      <c r="X229" s="22"/>
      <c r="Y229" s="22"/>
      <c r="Z229" s="22"/>
      <c r="AA229" s="22"/>
      <c r="AB229" s="22"/>
      <c r="AC229" s="22"/>
      <c r="AD229" s="22"/>
      <c r="AE229" s="22"/>
      <c r="AF229" s="22"/>
      <c r="AG229" s="22"/>
      <c r="AH229" s="22"/>
      <c r="AI229" s="22"/>
      <c r="AJ229" s="22"/>
      <c r="AK229" s="22"/>
      <c r="AL229" s="22"/>
      <c r="AM229" s="22"/>
      <c r="AN229" s="22"/>
    </row>
    <row r="230">
      <c r="A230" s="100" t="s">
        <v>2465</v>
      </c>
      <c r="B230" s="18" t="s">
        <v>469</v>
      </c>
      <c r="C230" s="52" t="s">
        <v>2466</v>
      </c>
      <c r="D230" s="40" t="s">
        <v>153</v>
      </c>
      <c r="E230" s="210" t="s">
        <v>2467</v>
      </c>
      <c r="F230" s="52" t="s">
        <v>2468</v>
      </c>
      <c r="G230" s="52" t="s">
        <v>2469</v>
      </c>
      <c r="H230" s="61" t="s">
        <v>2470</v>
      </c>
      <c r="I230" s="62">
        <v>165.0</v>
      </c>
      <c r="J230" s="62">
        <v>1.0</v>
      </c>
      <c r="K230" s="64" t="s">
        <v>1262</v>
      </c>
      <c r="L230" s="64" t="s">
        <v>2471</v>
      </c>
      <c r="M230" s="65">
        <v>105134.0</v>
      </c>
      <c r="N230" s="65">
        <v>105134.0</v>
      </c>
      <c r="O230" s="65">
        <v>105134.0</v>
      </c>
      <c r="P230" s="295" t="s">
        <v>811</v>
      </c>
      <c r="Q230" s="68" t="s">
        <v>112</v>
      </c>
      <c r="R230" s="68" t="s">
        <v>197</v>
      </c>
      <c r="S230" s="40" t="s">
        <v>2472</v>
      </c>
      <c r="T230" s="40" t="s">
        <v>2473</v>
      </c>
      <c r="U230" s="74" t="s">
        <v>2474</v>
      </c>
    </row>
    <row r="231">
      <c r="A231" s="82" t="s">
        <v>2475</v>
      </c>
      <c r="B231" s="40" t="s">
        <v>243</v>
      </c>
      <c r="C231" s="52" t="s">
        <v>2476</v>
      </c>
      <c r="D231" s="40" t="s">
        <v>153</v>
      </c>
      <c r="E231" s="40" t="s">
        <v>2477</v>
      </c>
      <c r="F231" s="40" t="s">
        <v>197</v>
      </c>
      <c r="G231" s="52" t="s">
        <v>2478</v>
      </c>
      <c r="H231" s="61" t="s">
        <v>2479</v>
      </c>
      <c r="I231" s="62" t="s">
        <v>863</v>
      </c>
      <c r="J231" s="62">
        <v>1.0</v>
      </c>
      <c r="K231" s="64" t="s">
        <v>1296</v>
      </c>
      <c r="L231" s="64" t="s">
        <v>1934</v>
      </c>
      <c r="M231" s="65">
        <v>176585.0</v>
      </c>
      <c r="N231" s="65">
        <v>176585.0</v>
      </c>
      <c r="O231" s="65">
        <v>176585.0</v>
      </c>
      <c r="P231" s="295" t="s">
        <v>811</v>
      </c>
      <c r="Q231" s="68" t="s">
        <v>812</v>
      </c>
      <c r="R231" s="68" t="s">
        <v>120</v>
      </c>
      <c r="S231" s="40" t="s">
        <v>2480</v>
      </c>
      <c r="T231" s="40" t="s">
        <v>2481</v>
      </c>
      <c r="U231" s="76" t="s">
        <v>2482</v>
      </c>
    </row>
    <row r="232">
      <c r="A232" s="100" t="s">
        <v>2483</v>
      </c>
      <c r="B232" s="18" t="s">
        <v>179</v>
      </c>
      <c r="C232" s="52" t="s">
        <v>2484</v>
      </c>
      <c r="D232" s="18"/>
      <c r="E232" s="162" t="s">
        <v>2485</v>
      </c>
      <c r="F232" s="176" t="s">
        <v>197</v>
      </c>
      <c r="G232" s="52" t="s">
        <v>2486</v>
      </c>
      <c r="H232" s="71" t="s">
        <v>2487</v>
      </c>
      <c r="I232" s="62">
        <v>688.0</v>
      </c>
      <c r="J232" s="62">
        <v>9.0</v>
      </c>
      <c r="K232" s="62" t="s">
        <v>1769</v>
      </c>
      <c r="L232" s="62" t="s">
        <v>2363</v>
      </c>
      <c r="M232" s="65">
        <v>494167.0</v>
      </c>
      <c r="N232" s="65">
        <v>54907.4444444444</v>
      </c>
      <c r="O232" s="65">
        <v>7366.0</v>
      </c>
      <c r="P232" s="295" t="s">
        <v>811</v>
      </c>
      <c r="Q232" s="68" t="s">
        <v>112</v>
      </c>
      <c r="R232" s="68" t="s">
        <v>197</v>
      </c>
      <c r="S232" s="83" t="s">
        <v>2488</v>
      </c>
      <c r="T232" s="18" t="s">
        <v>2489</v>
      </c>
      <c r="U232" s="76"/>
    </row>
    <row r="233">
      <c r="A233" s="88" t="s">
        <v>2490</v>
      </c>
      <c r="B233" s="18" t="s">
        <v>179</v>
      </c>
      <c r="C233" s="71" t="s">
        <v>2491</v>
      </c>
      <c r="D233" s="64" t="s">
        <v>153</v>
      </c>
      <c r="E233" s="190" t="s">
        <v>2492</v>
      </c>
      <c r="F233" s="71" t="s">
        <v>2493</v>
      </c>
      <c r="G233" s="120" t="s">
        <v>2494</v>
      </c>
      <c r="H233" s="190" t="s">
        <v>2495</v>
      </c>
      <c r="I233" s="62">
        <v>195.0</v>
      </c>
      <c r="J233" s="62">
        <v>1.0</v>
      </c>
      <c r="K233" s="62" t="s">
        <v>671</v>
      </c>
      <c r="L233" s="62" t="s">
        <v>671</v>
      </c>
      <c r="M233" s="65">
        <v>13412.0</v>
      </c>
      <c r="N233" s="65">
        <v>13412.0</v>
      </c>
      <c r="O233" s="65">
        <v>13412.0</v>
      </c>
      <c r="P233" s="68" t="s">
        <v>811</v>
      </c>
      <c r="Q233" s="68" t="s">
        <v>112</v>
      </c>
      <c r="R233" s="68" t="s">
        <v>197</v>
      </c>
      <c r="S233" s="64" t="s">
        <v>153</v>
      </c>
      <c r="T233" s="64" t="s">
        <v>2496</v>
      </c>
      <c r="U233" s="90" t="s">
        <v>2497</v>
      </c>
      <c r="V233" s="191"/>
      <c r="W233" s="191"/>
      <c r="X233" s="191"/>
      <c r="Y233" s="191"/>
      <c r="Z233" s="191"/>
      <c r="AA233" s="191"/>
      <c r="AB233" s="191"/>
      <c r="AC233" s="191"/>
      <c r="AD233" s="191"/>
      <c r="AE233" s="191"/>
      <c r="AF233" s="191"/>
      <c r="AG233" s="191"/>
      <c r="AH233" s="191"/>
      <c r="AI233" s="191"/>
      <c r="AJ233" s="191"/>
      <c r="AK233" s="191"/>
      <c r="AL233" s="191"/>
      <c r="AM233" s="191"/>
      <c r="AN233" s="191"/>
    </row>
    <row r="234">
      <c r="A234" s="82" t="s">
        <v>2498</v>
      </c>
      <c r="B234" s="40" t="s">
        <v>469</v>
      </c>
      <c r="C234" s="55" t="s">
        <v>2499</v>
      </c>
      <c r="D234" s="52" t="s">
        <v>2499</v>
      </c>
      <c r="E234" s="52" t="s">
        <v>2500</v>
      </c>
      <c r="F234" s="139" t="s">
        <v>2509</v>
      </c>
      <c r="G234" s="52" t="s">
        <v>2502</v>
      </c>
      <c r="H234" s="71" t="s">
        <v>2503</v>
      </c>
      <c r="I234" s="43" t="s">
        <v>283</v>
      </c>
      <c r="J234" s="62">
        <v>171.0</v>
      </c>
      <c r="K234" s="64" t="s">
        <v>2504</v>
      </c>
      <c r="L234" s="64" t="s">
        <v>2505</v>
      </c>
      <c r="M234" s="65">
        <v>5.43923805E8</v>
      </c>
      <c r="N234" s="65">
        <v>3180840.96491228</v>
      </c>
      <c r="O234" s="65">
        <v>372690.0</v>
      </c>
      <c r="P234" s="65" t="s">
        <v>189</v>
      </c>
      <c r="Q234" s="64" t="s">
        <v>141</v>
      </c>
      <c r="R234" s="68" t="s">
        <v>116</v>
      </c>
      <c r="S234" s="40" t="s">
        <v>2506</v>
      </c>
      <c r="T234" s="40" t="s">
        <v>2507</v>
      </c>
      <c r="U234" s="74" t="s">
        <v>2508</v>
      </c>
    </row>
    <row r="235">
      <c r="A235" s="331"/>
      <c r="B235" s="18"/>
      <c r="C235" s="219"/>
      <c r="D235" s="220"/>
      <c r="E235" s="219"/>
      <c r="F235" s="220"/>
      <c r="G235" s="219"/>
      <c r="I235" s="319"/>
      <c r="M235" s="304"/>
      <c r="N235" s="300"/>
      <c r="O235" s="300"/>
      <c r="P235" s="68"/>
      <c r="Q235" s="122"/>
      <c r="R235" s="122"/>
      <c r="S235" s="220"/>
      <c r="T235" s="220"/>
      <c r="U235" s="206"/>
      <c r="V235" s="27"/>
      <c r="W235" s="27"/>
      <c r="X235" s="27"/>
      <c r="Y235" s="27"/>
      <c r="Z235" s="27"/>
      <c r="AA235" s="27"/>
      <c r="AB235" s="27"/>
      <c r="AC235" s="27"/>
      <c r="AD235" s="27"/>
      <c r="AE235" s="27"/>
      <c r="AF235" s="27"/>
    </row>
    <row r="236">
      <c r="A236" s="189"/>
      <c r="B236" s="22"/>
      <c r="C236" s="22"/>
      <c r="D236" s="22"/>
      <c r="E236" s="22"/>
      <c r="F236" s="22"/>
      <c r="G236" s="22"/>
      <c r="H236" s="22"/>
      <c r="I236" s="266"/>
      <c r="J236" s="272"/>
      <c r="K236" s="272"/>
      <c r="L236" s="272"/>
      <c r="M236" s="273"/>
      <c r="N236" s="273"/>
      <c r="O236" s="273"/>
      <c r="P236" s="27"/>
      <c r="Q236" s="27"/>
      <c r="R236" s="27"/>
      <c r="S236" s="22"/>
      <c r="T236" s="22"/>
      <c r="U236" s="28"/>
    </row>
    <row r="237">
      <c r="A237" s="189"/>
      <c r="B237" s="22"/>
      <c r="C237" s="22"/>
      <c r="D237" s="22"/>
      <c r="E237" s="22"/>
      <c r="F237" s="22"/>
      <c r="G237" s="22"/>
      <c r="H237" s="22"/>
      <c r="I237" s="266"/>
      <c r="J237" s="272"/>
      <c r="K237" s="272"/>
      <c r="L237" s="272"/>
      <c r="M237" s="273"/>
      <c r="N237" s="273"/>
      <c r="O237" s="273"/>
      <c r="P237" s="27"/>
      <c r="Q237" s="27"/>
      <c r="R237" s="27"/>
      <c r="S237" s="22"/>
      <c r="T237" s="22"/>
      <c r="U237" s="28"/>
    </row>
    <row r="238">
      <c r="A238" s="189"/>
      <c r="B238" s="22"/>
      <c r="C238" s="22"/>
      <c r="D238" s="22"/>
      <c r="E238" s="22"/>
      <c r="F238" s="22"/>
      <c r="G238" s="22"/>
      <c r="H238" s="22"/>
      <c r="I238" s="266"/>
      <c r="J238" s="272"/>
      <c r="K238" s="272"/>
      <c r="L238" s="272"/>
      <c r="M238" s="273"/>
      <c r="N238" s="273"/>
      <c r="O238" s="273"/>
      <c r="P238" s="27"/>
      <c r="Q238" s="27"/>
      <c r="R238" s="27"/>
      <c r="S238" s="22"/>
      <c r="T238" s="22"/>
      <c r="U238" s="28"/>
    </row>
    <row r="239">
      <c r="A239" s="189"/>
      <c r="B239" s="22"/>
      <c r="C239" s="22"/>
      <c r="D239" s="22"/>
      <c r="E239" s="22"/>
      <c r="F239" s="22"/>
      <c r="G239" s="22"/>
      <c r="H239" s="22"/>
      <c r="I239" s="266"/>
      <c r="J239" s="272"/>
      <c r="K239" s="272"/>
      <c r="L239" s="272"/>
      <c r="M239" s="273"/>
      <c r="N239" s="273"/>
      <c r="O239" s="273"/>
      <c r="P239" s="27"/>
      <c r="Q239" s="27"/>
      <c r="R239" s="27"/>
      <c r="S239" s="22"/>
      <c r="T239" s="22"/>
      <c r="U239" s="28"/>
    </row>
    <row r="240">
      <c r="A240" s="189"/>
      <c r="B240" s="22"/>
      <c r="C240" s="22"/>
      <c r="D240" s="22"/>
      <c r="E240" s="22"/>
      <c r="F240" s="22"/>
      <c r="G240" s="22"/>
      <c r="H240" s="22"/>
      <c r="I240" s="266"/>
      <c r="J240" s="272"/>
      <c r="K240" s="272"/>
      <c r="L240" s="272"/>
      <c r="M240" s="273"/>
      <c r="N240" s="273"/>
      <c r="O240" s="273"/>
      <c r="P240" s="27"/>
      <c r="Q240" s="27"/>
      <c r="R240" s="27"/>
      <c r="S240" s="22"/>
      <c r="T240" s="22"/>
      <c r="U240" s="28"/>
    </row>
    <row r="241">
      <c r="A241" s="189"/>
      <c r="B241" s="22"/>
      <c r="C241" s="22"/>
      <c r="D241" s="22"/>
      <c r="E241" s="22"/>
      <c r="F241" s="22"/>
      <c r="G241" s="22"/>
      <c r="H241" s="22"/>
      <c r="I241" s="266"/>
      <c r="J241" s="272"/>
      <c r="K241" s="272"/>
      <c r="L241" s="272"/>
      <c r="M241" s="273"/>
      <c r="N241" s="273"/>
      <c r="O241" s="273"/>
      <c r="P241" s="27"/>
      <c r="Q241" s="27"/>
      <c r="R241" s="27"/>
      <c r="S241" s="22"/>
      <c r="T241" s="22"/>
      <c r="U241" s="28"/>
    </row>
    <row r="242">
      <c r="A242" s="189"/>
      <c r="B242" s="22"/>
      <c r="C242" s="22"/>
      <c r="D242" s="22"/>
      <c r="E242" s="22"/>
      <c r="F242" s="22"/>
      <c r="G242" s="22"/>
      <c r="H242" s="22"/>
      <c r="I242" s="266"/>
      <c r="J242" s="272"/>
      <c r="K242" s="272"/>
      <c r="L242" s="272"/>
      <c r="M242" s="273"/>
      <c r="N242" s="273"/>
      <c r="O242" s="273"/>
      <c r="P242" s="27"/>
      <c r="Q242" s="27"/>
      <c r="R242" s="27"/>
      <c r="S242" s="22"/>
      <c r="T242" s="22"/>
      <c r="U242" s="28"/>
    </row>
    <row r="243">
      <c r="A243" s="189"/>
      <c r="B243" s="22"/>
      <c r="C243" s="22"/>
      <c r="D243" s="22"/>
      <c r="E243" s="22"/>
      <c r="F243" s="22"/>
      <c r="G243" s="22"/>
      <c r="H243" s="22"/>
      <c r="I243" s="266"/>
      <c r="J243" s="272"/>
      <c r="K243" s="272"/>
      <c r="L243" s="272"/>
      <c r="M243" s="273"/>
      <c r="N243" s="273"/>
      <c r="O243" s="273"/>
      <c r="P243" s="27"/>
      <c r="Q243" s="27"/>
      <c r="R243" s="27"/>
      <c r="S243" s="22"/>
      <c r="T243" s="22"/>
      <c r="U243" s="28"/>
    </row>
    <row r="244">
      <c r="A244" s="189"/>
      <c r="B244" s="22"/>
      <c r="C244" s="22"/>
      <c r="D244" s="22"/>
      <c r="E244" s="22"/>
      <c r="F244" s="22"/>
      <c r="G244" s="22"/>
      <c r="H244" s="22"/>
      <c r="I244" s="266"/>
      <c r="J244" s="272"/>
      <c r="K244" s="272"/>
      <c r="L244" s="272"/>
      <c r="M244" s="273"/>
      <c r="N244" s="273"/>
      <c r="O244" s="273"/>
      <c r="P244" s="27"/>
      <c r="Q244" s="27"/>
      <c r="R244" s="27"/>
      <c r="S244" s="22"/>
      <c r="T244" s="22"/>
      <c r="U244" s="28"/>
    </row>
    <row r="245">
      <c r="A245" s="189"/>
      <c r="B245" s="22"/>
      <c r="C245" s="22"/>
      <c r="D245" s="22"/>
      <c r="E245" s="22"/>
      <c r="F245" s="22"/>
      <c r="G245" s="22"/>
      <c r="H245" s="22"/>
      <c r="I245" s="266"/>
      <c r="J245" s="272"/>
      <c r="K245" s="272"/>
      <c r="L245" s="272"/>
      <c r="M245" s="273"/>
      <c r="N245" s="273"/>
      <c r="O245" s="273"/>
      <c r="P245" s="27"/>
      <c r="Q245" s="27"/>
      <c r="R245" s="27"/>
      <c r="S245" s="22"/>
      <c r="T245" s="22"/>
      <c r="U245" s="28"/>
    </row>
    <row r="246">
      <c r="A246" s="189"/>
      <c r="B246" s="22"/>
      <c r="C246" s="22"/>
      <c r="D246" s="22"/>
      <c r="E246" s="22"/>
      <c r="F246" s="22"/>
      <c r="G246" s="22"/>
      <c r="H246" s="22"/>
      <c r="I246" s="266"/>
      <c r="J246" s="272"/>
      <c r="K246" s="272"/>
      <c r="L246" s="272"/>
      <c r="M246" s="273"/>
      <c r="N246" s="273"/>
      <c r="O246" s="273"/>
      <c r="P246" s="27"/>
      <c r="Q246" s="27"/>
      <c r="R246" s="27"/>
      <c r="S246" s="22"/>
      <c r="T246" s="22"/>
      <c r="U246" s="28"/>
    </row>
    <row r="247">
      <c r="A247" s="189"/>
      <c r="B247" s="22"/>
      <c r="C247" s="22"/>
      <c r="D247" s="22"/>
      <c r="E247" s="22"/>
      <c r="F247" s="22"/>
      <c r="G247" s="22"/>
      <c r="H247" s="22"/>
      <c r="I247" s="266"/>
      <c r="J247" s="272"/>
      <c r="K247" s="272"/>
      <c r="L247" s="272"/>
      <c r="M247" s="273"/>
      <c r="N247" s="273"/>
      <c r="O247" s="273"/>
      <c r="P247" s="27"/>
      <c r="Q247" s="27"/>
      <c r="R247" s="27"/>
      <c r="S247" s="22"/>
      <c r="T247" s="22"/>
      <c r="U247" s="28"/>
    </row>
    <row r="248">
      <c r="A248" s="189"/>
      <c r="B248" s="22"/>
      <c r="C248" s="22"/>
      <c r="D248" s="22"/>
      <c r="E248" s="22"/>
      <c r="F248" s="22"/>
      <c r="G248" s="22"/>
      <c r="H248" s="22"/>
      <c r="I248" s="266"/>
      <c r="J248" s="272"/>
      <c r="K248" s="272"/>
      <c r="L248" s="272"/>
      <c r="M248" s="273"/>
      <c r="N248" s="273"/>
      <c r="O248" s="273"/>
      <c r="P248" s="27"/>
      <c r="Q248" s="27"/>
      <c r="R248" s="27"/>
      <c r="S248" s="22"/>
      <c r="T248" s="22"/>
      <c r="U248" s="28"/>
    </row>
    <row r="249">
      <c r="A249" s="189"/>
      <c r="B249" s="22"/>
      <c r="C249" s="22"/>
      <c r="D249" s="22"/>
      <c r="E249" s="22"/>
      <c r="F249" s="22"/>
      <c r="G249" s="22"/>
      <c r="H249" s="22"/>
      <c r="I249" s="266"/>
      <c r="J249" s="272"/>
      <c r="K249" s="272"/>
      <c r="L249" s="272"/>
      <c r="M249" s="273"/>
      <c r="N249" s="273"/>
      <c r="O249" s="273"/>
      <c r="P249" s="27"/>
      <c r="Q249" s="27"/>
      <c r="R249" s="27"/>
      <c r="S249" s="22"/>
      <c r="T249" s="22"/>
      <c r="U249" s="28"/>
    </row>
    <row r="250">
      <c r="A250" s="189"/>
      <c r="B250" s="22"/>
      <c r="C250" s="22"/>
      <c r="D250" s="22"/>
      <c r="E250" s="22"/>
      <c r="F250" s="22"/>
      <c r="G250" s="22"/>
      <c r="H250" s="22"/>
      <c r="I250" s="266"/>
      <c r="J250" s="272"/>
      <c r="K250" s="272"/>
      <c r="L250" s="272"/>
      <c r="M250" s="273"/>
      <c r="N250" s="273"/>
      <c r="O250" s="273"/>
      <c r="P250" s="27"/>
      <c r="Q250" s="27"/>
      <c r="R250" s="27"/>
      <c r="S250" s="22"/>
      <c r="T250" s="22"/>
      <c r="U250" s="28"/>
    </row>
    <row r="251">
      <c r="A251" s="189"/>
      <c r="B251" s="22"/>
      <c r="C251" s="22"/>
      <c r="D251" s="22"/>
      <c r="E251" s="22"/>
      <c r="F251" s="22"/>
      <c r="G251" s="22"/>
      <c r="H251" s="22"/>
      <c r="I251" s="266"/>
      <c r="J251" s="272"/>
      <c r="K251" s="272"/>
      <c r="L251" s="272"/>
      <c r="M251" s="273"/>
      <c r="N251" s="273"/>
      <c r="O251" s="273"/>
      <c r="P251" s="27"/>
      <c r="Q251" s="27"/>
      <c r="R251" s="27"/>
      <c r="S251" s="22"/>
      <c r="T251" s="22"/>
      <c r="U251" s="28"/>
    </row>
    <row r="252">
      <c r="A252" s="189"/>
      <c r="B252" s="22"/>
      <c r="C252" s="22"/>
      <c r="D252" s="22"/>
      <c r="E252" s="22"/>
      <c r="F252" s="22"/>
      <c r="G252" s="22"/>
      <c r="H252" s="22"/>
      <c r="I252" s="266"/>
      <c r="J252" s="272"/>
      <c r="K252" s="272"/>
      <c r="L252" s="272"/>
      <c r="M252" s="273"/>
      <c r="N252" s="273"/>
      <c r="O252" s="273"/>
      <c r="P252" s="27"/>
      <c r="Q252" s="27"/>
      <c r="R252" s="27"/>
      <c r="S252" s="22"/>
      <c r="T252" s="22"/>
      <c r="U252" s="28"/>
    </row>
    <row r="253">
      <c r="A253" s="189"/>
      <c r="B253" s="22"/>
      <c r="C253" s="22"/>
      <c r="D253" s="22"/>
      <c r="E253" s="22"/>
      <c r="F253" s="22"/>
      <c r="G253" s="22"/>
      <c r="H253" s="22"/>
      <c r="I253" s="266"/>
      <c r="J253" s="272"/>
      <c r="K253" s="272"/>
      <c r="L253" s="272"/>
      <c r="M253" s="273"/>
      <c r="N253" s="273"/>
      <c r="O253" s="273"/>
      <c r="P253" s="27"/>
      <c r="Q253" s="27"/>
      <c r="R253" s="27"/>
      <c r="S253" s="22"/>
      <c r="T253" s="22"/>
      <c r="U253" s="28"/>
    </row>
    <row r="254">
      <c r="A254" s="189"/>
      <c r="B254" s="22"/>
      <c r="C254" s="22"/>
      <c r="D254" s="22"/>
      <c r="E254" s="22"/>
      <c r="F254" s="22"/>
      <c r="G254" s="22"/>
      <c r="H254" s="22"/>
      <c r="I254" s="266"/>
      <c r="J254" s="272"/>
      <c r="K254" s="272"/>
      <c r="L254" s="272"/>
      <c r="M254" s="273"/>
      <c r="N254" s="273"/>
      <c r="O254" s="273"/>
      <c r="P254" s="27"/>
      <c r="Q254" s="27"/>
      <c r="R254" s="27"/>
      <c r="S254" s="22"/>
      <c r="T254" s="22"/>
      <c r="U254" s="28"/>
    </row>
    <row r="255">
      <c r="A255" s="189"/>
      <c r="B255" s="22"/>
      <c r="C255" s="22"/>
      <c r="D255" s="22"/>
      <c r="E255" s="22"/>
      <c r="F255" s="22"/>
      <c r="G255" s="22"/>
      <c r="H255" s="22"/>
      <c r="I255" s="266"/>
      <c r="J255" s="272"/>
      <c r="K255" s="272"/>
      <c r="L255" s="272"/>
      <c r="M255" s="273"/>
      <c r="N255" s="273"/>
      <c r="O255" s="273"/>
      <c r="P255" s="27"/>
      <c r="Q255" s="27"/>
      <c r="R255" s="27"/>
      <c r="S255" s="22"/>
      <c r="T255" s="22"/>
      <c r="U255" s="28"/>
    </row>
    <row r="256">
      <c r="A256" s="189"/>
      <c r="B256" s="22"/>
      <c r="C256" s="22"/>
      <c r="D256" s="22"/>
      <c r="E256" s="22"/>
      <c r="F256" s="22"/>
      <c r="G256" s="22"/>
      <c r="H256" s="22"/>
      <c r="I256" s="266"/>
      <c r="J256" s="272"/>
      <c r="K256" s="272"/>
      <c r="L256" s="272"/>
      <c r="M256" s="273"/>
      <c r="N256" s="273"/>
      <c r="O256" s="273"/>
      <c r="P256" s="27"/>
      <c r="Q256" s="27"/>
      <c r="R256" s="27"/>
      <c r="S256" s="22"/>
      <c r="T256" s="22"/>
      <c r="U256" s="28"/>
    </row>
    <row r="257">
      <c r="A257" s="189"/>
      <c r="B257" s="22"/>
      <c r="C257" s="22"/>
      <c r="D257" s="22"/>
      <c r="E257" s="22"/>
      <c r="F257" s="22"/>
      <c r="G257" s="22"/>
      <c r="H257" s="22"/>
      <c r="I257" s="266"/>
      <c r="J257" s="272"/>
      <c r="K257" s="272"/>
      <c r="L257" s="272"/>
      <c r="M257" s="273"/>
      <c r="N257" s="273"/>
      <c r="O257" s="273"/>
      <c r="P257" s="27"/>
      <c r="Q257" s="27"/>
      <c r="R257" s="27"/>
      <c r="S257" s="22"/>
      <c r="T257" s="22"/>
      <c r="U257" s="28"/>
    </row>
    <row r="258">
      <c r="A258" s="189"/>
      <c r="B258" s="22"/>
      <c r="C258" s="22"/>
      <c r="D258" s="22"/>
      <c r="E258" s="22"/>
      <c r="F258" s="22"/>
      <c r="G258" s="22"/>
      <c r="H258" s="22"/>
      <c r="I258" s="266"/>
      <c r="J258" s="272"/>
      <c r="K258" s="272"/>
      <c r="L258" s="272"/>
      <c r="M258" s="273"/>
      <c r="N258" s="273"/>
      <c r="O258" s="273"/>
      <c r="P258" s="27"/>
      <c r="Q258" s="27"/>
      <c r="R258" s="27"/>
      <c r="S258" s="22"/>
      <c r="T258" s="22"/>
      <c r="U258" s="28"/>
    </row>
    <row r="259">
      <c r="A259" s="189"/>
      <c r="B259" s="22"/>
      <c r="C259" s="22"/>
      <c r="D259" s="22"/>
      <c r="E259" s="22"/>
      <c r="F259" s="22"/>
      <c r="G259" s="22"/>
      <c r="H259" s="22"/>
      <c r="I259" s="266"/>
      <c r="J259" s="272"/>
      <c r="K259" s="272"/>
      <c r="L259" s="272"/>
      <c r="M259" s="273"/>
      <c r="N259" s="273"/>
      <c r="O259" s="273"/>
      <c r="P259" s="27"/>
      <c r="Q259" s="27"/>
      <c r="R259" s="27"/>
      <c r="S259" s="22"/>
      <c r="T259" s="22"/>
      <c r="U259" s="28"/>
    </row>
    <row r="260">
      <c r="A260" s="189"/>
      <c r="B260" s="22"/>
      <c r="C260" s="22"/>
      <c r="D260" s="22"/>
      <c r="E260" s="22"/>
      <c r="F260" s="22"/>
      <c r="G260" s="22"/>
      <c r="H260" s="22"/>
      <c r="I260" s="266"/>
      <c r="J260" s="272"/>
      <c r="K260" s="272"/>
      <c r="L260" s="272"/>
      <c r="M260" s="273"/>
      <c r="N260" s="273"/>
      <c r="O260" s="273"/>
      <c r="P260" s="27"/>
      <c r="Q260" s="27"/>
      <c r="R260" s="27"/>
      <c r="S260" s="22"/>
      <c r="T260" s="22"/>
      <c r="U260" s="28"/>
    </row>
    <row r="261">
      <c r="A261" s="189"/>
      <c r="B261" s="22"/>
      <c r="C261" s="22"/>
      <c r="D261" s="22"/>
      <c r="E261" s="22"/>
      <c r="F261" s="22"/>
      <c r="G261" s="22"/>
      <c r="H261" s="22"/>
      <c r="I261" s="266"/>
      <c r="J261" s="272"/>
      <c r="K261" s="272"/>
      <c r="L261" s="272"/>
      <c r="M261" s="273"/>
      <c r="N261" s="273"/>
      <c r="O261" s="273"/>
      <c r="P261" s="27"/>
      <c r="Q261" s="27"/>
      <c r="R261" s="27"/>
      <c r="S261" s="22"/>
      <c r="T261" s="22"/>
      <c r="U261" s="28"/>
    </row>
    <row r="262">
      <c r="A262" s="189"/>
      <c r="B262" s="22"/>
      <c r="C262" s="22"/>
      <c r="D262" s="22"/>
      <c r="E262" s="22"/>
      <c r="F262" s="22"/>
      <c r="G262" s="22"/>
      <c r="H262" s="22"/>
      <c r="I262" s="266"/>
      <c r="J262" s="272"/>
      <c r="K262" s="272"/>
      <c r="L262" s="272"/>
      <c r="M262" s="273"/>
      <c r="N262" s="273"/>
      <c r="O262" s="273"/>
      <c r="P262" s="27"/>
      <c r="Q262" s="27"/>
      <c r="R262" s="27"/>
      <c r="S262" s="22"/>
      <c r="T262" s="22"/>
      <c r="U262" s="28"/>
    </row>
    <row r="263">
      <c r="A263" s="189"/>
      <c r="B263" s="22"/>
      <c r="C263" s="22"/>
      <c r="D263" s="22"/>
      <c r="E263" s="22"/>
      <c r="F263" s="22"/>
      <c r="G263" s="22"/>
      <c r="H263" s="22"/>
      <c r="I263" s="266"/>
      <c r="J263" s="272"/>
      <c r="K263" s="272"/>
      <c r="L263" s="272"/>
      <c r="M263" s="273"/>
      <c r="N263" s="273"/>
      <c r="O263" s="273"/>
      <c r="P263" s="27"/>
      <c r="Q263" s="27"/>
      <c r="R263" s="27"/>
      <c r="S263" s="22"/>
      <c r="T263" s="22"/>
      <c r="U263" s="28"/>
    </row>
    <row r="264">
      <c r="A264" s="189"/>
      <c r="B264" s="22"/>
      <c r="C264" s="22"/>
      <c r="D264" s="22"/>
      <c r="E264" s="22"/>
      <c r="F264" s="22"/>
      <c r="G264" s="22"/>
      <c r="H264" s="22"/>
      <c r="I264" s="266"/>
      <c r="J264" s="272"/>
      <c r="K264" s="272"/>
      <c r="L264" s="272"/>
      <c r="M264" s="273"/>
      <c r="N264" s="273"/>
      <c r="O264" s="273"/>
      <c r="P264" s="27"/>
      <c r="Q264" s="27"/>
      <c r="R264" s="27"/>
      <c r="S264" s="22"/>
      <c r="T264" s="22"/>
      <c r="U264" s="28"/>
    </row>
    <row r="265">
      <c r="A265" s="189"/>
      <c r="B265" s="22"/>
      <c r="C265" s="22"/>
      <c r="D265" s="22"/>
      <c r="E265" s="22"/>
      <c r="F265" s="22"/>
      <c r="G265" s="22"/>
      <c r="H265" s="22"/>
      <c r="I265" s="266"/>
      <c r="J265" s="272"/>
      <c r="K265" s="272"/>
      <c r="L265" s="272"/>
      <c r="M265" s="273"/>
      <c r="N265" s="273"/>
      <c r="O265" s="273"/>
      <c r="P265" s="27"/>
      <c r="Q265" s="27"/>
      <c r="R265" s="27"/>
      <c r="S265" s="22"/>
      <c r="T265" s="22"/>
      <c r="U265" s="28"/>
    </row>
    <row r="266">
      <c r="A266" s="189"/>
      <c r="B266" s="22"/>
      <c r="C266" s="22"/>
      <c r="D266" s="22"/>
      <c r="E266" s="22"/>
      <c r="F266" s="22"/>
      <c r="G266" s="22"/>
      <c r="H266" s="22"/>
      <c r="I266" s="266"/>
      <c r="J266" s="272"/>
      <c r="K266" s="272"/>
      <c r="L266" s="272"/>
      <c r="M266" s="273"/>
      <c r="N266" s="273"/>
      <c r="O266" s="273"/>
      <c r="P266" s="27"/>
      <c r="Q266" s="27"/>
      <c r="R266" s="27"/>
      <c r="S266" s="22"/>
      <c r="T266" s="22"/>
      <c r="U266" s="28"/>
    </row>
    <row r="267">
      <c r="A267" s="189"/>
      <c r="B267" s="22"/>
      <c r="C267" s="22"/>
      <c r="D267" s="22"/>
      <c r="E267" s="22"/>
      <c r="F267" s="22"/>
      <c r="G267" s="22"/>
      <c r="H267" s="22"/>
      <c r="I267" s="266"/>
      <c r="J267" s="272"/>
      <c r="K267" s="272"/>
      <c r="L267" s="272"/>
      <c r="M267" s="273"/>
      <c r="N267" s="273"/>
      <c r="O267" s="273"/>
      <c r="P267" s="27"/>
      <c r="Q267" s="27"/>
      <c r="R267" s="27"/>
      <c r="S267" s="22"/>
      <c r="T267" s="22"/>
      <c r="U267" s="28"/>
    </row>
    <row r="268">
      <c r="A268" s="189"/>
      <c r="B268" s="22"/>
      <c r="C268" s="22"/>
      <c r="D268" s="22"/>
      <c r="E268" s="22"/>
      <c r="F268" s="22"/>
      <c r="G268" s="22"/>
      <c r="H268" s="22"/>
      <c r="I268" s="266"/>
      <c r="J268" s="272"/>
      <c r="K268" s="272"/>
      <c r="L268" s="272"/>
      <c r="M268" s="273"/>
      <c r="N268" s="273"/>
      <c r="O268" s="273"/>
      <c r="P268" s="27"/>
      <c r="Q268" s="27"/>
      <c r="R268" s="27"/>
      <c r="S268" s="22"/>
      <c r="T268" s="22"/>
      <c r="U268" s="28"/>
    </row>
    <row r="269">
      <c r="A269" s="189"/>
      <c r="B269" s="22"/>
      <c r="C269" s="22"/>
      <c r="D269" s="22"/>
      <c r="E269" s="22"/>
      <c r="F269" s="22"/>
      <c r="G269" s="22"/>
      <c r="H269" s="22"/>
      <c r="I269" s="266"/>
      <c r="J269" s="272"/>
      <c r="K269" s="272"/>
      <c r="L269" s="272"/>
      <c r="M269" s="273"/>
      <c r="N269" s="273"/>
      <c r="O269" s="273"/>
      <c r="P269" s="27"/>
      <c r="Q269" s="27"/>
      <c r="R269" s="27"/>
      <c r="S269" s="22"/>
      <c r="T269" s="22"/>
      <c r="U269" s="28"/>
    </row>
    <row r="270">
      <c r="A270" s="189"/>
      <c r="B270" s="22"/>
      <c r="C270" s="22"/>
      <c r="D270" s="22"/>
      <c r="E270" s="22"/>
      <c r="F270" s="22"/>
      <c r="G270" s="22"/>
      <c r="H270" s="22"/>
      <c r="I270" s="266"/>
      <c r="J270" s="272"/>
      <c r="K270" s="272"/>
      <c r="L270" s="272"/>
      <c r="M270" s="273"/>
      <c r="N270" s="273"/>
      <c r="O270" s="273"/>
      <c r="P270" s="27"/>
      <c r="Q270" s="27"/>
      <c r="R270" s="27"/>
      <c r="S270" s="22"/>
      <c r="T270" s="22"/>
      <c r="U270" s="28"/>
    </row>
    <row r="271">
      <c r="A271" s="189"/>
      <c r="B271" s="22"/>
      <c r="C271" s="22"/>
      <c r="D271" s="22"/>
      <c r="E271" s="22"/>
      <c r="F271" s="22"/>
      <c r="G271" s="22"/>
      <c r="H271" s="22"/>
      <c r="I271" s="266"/>
      <c r="J271" s="272"/>
      <c r="K271" s="272"/>
      <c r="L271" s="272"/>
      <c r="M271" s="273"/>
      <c r="N271" s="273"/>
      <c r="O271" s="273"/>
      <c r="P271" s="27"/>
      <c r="Q271" s="27"/>
      <c r="R271" s="27"/>
      <c r="S271" s="22"/>
      <c r="T271" s="22"/>
      <c r="U271" s="28"/>
    </row>
    <row r="272">
      <c r="A272" s="189"/>
      <c r="B272" s="22"/>
      <c r="C272" s="22"/>
      <c r="D272" s="22"/>
      <c r="E272" s="22"/>
      <c r="F272" s="22"/>
      <c r="G272" s="22"/>
      <c r="H272" s="22"/>
      <c r="I272" s="266"/>
      <c r="J272" s="272"/>
      <c r="K272" s="272"/>
      <c r="L272" s="272"/>
      <c r="M272" s="273"/>
      <c r="N272" s="273"/>
      <c r="O272" s="273"/>
      <c r="P272" s="27"/>
      <c r="Q272" s="27"/>
      <c r="R272" s="27"/>
      <c r="S272" s="22"/>
      <c r="T272" s="22"/>
      <c r="U272" s="28"/>
    </row>
    <row r="273">
      <c r="A273" s="189"/>
      <c r="B273" s="22"/>
      <c r="C273" s="22"/>
      <c r="D273" s="22"/>
      <c r="E273" s="22"/>
      <c r="F273" s="22"/>
      <c r="G273" s="22"/>
      <c r="H273" s="22"/>
      <c r="I273" s="266"/>
      <c r="J273" s="272"/>
      <c r="K273" s="272"/>
      <c r="L273" s="272"/>
      <c r="M273" s="273"/>
      <c r="N273" s="273"/>
      <c r="O273" s="273"/>
      <c r="P273" s="27"/>
      <c r="Q273" s="27"/>
      <c r="R273" s="27"/>
      <c r="S273" s="22"/>
      <c r="T273" s="22"/>
      <c r="U273" s="28"/>
    </row>
    <row r="274">
      <c r="A274" s="189"/>
      <c r="B274" s="22"/>
      <c r="C274" s="22"/>
      <c r="D274" s="22"/>
      <c r="E274" s="22"/>
      <c r="F274" s="22"/>
      <c r="G274" s="22"/>
      <c r="H274" s="22"/>
      <c r="I274" s="266"/>
      <c r="J274" s="272"/>
      <c r="K274" s="272"/>
      <c r="L274" s="272"/>
      <c r="M274" s="273"/>
      <c r="N274" s="273"/>
      <c r="O274" s="273"/>
      <c r="P274" s="27"/>
      <c r="Q274" s="27"/>
      <c r="R274" s="27"/>
      <c r="S274" s="22"/>
      <c r="T274" s="22"/>
      <c r="U274" s="28"/>
    </row>
    <row r="275">
      <c r="A275" s="189"/>
      <c r="B275" s="22"/>
      <c r="C275" s="22"/>
      <c r="D275" s="22"/>
      <c r="E275" s="22"/>
      <c r="F275" s="22"/>
      <c r="G275" s="22"/>
      <c r="H275" s="22"/>
      <c r="I275" s="266"/>
      <c r="J275" s="272"/>
      <c r="K275" s="272"/>
      <c r="L275" s="272"/>
      <c r="M275" s="273"/>
      <c r="N275" s="273"/>
      <c r="O275" s="273"/>
      <c r="P275" s="27"/>
      <c r="Q275" s="27"/>
      <c r="R275" s="27"/>
      <c r="S275" s="22"/>
      <c r="T275" s="22"/>
      <c r="U275" s="28"/>
    </row>
    <row r="276">
      <c r="A276" s="189"/>
      <c r="B276" s="22"/>
      <c r="C276" s="22"/>
      <c r="D276" s="22"/>
      <c r="E276" s="22"/>
      <c r="F276" s="22"/>
      <c r="G276" s="22"/>
      <c r="H276" s="22"/>
      <c r="I276" s="266"/>
      <c r="J276" s="272"/>
      <c r="K276" s="272"/>
      <c r="L276" s="272"/>
      <c r="M276" s="273"/>
      <c r="N276" s="273"/>
      <c r="O276" s="273"/>
      <c r="P276" s="27"/>
      <c r="Q276" s="27"/>
      <c r="R276" s="27"/>
      <c r="S276" s="22"/>
      <c r="T276" s="22"/>
      <c r="U276" s="28"/>
    </row>
    <row r="277">
      <c r="A277" s="189"/>
      <c r="B277" s="22"/>
      <c r="C277" s="22"/>
      <c r="D277" s="22"/>
      <c r="E277" s="22"/>
      <c r="F277" s="22"/>
      <c r="G277" s="22"/>
      <c r="H277" s="22"/>
      <c r="I277" s="266"/>
      <c r="J277" s="272"/>
      <c r="K277" s="272"/>
      <c r="L277" s="272"/>
      <c r="M277" s="273"/>
      <c r="N277" s="273"/>
      <c r="O277" s="273"/>
      <c r="P277" s="27"/>
      <c r="Q277" s="27"/>
      <c r="R277" s="27"/>
      <c r="S277" s="22"/>
      <c r="T277" s="22"/>
      <c r="U277" s="28"/>
    </row>
    <row r="278">
      <c r="A278" s="189"/>
      <c r="B278" s="22"/>
      <c r="C278" s="22"/>
      <c r="D278" s="22"/>
      <c r="E278" s="22"/>
      <c r="F278" s="22"/>
      <c r="G278" s="22"/>
      <c r="H278" s="22"/>
      <c r="I278" s="266"/>
      <c r="J278" s="272"/>
      <c r="K278" s="272"/>
      <c r="L278" s="272"/>
      <c r="M278" s="273"/>
      <c r="N278" s="273"/>
      <c r="O278" s="273"/>
      <c r="P278" s="27"/>
      <c r="Q278" s="27"/>
      <c r="R278" s="27"/>
      <c r="S278" s="22"/>
      <c r="T278" s="22"/>
      <c r="U278" s="28"/>
    </row>
    <row r="279">
      <c r="A279" s="189"/>
      <c r="B279" s="22"/>
      <c r="C279" s="22"/>
      <c r="D279" s="22"/>
      <c r="E279" s="22"/>
      <c r="F279" s="22"/>
      <c r="G279" s="22"/>
      <c r="H279" s="22"/>
      <c r="I279" s="266"/>
      <c r="J279" s="272"/>
      <c r="K279" s="272"/>
      <c r="L279" s="272"/>
      <c r="M279" s="273"/>
      <c r="N279" s="273"/>
      <c r="O279" s="273"/>
      <c r="P279" s="27"/>
      <c r="Q279" s="27"/>
      <c r="R279" s="27"/>
      <c r="S279" s="22"/>
      <c r="T279" s="22"/>
      <c r="U279" s="28"/>
    </row>
    <row r="280">
      <c r="A280" s="189"/>
      <c r="B280" s="22"/>
      <c r="C280" s="22"/>
      <c r="D280" s="22"/>
      <c r="E280" s="22"/>
      <c r="F280" s="22"/>
      <c r="G280" s="22"/>
      <c r="H280" s="22"/>
      <c r="I280" s="266"/>
      <c r="J280" s="272"/>
      <c r="K280" s="272"/>
      <c r="L280" s="272"/>
      <c r="M280" s="273"/>
      <c r="N280" s="273"/>
      <c r="O280" s="273"/>
      <c r="P280" s="27"/>
      <c r="Q280" s="27"/>
      <c r="R280" s="27"/>
      <c r="S280" s="22"/>
      <c r="T280" s="22"/>
      <c r="U280" s="28"/>
    </row>
    <row r="281">
      <c r="A281" s="189"/>
      <c r="B281" s="22"/>
      <c r="C281" s="22"/>
      <c r="D281" s="22"/>
      <c r="E281" s="22"/>
      <c r="F281" s="22"/>
      <c r="G281" s="22"/>
      <c r="H281" s="22"/>
      <c r="I281" s="266"/>
      <c r="J281" s="272"/>
      <c r="K281" s="272"/>
      <c r="L281" s="272"/>
      <c r="M281" s="273"/>
      <c r="N281" s="273"/>
      <c r="O281" s="273"/>
      <c r="P281" s="27"/>
      <c r="Q281" s="27"/>
      <c r="R281" s="27"/>
      <c r="S281" s="22"/>
      <c r="T281" s="22"/>
      <c r="U281" s="28"/>
    </row>
    <row r="282">
      <c r="A282" s="189"/>
      <c r="B282" s="22"/>
      <c r="C282" s="22"/>
      <c r="D282" s="22"/>
      <c r="E282" s="22"/>
      <c r="F282" s="22"/>
      <c r="G282" s="22"/>
      <c r="H282" s="22"/>
      <c r="I282" s="266"/>
      <c r="J282" s="272"/>
      <c r="K282" s="272"/>
      <c r="L282" s="272"/>
      <c r="M282" s="273"/>
      <c r="N282" s="273"/>
      <c r="O282" s="273"/>
      <c r="P282" s="27"/>
      <c r="Q282" s="27"/>
      <c r="R282" s="27"/>
      <c r="S282" s="22"/>
      <c r="T282" s="22"/>
      <c r="U282" s="28"/>
    </row>
    <row r="283">
      <c r="A283" s="189"/>
      <c r="B283" s="22"/>
      <c r="C283" s="22"/>
      <c r="D283" s="22"/>
      <c r="E283" s="22"/>
      <c r="F283" s="22"/>
      <c r="G283" s="22"/>
      <c r="H283" s="22"/>
      <c r="I283" s="266"/>
      <c r="J283" s="272"/>
      <c r="K283" s="272"/>
      <c r="L283" s="272"/>
      <c r="M283" s="273"/>
      <c r="N283" s="273"/>
      <c r="O283" s="273"/>
      <c r="P283" s="27"/>
      <c r="Q283" s="27"/>
      <c r="R283" s="27"/>
      <c r="S283" s="22"/>
      <c r="T283" s="22"/>
      <c r="U283" s="28"/>
    </row>
    <row r="284">
      <c r="A284" s="189"/>
      <c r="B284" s="22"/>
      <c r="C284" s="22"/>
      <c r="D284" s="22"/>
      <c r="E284" s="22"/>
      <c r="F284" s="22"/>
      <c r="G284" s="22"/>
      <c r="H284" s="22"/>
      <c r="I284" s="266"/>
      <c r="J284" s="272"/>
      <c r="K284" s="272"/>
      <c r="L284" s="272"/>
      <c r="M284" s="273"/>
      <c r="N284" s="273"/>
      <c r="O284" s="273"/>
      <c r="P284" s="27"/>
      <c r="Q284" s="27"/>
      <c r="R284" s="27"/>
      <c r="S284" s="22"/>
      <c r="T284" s="22"/>
      <c r="U284" s="28"/>
    </row>
    <row r="285">
      <c r="A285" s="189"/>
      <c r="B285" s="22"/>
      <c r="C285" s="22"/>
      <c r="D285" s="22"/>
      <c r="E285" s="22"/>
      <c r="F285" s="22"/>
      <c r="G285" s="22"/>
      <c r="H285" s="22"/>
      <c r="I285" s="266"/>
      <c r="J285" s="272"/>
      <c r="K285" s="272"/>
      <c r="L285" s="272"/>
      <c r="M285" s="273"/>
      <c r="N285" s="273"/>
      <c r="O285" s="273"/>
      <c r="P285" s="27"/>
      <c r="Q285" s="27"/>
      <c r="R285" s="27"/>
      <c r="S285" s="22"/>
      <c r="T285" s="22"/>
      <c r="U285" s="28"/>
    </row>
    <row r="286">
      <c r="A286" s="189"/>
      <c r="B286" s="22"/>
      <c r="C286" s="22"/>
      <c r="D286" s="22"/>
      <c r="E286" s="22"/>
      <c r="F286" s="22"/>
      <c r="G286" s="22"/>
      <c r="H286" s="22"/>
      <c r="I286" s="266"/>
      <c r="J286" s="272"/>
      <c r="K286" s="272"/>
      <c r="L286" s="272"/>
      <c r="M286" s="273"/>
      <c r="N286" s="273"/>
      <c r="O286" s="273"/>
      <c r="P286" s="27"/>
      <c r="Q286" s="27"/>
      <c r="R286" s="27"/>
      <c r="S286" s="22"/>
      <c r="T286" s="22"/>
      <c r="U286" s="28"/>
    </row>
    <row r="287">
      <c r="A287" s="189"/>
      <c r="B287" s="22"/>
      <c r="C287" s="22"/>
      <c r="D287" s="22"/>
      <c r="E287" s="22"/>
      <c r="F287" s="22"/>
      <c r="G287" s="22"/>
      <c r="H287" s="22"/>
      <c r="I287" s="266"/>
      <c r="J287" s="272"/>
      <c r="K287" s="272"/>
      <c r="L287" s="272"/>
      <c r="M287" s="273"/>
      <c r="N287" s="273"/>
      <c r="O287" s="273"/>
      <c r="P287" s="27"/>
      <c r="Q287" s="27"/>
      <c r="R287" s="27"/>
      <c r="S287" s="22"/>
      <c r="T287" s="22"/>
      <c r="U287" s="28"/>
    </row>
    <row r="288">
      <c r="A288" s="189"/>
      <c r="B288" s="22"/>
      <c r="C288" s="22"/>
      <c r="D288" s="22"/>
      <c r="E288" s="22"/>
      <c r="F288" s="22"/>
      <c r="G288" s="22"/>
      <c r="H288" s="22"/>
      <c r="I288" s="266"/>
      <c r="J288" s="272"/>
      <c r="K288" s="272"/>
      <c r="L288" s="272"/>
      <c r="M288" s="273"/>
      <c r="N288" s="273"/>
      <c r="O288" s="273"/>
      <c r="P288" s="27"/>
      <c r="Q288" s="27"/>
      <c r="R288" s="27"/>
      <c r="S288" s="22"/>
      <c r="T288" s="22"/>
      <c r="U288" s="28"/>
    </row>
    <row r="289">
      <c r="A289" s="189"/>
      <c r="B289" s="22"/>
      <c r="C289" s="22"/>
      <c r="D289" s="22"/>
      <c r="E289" s="22"/>
      <c r="F289" s="22"/>
      <c r="G289" s="22"/>
      <c r="H289" s="22"/>
      <c r="I289" s="266"/>
      <c r="J289" s="272"/>
      <c r="K289" s="272"/>
      <c r="L289" s="272"/>
      <c r="M289" s="273"/>
      <c r="N289" s="273"/>
      <c r="O289" s="273"/>
      <c r="P289" s="27"/>
      <c r="Q289" s="27"/>
      <c r="R289" s="27"/>
      <c r="S289" s="22"/>
      <c r="T289" s="22"/>
      <c r="U289" s="28"/>
    </row>
    <row r="290">
      <c r="A290" s="189"/>
      <c r="B290" s="22"/>
      <c r="C290" s="22"/>
      <c r="D290" s="22"/>
      <c r="E290" s="22"/>
      <c r="F290" s="22"/>
      <c r="G290" s="22"/>
      <c r="H290" s="22"/>
      <c r="I290" s="266"/>
      <c r="J290" s="272"/>
      <c r="K290" s="272"/>
      <c r="L290" s="272"/>
      <c r="M290" s="273"/>
      <c r="N290" s="273"/>
      <c r="O290" s="273"/>
      <c r="P290" s="27"/>
      <c r="Q290" s="27"/>
      <c r="R290" s="27"/>
      <c r="S290" s="22"/>
      <c r="T290" s="22"/>
      <c r="U290" s="28"/>
    </row>
    <row r="291">
      <c r="A291" s="189"/>
      <c r="B291" s="22"/>
      <c r="C291" s="22"/>
      <c r="D291" s="22"/>
      <c r="E291" s="22"/>
      <c r="F291" s="22"/>
      <c r="G291" s="22"/>
      <c r="H291" s="22"/>
      <c r="I291" s="266"/>
      <c r="J291" s="272"/>
      <c r="K291" s="272"/>
      <c r="L291" s="272"/>
      <c r="M291" s="273"/>
      <c r="N291" s="273"/>
      <c r="O291" s="273"/>
      <c r="P291" s="27"/>
      <c r="Q291" s="27"/>
      <c r="R291" s="27"/>
      <c r="S291" s="22"/>
      <c r="T291" s="22"/>
      <c r="U291" s="28"/>
    </row>
    <row r="292">
      <c r="A292" s="189"/>
      <c r="B292" s="22"/>
      <c r="C292" s="22"/>
      <c r="D292" s="22"/>
      <c r="E292" s="22"/>
      <c r="F292" s="22"/>
      <c r="G292" s="22"/>
      <c r="H292" s="22"/>
      <c r="I292" s="266"/>
      <c r="J292" s="272"/>
      <c r="K292" s="272"/>
      <c r="L292" s="272"/>
      <c r="M292" s="273"/>
      <c r="N292" s="273"/>
      <c r="O292" s="273"/>
      <c r="P292" s="27"/>
      <c r="Q292" s="27"/>
      <c r="R292" s="27"/>
      <c r="S292" s="22"/>
      <c r="T292" s="22"/>
      <c r="U292" s="28"/>
    </row>
    <row r="293">
      <c r="A293" s="189"/>
      <c r="B293" s="22"/>
      <c r="C293" s="22"/>
      <c r="D293" s="22"/>
      <c r="E293" s="22"/>
      <c r="F293" s="22"/>
      <c r="G293" s="22"/>
      <c r="H293" s="22"/>
      <c r="I293" s="266"/>
      <c r="J293" s="272"/>
      <c r="K293" s="272"/>
      <c r="L293" s="272"/>
      <c r="M293" s="273"/>
      <c r="N293" s="273"/>
      <c r="O293" s="273"/>
      <c r="P293" s="27"/>
      <c r="Q293" s="27"/>
      <c r="R293" s="27"/>
      <c r="S293" s="22"/>
      <c r="T293" s="22"/>
      <c r="U293" s="28"/>
    </row>
    <row r="294">
      <c r="A294" s="189"/>
      <c r="B294" s="22"/>
      <c r="C294" s="22"/>
      <c r="D294" s="22"/>
      <c r="E294" s="22"/>
      <c r="F294" s="22"/>
      <c r="G294" s="22"/>
      <c r="H294" s="22"/>
      <c r="I294" s="266"/>
      <c r="J294" s="272"/>
      <c r="K294" s="272"/>
      <c r="L294" s="272"/>
      <c r="M294" s="273"/>
      <c r="N294" s="273"/>
      <c r="O294" s="273"/>
      <c r="P294" s="27"/>
      <c r="Q294" s="27"/>
      <c r="R294" s="27"/>
      <c r="S294" s="22"/>
      <c r="T294" s="22"/>
      <c r="U294" s="28"/>
    </row>
    <row r="295">
      <c r="A295" s="189"/>
      <c r="B295" s="22"/>
      <c r="C295" s="22"/>
      <c r="D295" s="22"/>
      <c r="E295" s="22"/>
      <c r="F295" s="22"/>
      <c r="G295" s="22"/>
      <c r="H295" s="22"/>
      <c r="I295" s="266"/>
      <c r="J295" s="272"/>
      <c r="K295" s="272"/>
      <c r="L295" s="272"/>
      <c r="M295" s="273"/>
      <c r="N295" s="273"/>
      <c r="O295" s="273"/>
      <c r="P295" s="27"/>
      <c r="Q295" s="27"/>
      <c r="R295" s="27"/>
      <c r="S295" s="22"/>
      <c r="T295" s="22"/>
      <c r="U295" s="28"/>
    </row>
    <row r="296">
      <c r="A296" s="189"/>
      <c r="B296" s="22"/>
      <c r="C296" s="22"/>
      <c r="D296" s="22"/>
      <c r="E296" s="22"/>
      <c r="F296" s="22"/>
      <c r="G296" s="22"/>
      <c r="H296" s="22"/>
      <c r="I296" s="266"/>
      <c r="J296" s="272"/>
      <c r="K296" s="272"/>
      <c r="L296" s="272"/>
      <c r="M296" s="273"/>
      <c r="N296" s="273"/>
      <c r="O296" s="273"/>
      <c r="P296" s="27"/>
      <c r="Q296" s="27"/>
      <c r="R296" s="27"/>
      <c r="S296" s="22"/>
      <c r="T296" s="22"/>
      <c r="U296" s="28"/>
    </row>
    <row r="297">
      <c r="A297" s="189"/>
      <c r="B297" s="22"/>
      <c r="C297" s="22"/>
      <c r="D297" s="22"/>
      <c r="E297" s="22"/>
      <c r="F297" s="22"/>
      <c r="G297" s="22"/>
      <c r="H297" s="22"/>
      <c r="I297" s="266"/>
      <c r="J297" s="272"/>
      <c r="K297" s="272"/>
      <c r="L297" s="272"/>
      <c r="M297" s="273"/>
      <c r="N297" s="273"/>
      <c r="O297" s="273"/>
      <c r="P297" s="27"/>
      <c r="Q297" s="27"/>
      <c r="R297" s="27"/>
      <c r="S297" s="22"/>
      <c r="T297" s="22"/>
      <c r="U297" s="28"/>
    </row>
    <row r="298">
      <c r="A298" s="189"/>
      <c r="B298" s="22"/>
      <c r="C298" s="22"/>
      <c r="D298" s="22"/>
      <c r="E298" s="22"/>
      <c r="F298" s="22"/>
      <c r="G298" s="22"/>
      <c r="H298" s="22"/>
      <c r="I298" s="266"/>
      <c r="J298" s="272"/>
      <c r="K298" s="272"/>
      <c r="L298" s="272"/>
      <c r="M298" s="273"/>
      <c r="N298" s="273"/>
      <c r="O298" s="273"/>
      <c r="P298" s="27"/>
      <c r="Q298" s="27"/>
      <c r="R298" s="27"/>
      <c r="S298" s="22"/>
      <c r="T298" s="22"/>
      <c r="U298" s="28"/>
    </row>
    <row r="299">
      <c r="A299" s="189"/>
      <c r="B299" s="22"/>
      <c r="C299" s="22"/>
      <c r="D299" s="22"/>
      <c r="E299" s="22"/>
      <c r="F299" s="22"/>
      <c r="G299" s="22"/>
      <c r="H299" s="22"/>
      <c r="I299" s="266"/>
      <c r="J299" s="272"/>
      <c r="K299" s="272"/>
      <c r="L299" s="272"/>
      <c r="M299" s="273"/>
      <c r="N299" s="273"/>
      <c r="O299" s="273"/>
      <c r="P299" s="27"/>
      <c r="Q299" s="27"/>
      <c r="R299" s="27"/>
      <c r="S299" s="22"/>
      <c r="T299" s="22"/>
      <c r="U299" s="28"/>
    </row>
    <row r="300">
      <c r="A300" s="189"/>
      <c r="B300" s="22"/>
      <c r="C300" s="22"/>
      <c r="D300" s="22"/>
      <c r="E300" s="22"/>
      <c r="F300" s="22"/>
      <c r="G300" s="22"/>
      <c r="H300" s="22"/>
      <c r="I300" s="266"/>
      <c r="J300" s="272"/>
      <c r="K300" s="272"/>
      <c r="L300" s="272"/>
      <c r="M300" s="273"/>
      <c r="N300" s="273"/>
      <c r="O300" s="273"/>
      <c r="P300" s="27"/>
      <c r="Q300" s="27"/>
      <c r="R300" s="27"/>
      <c r="S300" s="22"/>
      <c r="T300" s="22"/>
      <c r="U300" s="28"/>
    </row>
    <row r="301">
      <c r="A301" s="189"/>
      <c r="B301" s="22"/>
      <c r="C301" s="22"/>
      <c r="D301" s="22"/>
      <c r="E301" s="22"/>
      <c r="F301" s="22"/>
      <c r="G301" s="22"/>
      <c r="H301" s="22"/>
      <c r="I301" s="266"/>
      <c r="J301" s="272"/>
      <c r="K301" s="272"/>
      <c r="L301" s="272"/>
      <c r="M301" s="273"/>
      <c r="N301" s="273"/>
      <c r="O301" s="273"/>
      <c r="P301" s="27"/>
      <c r="Q301" s="27"/>
      <c r="R301" s="27"/>
      <c r="S301" s="22"/>
      <c r="T301" s="22"/>
      <c r="U301" s="28"/>
    </row>
    <row r="302">
      <c r="A302" s="189"/>
      <c r="B302" s="22"/>
      <c r="C302" s="22"/>
      <c r="D302" s="22"/>
      <c r="E302" s="22"/>
      <c r="F302" s="22"/>
      <c r="G302" s="22"/>
      <c r="H302" s="22"/>
      <c r="I302" s="266"/>
      <c r="J302" s="272"/>
      <c r="K302" s="272"/>
      <c r="L302" s="272"/>
      <c r="M302" s="273"/>
      <c r="N302" s="273"/>
      <c r="O302" s="273"/>
      <c r="P302" s="27"/>
      <c r="Q302" s="27"/>
      <c r="R302" s="27"/>
      <c r="S302" s="22"/>
      <c r="T302" s="22"/>
      <c r="U302" s="28"/>
    </row>
    <row r="303">
      <c r="A303" s="189"/>
      <c r="B303" s="22"/>
      <c r="C303" s="22"/>
      <c r="D303" s="22"/>
      <c r="E303" s="22"/>
      <c r="F303" s="22"/>
      <c r="G303" s="22"/>
      <c r="H303" s="22"/>
      <c r="I303" s="266"/>
      <c r="J303" s="272"/>
      <c r="K303" s="272"/>
      <c r="L303" s="272"/>
      <c r="M303" s="273"/>
      <c r="N303" s="273"/>
      <c r="O303" s="273"/>
      <c r="P303" s="27"/>
      <c r="Q303" s="27"/>
      <c r="R303" s="27"/>
      <c r="S303" s="22"/>
      <c r="T303" s="22"/>
      <c r="U303" s="28"/>
    </row>
    <row r="304">
      <c r="A304" s="189"/>
      <c r="B304" s="22"/>
      <c r="C304" s="22"/>
      <c r="D304" s="22"/>
      <c r="E304" s="22"/>
      <c r="F304" s="22"/>
      <c r="G304" s="22"/>
      <c r="H304" s="22"/>
      <c r="I304" s="266"/>
      <c r="J304" s="272"/>
      <c r="K304" s="272"/>
      <c r="L304" s="272"/>
      <c r="M304" s="273"/>
      <c r="N304" s="273"/>
      <c r="O304" s="273"/>
      <c r="P304" s="27"/>
      <c r="Q304" s="27"/>
      <c r="R304" s="27"/>
      <c r="S304" s="22"/>
      <c r="T304" s="22"/>
      <c r="U304" s="28"/>
    </row>
    <row r="305">
      <c r="A305" s="189"/>
      <c r="B305" s="22"/>
      <c r="C305" s="22"/>
      <c r="D305" s="22"/>
      <c r="E305" s="22"/>
      <c r="F305" s="22"/>
      <c r="G305" s="22"/>
      <c r="H305" s="22"/>
      <c r="I305" s="266"/>
      <c r="J305" s="272"/>
      <c r="K305" s="272"/>
      <c r="L305" s="272"/>
      <c r="M305" s="273"/>
      <c r="N305" s="273"/>
      <c r="O305" s="273"/>
      <c r="P305" s="27"/>
      <c r="Q305" s="27"/>
      <c r="R305" s="27"/>
      <c r="S305" s="22"/>
      <c r="T305" s="22"/>
      <c r="U305" s="28"/>
    </row>
    <row r="306">
      <c r="A306" s="189"/>
      <c r="B306" s="22"/>
      <c r="C306" s="22"/>
      <c r="D306" s="22"/>
      <c r="E306" s="22"/>
      <c r="F306" s="22"/>
      <c r="G306" s="22"/>
      <c r="H306" s="22"/>
      <c r="I306" s="266"/>
      <c r="J306" s="272"/>
      <c r="K306" s="272"/>
      <c r="L306" s="272"/>
      <c r="M306" s="273"/>
      <c r="N306" s="273"/>
      <c r="O306" s="273"/>
      <c r="P306" s="27"/>
      <c r="Q306" s="27"/>
      <c r="R306" s="27"/>
      <c r="S306" s="22"/>
      <c r="T306" s="22"/>
      <c r="U306" s="28"/>
    </row>
    <row r="307">
      <c r="A307" s="189"/>
      <c r="B307" s="22"/>
      <c r="C307" s="22"/>
      <c r="D307" s="22"/>
      <c r="E307" s="22"/>
      <c r="F307" s="22"/>
      <c r="G307" s="22"/>
      <c r="H307" s="22"/>
      <c r="I307" s="266"/>
      <c r="J307" s="272"/>
      <c r="K307" s="272"/>
      <c r="L307" s="272"/>
      <c r="M307" s="273"/>
      <c r="N307" s="273"/>
      <c r="O307" s="273"/>
      <c r="P307" s="27"/>
      <c r="Q307" s="27"/>
      <c r="R307" s="27"/>
      <c r="S307" s="22"/>
      <c r="T307" s="22"/>
      <c r="U307" s="28"/>
    </row>
    <row r="308">
      <c r="A308" s="189"/>
      <c r="B308" s="22"/>
      <c r="C308" s="22"/>
      <c r="D308" s="22"/>
      <c r="E308" s="22"/>
      <c r="F308" s="22"/>
      <c r="G308" s="22"/>
      <c r="H308" s="22"/>
      <c r="I308" s="266"/>
      <c r="J308" s="272"/>
      <c r="K308" s="272"/>
      <c r="L308" s="272"/>
      <c r="M308" s="273"/>
      <c r="N308" s="273"/>
      <c r="O308" s="273"/>
      <c r="P308" s="27"/>
      <c r="Q308" s="27"/>
      <c r="R308" s="27"/>
      <c r="S308" s="22"/>
      <c r="T308" s="22"/>
      <c r="U308" s="28"/>
    </row>
    <row r="309">
      <c r="A309" s="189"/>
      <c r="B309" s="22"/>
      <c r="C309" s="22"/>
      <c r="D309" s="22"/>
      <c r="E309" s="22"/>
      <c r="F309" s="22"/>
      <c r="G309" s="22"/>
      <c r="H309" s="22"/>
      <c r="I309" s="266"/>
      <c r="J309" s="272"/>
      <c r="K309" s="272"/>
      <c r="L309" s="272"/>
      <c r="M309" s="273"/>
      <c r="N309" s="273"/>
      <c r="O309" s="273"/>
      <c r="P309" s="27"/>
      <c r="Q309" s="27"/>
      <c r="R309" s="27"/>
      <c r="S309" s="22"/>
      <c r="T309" s="22"/>
      <c r="U309" s="28"/>
    </row>
    <row r="310">
      <c r="A310" s="189"/>
      <c r="B310" s="22"/>
      <c r="C310" s="22"/>
      <c r="D310" s="22"/>
      <c r="E310" s="22"/>
      <c r="F310" s="22"/>
      <c r="G310" s="22"/>
      <c r="H310" s="22"/>
      <c r="I310" s="266"/>
      <c r="J310" s="272"/>
      <c r="K310" s="272"/>
      <c r="L310" s="272"/>
      <c r="M310" s="273"/>
      <c r="N310" s="273"/>
      <c r="O310" s="273"/>
      <c r="P310" s="27"/>
      <c r="Q310" s="27"/>
      <c r="R310" s="27"/>
      <c r="S310" s="22"/>
      <c r="T310" s="22"/>
      <c r="U310" s="28"/>
    </row>
    <row r="311">
      <c r="A311" s="189"/>
      <c r="B311" s="22"/>
      <c r="C311" s="22"/>
      <c r="D311" s="22"/>
      <c r="E311" s="22"/>
      <c r="F311" s="22"/>
      <c r="G311" s="22"/>
      <c r="H311" s="22"/>
      <c r="I311" s="266"/>
      <c r="J311" s="272"/>
      <c r="K311" s="272"/>
      <c r="L311" s="272"/>
      <c r="M311" s="273"/>
      <c r="N311" s="273"/>
      <c r="O311" s="273"/>
      <c r="P311" s="27"/>
      <c r="Q311" s="27"/>
      <c r="R311" s="27"/>
      <c r="S311" s="22"/>
      <c r="T311" s="22"/>
      <c r="U311" s="28"/>
    </row>
    <row r="312">
      <c r="A312" s="189"/>
      <c r="B312" s="22"/>
      <c r="C312" s="22"/>
      <c r="D312" s="22"/>
      <c r="E312" s="22"/>
      <c r="F312" s="22"/>
      <c r="G312" s="22"/>
      <c r="H312" s="22"/>
      <c r="I312" s="266"/>
      <c r="J312" s="272"/>
      <c r="K312" s="272"/>
      <c r="L312" s="272"/>
      <c r="M312" s="273"/>
      <c r="N312" s="273"/>
      <c r="O312" s="273"/>
      <c r="P312" s="27"/>
      <c r="Q312" s="27"/>
      <c r="R312" s="27"/>
      <c r="S312" s="22"/>
      <c r="T312" s="22"/>
      <c r="U312" s="28"/>
    </row>
    <row r="313">
      <c r="A313" s="189"/>
      <c r="B313" s="22"/>
      <c r="C313" s="22"/>
      <c r="D313" s="22"/>
      <c r="E313" s="22"/>
      <c r="F313" s="22"/>
      <c r="G313" s="22"/>
      <c r="H313" s="22"/>
      <c r="I313" s="266"/>
      <c r="J313" s="272"/>
      <c r="K313" s="272"/>
      <c r="L313" s="272"/>
      <c r="M313" s="273"/>
      <c r="N313" s="273"/>
      <c r="O313" s="273"/>
      <c r="P313" s="27"/>
      <c r="Q313" s="27"/>
      <c r="R313" s="27"/>
      <c r="S313" s="22"/>
      <c r="T313" s="22"/>
      <c r="U313" s="28"/>
    </row>
    <row r="314">
      <c r="A314" s="189"/>
      <c r="B314" s="22"/>
      <c r="C314" s="22"/>
      <c r="D314" s="22"/>
      <c r="E314" s="22"/>
      <c r="F314" s="22"/>
      <c r="G314" s="22"/>
      <c r="H314" s="22"/>
      <c r="I314" s="266"/>
      <c r="J314" s="272"/>
      <c r="K314" s="272"/>
      <c r="L314" s="272"/>
      <c r="M314" s="273"/>
      <c r="N314" s="273"/>
      <c r="O314" s="273"/>
      <c r="P314" s="27"/>
      <c r="Q314" s="27"/>
      <c r="R314" s="27"/>
      <c r="S314" s="22"/>
      <c r="T314" s="22"/>
      <c r="U314" s="28"/>
    </row>
    <row r="315">
      <c r="A315" s="189"/>
      <c r="B315" s="22"/>
      <c r="C315" s="22"/>
      <c r="D315" s="22"/>
      <c r="E315" s="22"/>
      <c r="F315" s="22"/>
      <c r="G315" s="22"/>
      <c r="H315" s="22"/>
      <c r="I315" s="266"/>
      <c r="J315" s="272"/>
      <c r="K315" s="272"/>
      <c r="L315" s="272"/>
      <c r="M315" s="273"/>
      <c r="N315" s="273"/>
      <c r="O315" s="273"/>
      <c r="P315" s="27"/>
      <c r="Q315" s="27"/>
      <c r="R315" s="27"/>
      <c r="S315" s="22"/>
      <c r="T315" s="22"/>
      <c r="U315" s="28"/>
    </row>
    <row r="316">
      <c r="A316" s="189"/>
      <c r="B316" s="22"/>
      <c r="C316" s="22"/>
      <c r="D316" s="22"/>
      <c r="E316" s="22"/>
      <c r="F316" s="22"/>
      <c r="G316" s="22"/>
      <c r="H316" s="22"/>
      <c r="I316" s="266"/>
      <c r="J316" s="272"/>
      <c r="K316" s="272"/>
      <c r="L316" s="272"/>
      <c r="M316" s="273"/>
      <c r="N316" s="273"/>
      <c r="O316" s="273"/>
      <c r="P316" s="27"/>
      <c r="Q316" s="27"/>
      <c r="R316" s="27"/>
      <c r="S316" s="22"/>
      <c r="T316" s="22"/>
      <c r="U316" s="28"/>
    </row>
    <row r="317">
      <c r="A317" s="189"/>
      <c r="B317" s="22"/>
      <c r="C317" s="22"/>
      <c r="D317" s="22"/>
      <c r="E317" s="22"/>
      <c r="F317" s="22"/>
      <c r="G317" s="22"/>
      <c r="H317" s="22"/>
      <c r="I317" s="266"/>
      <c r="J317" s="272"/>
      <c r="K317" s="272"/>
      <c r="L317" s="272"/>
      <c r="M317" s="273"/>
      <c r="N317" s="273"/>
      <c r="O317" s="273"/>
      <c r="P317" s="27"/>
      <c r="Q317" s="27"/>
      <c r="R317" s="27"/>
      <c r="S317" s="22"/>
      <c r="T317" s="22"/>
      <c r="U317" s="28"/>
    </row>
    <row r="318">
      <c r="A318" s="189"/>
      <c r="B318" s="22"/>
      <c r="C318" s="22"/>
      <c r="D318" s="22"/>
      <c r="E318" s="22"/>
      <c r="F318" s="22"/>
      <c r="G318" s="22"/>
      <c r="H318" s="22"/>
      <c r="I318" s="266"/>
      <c r="J318" s="272"/>
      <c r="K318" s="272"/>
      <c r="L318" s="272"/>
      <c r="M318" s="273"/>
      <c r="N318" s="273"/>
      <c r="O318" s="273"/>
      <c r="P318" s="27"/>
      <c r="Q318" s="27"/>
      <c r="R318" s="27"/>
      <c r="S318" s="22"/>
      <c r="T318" s="22"/>
      <c r="U318" s="28"/>
    </row>
    <row r="319">
      <c r="A319" s="189"/>
      <c r="B319" s="22"/>
      <c r="C319" s="22"/>
      <c r="D319" s="22"/>
      <c r="E319" s="22"/>
      <c r="F319" s="22"/>
      <c r="G319" s="22"/>
      <c r="H319" s="22"/>
      <c r="I319" s="266"/>
      <c r="J319" s="272"/>
      <c r="K319" s="272"/>
      <c r="L319" s="272"/>
      <c r="M319" s="273"/>
      <c r="N319" s="273"/>
      <c r="O319" s="273"/>
      <c r="P319" s="27"/>
      <c r="Q319" s="27"/>
      <c r="R319" s="27"/>
      <c r="S319" s="22"/>
      <c r="T319" s="22"/>
      <c r="U319" s="28"/>
    </row>
    <row r="320">
      <c r="A320" s="189"/>
      <c r="B320" s="22"/>
      <c r="C320" s="22"/>
      <c r="D320" s="22"/>
      <c r="E320" s="22"/>
      <c r="F320" s="22"/>
      <c r="G320" s="22"/>
      <c r="H320" s="22"/>
      <c r="I320" s="266"/>
      <c r="J320" s="272"/>
      <c r="K320" s="272"/>
      <c r="L320" s="272"/>
      <c r="M320" s="273"/>
      <c r="N320" s="273"/>
      <c r="O320" s="273"/>
      <c r="P320" s="27"/>
      <c r="Q320" s="27"/>
      <c r="R320" s="27"/>
      <c r="S320" s="22"/>
      <c r="T320" s="22"/>
      <c r="U320" s="28"/>
    </row>
    <row r="321">
      <c r="A321" s="189"/>
      <c r="B321" s="22"/>
      <c r="C321" s="22"/>
      <c r="D321" s="22"/>
      <c r="E321" s="22"/>
      <c r="F321" s="22"/>
      <c r="G321" s="22"/>
      <c r="H321" s="22"/>
      <c r="I321" s="266"/>
      <c r="J321" s="272"/>
      <c r="K321" s="272"/>
      <c r="L321" s="272"/>
      <c r="M321" s="273"/>
      <c r="N321" s="273"/>
      <c r="O321" s="273"/>
      <c r="P321" s="27"/>
      <c r="Q321" s="27"/>
      <c r="R321" s="27"/>
      <c r="S321" s="22"/>
      <c r="T321" s="22"/>
      <c r="U321" s="28"/>
    </row>
    <row r="322">
      <c r="A322" s="189"/>
      <c r="B322" s="22"/>
      <c r="C322" s="22"/>
      <c r="D322" s="22"/>
      <c r="E322" s="22"/>
      <c r="F322" s="22"/>
      <c r="G322" s="22"/>
      <c r="H322" s="22"/>
      <c r="I322" s="266"/>
      <c r="J322" s="272"/>
      <c r="K322" s="272"/>
      <c r="L322" s="272"/>
      <c r="M322" s="273"/>
      <c r="N322" s="273"/>
      <c r="O322" s="273"/>
      <c r="P322" s="27"/>
      <c r="Q322" s="27"/>
      <c r="R322" s="27"/>
      <c r="S322" s="22"/>
      <c r="T322" s="22"/>
      <c r="U322" s="28"/>
    </row>
    <row r="323">
      <c r="A323" s="189"/>
      <c r="B323" s="22"/>
      <c r="C323" s="22"/>
      <c r="D323" s="22"/>
      <c r="E323" s="22"/>
      <c r="F323" s="22"/>
      <c r="G323" s="22"/>
      <c r="H323" s="22"/>
      <c r="I323" s="266"/>
      <c r="J323" s="272"/>
      <c r="K323" s="272"/>
      <c r="L323" s="272"/>
      <c r="M323" s="273"/>
      <c r="N323" s="273"/>
      <c r="O323" s="273"/>
      <c r="P323" s="27"/>
      <c r="Q323" s="27"/>
      <c r="R323" s="27"/>
      <c r="S323" s="22"/>
      <c r="T323" s="22"/>
      <c r="U323" s="28"/>
    </row>
    <row r="324">
      <c r="A324" s="189"/>
      <c r="B324" s="22"/>
      <c r="C324" s="22"/>
      <c r="D324" s="22"/>
      <c r="E324" s="22"/>
      <c r="F324" s="22"/>
      <c r="G324" s="22"/>
      <c r="H324" s="22"/>
      <c r="I324" s="266"/>
      <c r="J324" s="272"/>
      <c r="K324" s="272"/>
      <c r="L324" s="272"/>
      <c r="M324" s="273"/>
      <c r="N324" s="273"/>
      <c r="O324" s="273"/>
      <c r="P324" s="27"/>
      <c r="Q324" s="27"/>
      <c r="R324" s="27"/>
      <c r="S324" s="22"/>
      <c r="T324" s="22"/>
      <c r="U324" s="28"/>
    </row>
    <row r="325">
      <c r="A325" s="189"/>
      <c r="B325" s="22"/>
      <c r="C325" s="22"/>
      <c r="D325" s="22"/>
      <c r="E325" s="22"/>
      <c r="F325" s="22"/>
      <c r="G325" s="22"/>
      <c r="H325" s="22"/>
      <c r="I325" s="266"/>
      <c r="J325" s="272"/>
      <c r="K325" s="272"/>
      <c r="L325" s="272"/>
      <c r="M325" s="273"/>
      <c r="N325" s="273"/>
      <c r="O325" s="273"/>
      <c r="P325" s="27"/>
      <c r="Q325" s="27"/>
      <c r="R325" s="27"/>
      <c r="S325" s="22"/>
      <c r="T325" s="22"/>
      <c r="U325" s="28"/>
    </row>
    <row r="326">
      <c r="A326" s="189"/>
      <c r="B326" s="22"/>
      <c r="C326" s="22"/>
      <c r="D326" s="22"/>
      <c r="E326" s="22"/>
      <c r="F326" s="22"/>
      <c r="G326" s="22"/>
      <c r="H326" s="22"/>
      <c r="I326" s="266"/>
      <c r="J326" s="272"/>
      <c r="K326" s="272"/>
      <c r="L326" s="272"/>
      <c r="M326" s="273"/>
      <c r="N326" s="273"/>
      <c r="O326" s="273"/>
      <c r="P326" s="27"/>
      <c r="Q326" s="27"/>
      <c r="R326" s="27"/>
      <c r="S326" s="22"/>
      <c r="T326" s="22"/>
      <c r="U326" s="28"/>
    </row>
    <row r="327">
      <c r="A327" s="189"/>
      <c r="B327" s="22"/>
      <c r="C327" s="22"/>
      <c r="D327" s="22"/>
      <c r="E327" s="22"/>
      <c r="F327" s="22"/>
      <c r="G327" s="22"/>
      <c r="H327" s="22"/>
      <c r="I327" s="266"/>
      <c r="J327" s="272"/>
      <c r="K327" s="272"/>
      <c r="L327" s="272"/>
      <c r="M327" s="273"/>
      <c r="N327" s="273"/>
      <c r="O327" s="273"/>
      <c r="P327" s="27"/>
      <c r="Q327" s="27"/>
      <c r="R327" s="27"/>
      <c r="S327" s="22"/>
      <c r="T327" s="22"/>
      <c r="U327" s="28"/>
    </row>
    <row r="328">
      <c r="A328" s="189"/>
      <c r="B328" s="22"/>
      <c r="C328" s="22"/>
      <c r="D328" s="22"/>
      <c r="E328" s="22"/>
      <c r="F328" s="22"/>
      <c r="G328" s="22"/>
      <c r="H328" s="22"/>
      <c r="I328" s="266"/>
      <c r="J328" s="272"/>
      <c r="K328" s="272"/>
      <c r="L328" s="272"/>
      <c r="M328" s="273"/>
      <c r="N328" s="273"/>
      <c r="O328" s="273"/>
      <c r="P328" s="27"/>
      <c r="Q328" s="27"/>
      <c r="R328" s="27"/>
      <c r="S328" s="22"/>
      <c r="T328" s="22"/>
      <c r="U328" s="28"/>
    </row>
    <row r="329">
      <c r="A329" s="189"/>
      <c r="B329" s="22"/>
      <c r="C329" s="22"/>
      <c r="D329" s="22"/>
      <c r="E329" s="22"/>
      <c r="F329" s="22"/>
      <c r="G329" s="22"/>
      <c r="H329" s="22"/>
      <c r="I329" s="266"/>
      <c r="J329" s="272"/>
      <c r="K329" s="272"/>
      <c r="L329" s="272"/>
      <c r="M329" s="273"/>
      <c r="N329" s="273"/>
      <c r="O329" s="273"/>
      <c r="P329" s="27"/>
      <c r="Q329" s="27"/>
      <c r="R329" s="27"/>
      <c r="S329" s="22"/>
      <c r="T329" s="22"/>
      <c r="U329" s="28"/>
    </row>
    <row r="330">
      <c r="A330" s="189"/>
      <c r="B330" s="22"/>
      <c r="C330" s="22"/>
      <c r="D330" s="22"/>
      <c r="E330" s="22"/>
      <c r="F330" s="22"/>
      <c r="G330" s="22"/>
      <c r="H330" s="22"/>
      <c r="I330" s="266"/>
      <c r="J330" s="272"/>
      <c r="K330" s="272"/>
      <c r="L330" s="272"/>
      <c r="M330" s="273"/>
      <c r="N330" s="273"/>
      <c r="O330" s="273"/>
      <c r="P330" s="27"/>
      <c r="Q330" s="27"/>
      <c r="R330" s="27"/>
      <c r="S330" s="22"/>
      <c r="T330" s="22"/>
      <c r="U330" s="28"/>
    </row>
    <row r="331">
      <c r="A331" s="189"/>
      <c r="B331" s="22"/>
      <c r="C331" s="22"/>
      <c r="D331" s="22"/>
      <c r="E331" s="22"/>
      <c r="F331" s="22"/>
      <c r="G331" s="22"/>
      <c r="H331" s="22"/>
      <c r="I331" s="266"/>
      <c r="J331" s="272"/>
      <c r="K331" s="272"/>
      <c r="L331" s="272"/>
      <c r="M331" s="273"/>
      <c r="N331" s="273"/>
      <c r="O331" s="273"/>
      <c r="P331" s="27"/>
      <c r="Q331" s="27"/>
      <c r="R331" s="27"/>
      <c r="S331" s="22"/>
      <c r="T331" s="22"/>
      <c r="U331" s="28"/>
    </row>
    <row r="332">
      <c r="A332" s="189"/>
      <c r="B332" s="22"/>
      <c r="C332" s="22"/>
      <c r="D332" s="22"/>
      <c r="E332" s="22"/>
      <c r="F332" s="22"/>
      <c r="G332" s="22"/>
      <c r="H332" s="22"/>
      <c r="I332" s="266"/>
      <c r="J332" s="272"/>
      <c r="K332" s="272"/>
      <c r="L332" s="272"/>
      <c r="M332" s="273"/>
      <c r="N332" s="273"/>
      <c r="O332" s="273"/>
      <c r="P332" s="27"/>
      <c r="Q332" s="27"/>
      <c r="R332" s="27"/>
      <c r="S332" s="22"/>
      <c r="T332" s="22"/>
      <c r="U332" s="28"/>
    </row>
    <row r="333">
      <c r="A333" s="189"/>
      <c r="B333" s="22"/>
      <c r="C333" s="22"/>
      <c r="D333" s="22"/>
      <c r="E333" s="22"/>
      <c r="F333" s="22"/>
      <c r="G333" s="22"/>
      <c r="H333" s="22"/>
      <c r="I333" s="266"/>
      <c r="J333" s="272"/>
      <c r="K333" s="272"/>
      <c r="L333" s="272"/>
      <c r="M333" s="273"/>
      <c r="N333" s="273"/>
      <c r="O333" s="273"/>
      <c r="P333" s="27"/>
      <c r="Q333" s="27"/>
      <c r="R333" s="27"/>
      <c r="S333" s="22"/>
      <c r="T333" s="22"/>
      <c r="U333" s="28"/>
    </row>
    <row r="334">
      <c r="A334" s="189"/>
      <c r="B334" s="22"/>
      <c r="C334" s="22"/>
      <c r="D334" s="22"/>
      <c r="E334" s="22"/>
      <c r="F334" s="22"/>
      <c r="G334" s="22"/>
      <c r="H334" s="22"/>
      <c r="I334" s="266"/>
      <c r="J334" s="272"/>
      <c r="K334" s="272"/>
      <c r="L334" s="272"/>
      <c r="M334" s="273"/>
      <c r="N334" s="273"/>
      <c r="O334" s="273"/>
      <c r="P334" s="27"/>
      <c r="Q334" s="27"/>
      <c r="R334" s="27"/>
      <c r="S334" s="22"/>
      <c r="T334" s="22"/>
      <c r="U334" s="28"/>
    </row>
    <row r="335">
      <c r="A335" s="189"/>
      <c r="B335" s="22"/>
      <c r="C335" s="22"/>
      <c r="D335" s="22"/>
      <c r="E335" s="22"/>
      <c r="F335" s="22"/>
      <c r="G335" s="22"/>
      <c r="H335" s="22"/>
      <c r="I335" s="266"/>
      <c r="J335" s="272"/>
      <c r="K335" s="272"/>
      <c r="L335" s="272"/>
      <c r="M335" s="273"/>
      <c r="N335" s="273"/>
      <c r="O335" s="273"/>
      <c r="P335" s="27"/>
      <c r="Q335" s="27"/>
      <c r="R335" s="27"/>
      <c r="S335" s="22"/>
      <c r="T335" s="22"/>
      <c r="U335" s="28"/>
    </row>
    <row r="336">
      <c r="A336" s="189"/>
      <c r="B336" s="22"/>
      <c r="C336" s="22"/>
      <c r="D336" s="22"/>
      <c r="E336" s="22"/>
      <c r="F336" s="22"/>
      <c r="G336" s="22"/>
      <c r="H336" s="22"/>
      <c r="I336" s="266"/>
      <c r="J336" s="272"/>
      <c r="K336" s="272"/>
      <c r="L336" s="272"/>
      <c r="M336" s="273"/>
      <c r="N336" s="273"/>
      <c r="O336" s="273"/>
      <c r="P336" s="27"/>
      <c r="Q336" s="27"/>
      <c r="R336" s="27"/>
      <c r="S336" s="22"/>
      <c r="T336" s="22"/>
      <c r="U336" s="28"/>
    </row>
    <row r="337">
      <c r="A337" s="189"/>
      <c r="B337" s="22"/>
      <c r="C337" s="22"/>
      <c r="D337" s="22"/>
      <c r="E337" s="22"/>
      <c r="F337" s="22"/>
      <c r="G337" s="22"/>
      <c r="H337" s="22"/>
      <c r="I337" s="266"/>
      <c r="J337" s="272"/>
      <c r="K337" s="272"/>
      <c r="L337" s="272"/>
      <c r="M337" s="273"/>
      <c r="N337" s="273"/>
      <c r="O337" s="273"/>
      <c r="P337" s="27"/>
      <c r="Q337" s="27"/>
      <c r="R337" s="27"/>
      <c r="S337" s="22"/>
      <c r="T337" s="22"/>
      <c r="U337" s="28"/>
    </row>
    <row r="338">
      <c r="A338" s="189"/>
      <c r="B338" s="22"/>
      <c r="C338" s="22"/>
      <c r="D338" s="22"/>
      <c r="E338" s="22"/>
      <c r="F338" s="22"/>
      <c r="G338" s="22"/>
      <c r="H338" s="22"/>
      <c r="I338" s="266"/>
      <c r="J338" s="272"/>
      <c r="K338" s="272"/>
      <c r="L338" s="272"/>
      <c r="M338" s="273"/>
      <c r="N338" s="273"/>
      <c r="O338" s="273"/>
      <c r="P338" s="27"/>
      <c r="Q338" s="27"/>
      <c r="R338" s="27"/>
      <c r="S338" s="22"/>
      <c r="T338" s="22"/>
      <c r="U338" s="28"/>
    </row>
    <row r="339">
      <c r="A339" s="189"/>
      <c r="B339" s="22"/>
      <c r="C339" s="22"/>
      <c r="D339" s="22"/>
      <c r="E339" s="22"/>
      <c r="F339" s="22"/>
      <c r="G339" s="22"/>
      <c r="H339" s="22"/>
      <c r="I339" s="266"/>
      <c r="J339" s="272"/>
      <c r="K339" s="272"/>
      <c r="L339" s="272"/>
      <c r="M339" s="273"/>
      <c r="N339" s="273"/>
      <c r="O339" s="273"/>
      <c r="P339" s="27"/>
      <c r="Q339" s="27"/>
      <c r="R339" s="27"/>
      <c r="S339" s="22"/>
      <c r="T339" s="22"/>
      <c r="U339" s="28"/>
    </row>
    <row r="340">
      <c r="A340" s="189"/>
      <c r="B340" s="22"/>
      <c r="C340" s="22"/>
      <c r="D340" s="22"/>
      <c r="E340" s="22"/>
      <c r="F340" s="22"/>
      <c r="G340" s="22"/>
      <c r="H340" s="22"/>
      <c r="I340" s="266"/>
      <c r="J340" s="272"/>
      <c r="K340" s="272"/>
      <c r="L340" s="272"/>
      <c r="M340" s="273"/>
      <c r="N340" s="273"/>
      <c r="O340" s="273"/>
      <c r="P340" s="27"/>
      <c r="Q340" s="27"/>
      <c r="R340" s="27"/>
      <c r="S340" s="22"/>
      <c r="T340" s="22"/>
      <c r="U340" s="28"/>
    </row>
    <row r="341">
      <c r="A341" s="189"/>
      <c r="B341" s="22"/>
      <c r="C341" s="22"/>
      <c r="D341" s="22"/>
      <c r="E341" s="22"/>
      <c r="F341" s="22"/>
      <c r="G341" s="22"/>
      <c r="H341" s="22"/>
      <c r="I341" s="266"/>
      <c r="J341" s="272"/>
      <c r="K341" s="272"/>
      <c r="L341" s="272"/>
      <c r="M341" s="273"/>
      <c r="N341" s="273"/>
      <c r="O341" s="273"/>
      <c r="P341" s="27"/>
      <c r="Q341" s="27"/>
      <c r="R341" s="27"/>
      <c r="S341" s="22"/>
      <c r="T341" s="22"/>
      <c r="U341" s="28"/>
    </row>
    <row r="342">
      <c r="A342" s="189"/>
      <c r="B342" s="22"/>
      <c r="C342" s="22"/>
      <c r="D342" s="22"/>
      <c r="E342" s="22"/>
      <c r="F342" s="22"/>
      <c r="G342" s="22"/>
      <c r="H342" s="22"/>
      <c r="I342" s="266"/>
      <c r="J342" s="272"/>
      <c r="K342" s="272"/>
      <c r="L342" s="272"/>
      <c r="M342" s="273"/>
      <c r="N342" s="273"/>
      <c r="O342" s="273"/>
      <c r="P342" s="27"/>
      <c r="Q342" s="27"/>
      <c r="R342" s="27"/>
      <c r="S342" s="22"/>
      <c r="T342" s="22"/>
      <c r="U342" s="28"/>
    </row>
    <row r="343">
      <c r="A343" s="189"/>
      <c r="B343" s="22"/>
      <c r="C343" s="22"/>
      <c r="D343" s="22"/>
      <c r="E343" s="22"/>
      <c r="F343" s="22"/>
      <c r="G343" s="22"/>
      <c r="H343" s="22"/>
      <c r="I343" s="266"/>
      <c r="J343" s="272"/>
      <c r="K343" s="272"/>
      <c r="L343" s="272"/>
      <c r="M343" s="273"/>
      <c r="N343" s="273"/>
      <c r="O343" s="273"/>
      <c r="P343" s="27"/>
      <c r="Q343" s="27"/>
      <c r="R343" s="27"/>
      <c r="S343" s="22"/>
      <c r="T343" s="22"/>
      <c r="U343" s="28"/>
    </row>
    <row r="344">
      <c r="A344" s="189"/>
      <c r="B344" s="22"/>
      <c r="C344" s="22"/>
      <c r="D344" s="22"/>
      <c r="E344" s="22"/>
      <c r="F344" s="22"/>
      <c r="G344" s="22"/>
      <c r="H344" s="22"/>
      <c r="I344" s="266"/>
      <c r="J344" s="272"/>
      <c r="K344" s="272"/>
      <c r="L344" s="272"/>
      <c r="M344" s="273"/>
      <c r="N344" s="273"/>
      <c r="O344" s="273"/>
      <c r="P344" s="27"/>
      <c r="Q344" s="27"/>
      <c r="R344" s="27"/>
      <c r="S344" s="22"/>
      <c r="T344" s="22"/>
      <c r="U344" s="28"/>
    </row>
    <row r="345">
      <c r="A345" s="189"/>
      <c r="B345" s="22"/>
      <c r="C345" s="22"/>
      <c r="D345" s="22"/>
      <c r="E345" s="22"/>
      <c r="F345" s="22"/>
      <c r="G345" s="22"/>
      <c r="H345" s="22"/>
      <c r="I345" s="266"/>
      <c r="J345" s="272"/>
      <c r="K345" s="272"/>
      <c r="L345" s="272"/>
      <c r="M345" s="273"/>
      <c r="N345" s="273"/>
      <c r="O345" s="273"/>
      <c r="P345" s="27"/>
      <c r="Q345" s="27"/>
      <c r="R345" s="27"/>
      <c r="S345" s="22"/>
      <c r="T345" s="22"/>
      <c r="U345" s="28"/>
    </row>
    <row r="346">
      <c r="A346" s="189"/>
      <c r="B346" s="22"/>
      <c r="C346" s="22"/>
      <c r="D346" s="22"/>
      <c r="E346" s="22"/>
      <c r="F346" s="22"/>
      <c r="G346" s="22"/>
      <c r="H346" s="22"/>
      <c r="I346" s="266"/>
      <c r="J346" s="272"/>
      <c r="K346" s="272"/>
      <c r="L346" s="272"/>
      <c r="M346" s="273"/>
      <c r="N346" s="273"/>
      <c r="O346" s="273"/>
      <c r="P346" s="27"/>
      <c r="Q346" s="27"/>
      <c r="R346" s="27"/>
      <c r="S346" s="22"/>
      <c r="T346" s="22"/>
      <c r="U346" s="28"/>
    </row>
    <row r="347">
      <c r="A347" s="189"/>
      <c r="B347" s="22"/>
      <c r="C347" s="22"/>
      <c r="D347" s="22"/>
      <c r="E347" s="22"/>
      <c r="F347" s="22"/>
      <c r="G347" s="22"/>
      <c r="H347" s="22"/>
      <c r="I347" s="266"/>
      <c r="J347" s="272"/>
      <c r="K347" s="272"/>
      <c r="L347" s="272"/>
      <c r="M347" s="273"/>
      <c r="N347" s="273"/>
      <c r="O347" s="273"/>
      <c r="P347" s="27"/>
      <c r="Q347" s="27"/>
      <c r="R347" s="27"/>
      <c r="S347" s="22"/>
      <c r="T347" s="22"/>
      <c r="U347" s="28"/>
    </row>
    <row r="348">
      <c r="A348" s="189"/>
      <c r="B348" s="22"/>
      <c r="C348" s="22"/>
      <c r="D348" s="22"/>
      <c r="E348" s="22"/>
      <c r="F348" s="22"/>
      <c r="G348" s="22"/>
      <c r="H348" s="22"/>
      <c r="I348" s="266"/>
      <c r="J348" s="272"/>
      <c r="K348" s="272"/>
      <c r="L348" s="272"/>
      <c r="M348" s="273"/>
      <c r="N348" s="273"/>
      <c r="O348" s="273"/>
      <c r="P348" s="27"/>
      <c r="Q348" s="27"/>
      <c r="R348" s="27"/>
      <c r="S348" s="22"/>
      <c r="T348" s="22"/>
      <c r="U348" s="28"/>
    </row>
    <row r="349">
      <c r="A349" s="189"/>
      <c r="B349" s="22"/>
      <c r="C349" s="22"/>
      <c r="D349" s="22"/>
      <c r="E349" s="22"/>
      <c r="F349" s="22"/>
      <c r="G349" s="22"/>
      <c r="H349" s="22"/>
      <c r="I349" s="266"/>
      <c r="J349" s="272"/>
      <c r="K349" s="272"/>
      <c r="L349" s="272"/>
      <c r="M349" s="273"/>
      <c r="N349" s="273"/>
      <c r="O349" s="273"/>
      <c r="P349" s="27"/>
      <c r="Q349" s="27"/>
      <c r="R349" s="27"/>
      <c r="S349" s="22"/>
      <c r="T349" s="22"/>
      <c r="U349" s="28"/>
    </row>
    <row r="350">
      <c r="A350" s="189"/>
      <c r="B350" s="22"/>
      <c r="C350" s="22"/>
      <c r="D350" s="22"/>
      <c r="E350" s="22"/>
      <c r="F350" s="22"/>
      <c r="G350" s="22"/>
      <c r="H350" s="22"/>
      <c r="I350" s="266"/>
      <c r="J350" s="272"/>
      <c r="K350" s="272"/>
      <c r="L350" s="272"/>
      <c r="M350" s="273"/>
      <c r="N350" s="273"/>
      <c r="O350" s="273"/>
      <c r="P350" s="27"/>
      <c r="Q350" s="27"/>
      <c r="R350" s="27"/>
      <c r="S350" s="22"/>
      <c r="T350" s="22"/>
      <c r="U350" s="28"/>
    </row>
    <row r="351">
      <c r="A351" s="189"/>
      <c r="B351" s="22"/>
      <c r="C351" s="22"/>
      <c r="D351" s="22"/>
      <c r="E351" s="22"/>
      <c r="F351" s="22"/>
      <c r="G351" s="22"/>
      <c r="H351" s="22"/>
      <c r="I351" s="266"/>
      <c r="J351" s="272"/>
      <c r="K351" s="272"/>
      <c r="L351" s="272"/>
      <c r="M351" s="273"/>
      <c r="N351" s="273"/>
      <c r="O351" s="273"/>
      <c r="P351" s="27"/>
      <c r="Q351" s="27"/>
      <c r="R351" s="27"/>
      <c r="S351" s="22"/>
      <c r="T351" s="22"/>
      <c r="U351" s="28"/>
    </row>
    <row r="352">
      <c r="A352" s="189"/>
      <c r="B352" s="22"/>
      <c r="C352" s="22"/>
      <c r="D352" s="22"/>
      <c r="E352" s="22"/>
      <c r="F352" s="22"/>
      <c r="G352" s="22"/>
      <c r="H352" s="22"/>
      <c r="I352" s="266"/>
      <c r="J352" s="272"/>
      <c r="K352" s="272"/>
      <c r="L352" s="272"/>
      <c r="M352" s="273"/>
      <c r="N352" s="273"/>
      <c r="O352" s="273"/>
      <c r="P352" s="27"/>
      <c r="Q352" s="27"/>
      <c r="R352" s="27"/>
      <c r="S352" s="22"/>
      <c r="T352" s="22"/>
      <c r="U352" s="28"/>
    </row>
    <row r="353">
      <c r="A353" s="189"/>
      <c r="B353" s="22"/>
      <c r="C353" s="22"/>
      <c r="D353" s="22"/>
      <c r="E353" s="22"/>
      <c r="F353" s="22"/>
      <c r="G353" s="22"/>
      <c r="H353" s="22"/>
      <c r="I353" s="266"/>
      <c r="J353" s="272"/>
      <c r="K353" s="272"/>
      <c r="L353" s="272"/>
      <c r="M353" s="273"/>
      <c r="N353" s="273"/>
      <c r="O353" s="273"/>
      <c r="P353" s="27"/>
      <c r="Q353" s="27"/>
      <c r="R353" s="27"/>
      <c r="S353" s="22"/>
      <c r="T353" s="22"/>
      <c r="U353" s="28"/>
    </row>
    <row r="354">
      <c r="A354" s="189"/>
      <c r="B354" s="22"/>
      <c r="C354" s="22"/>
      <c r="D354" s="22"/>
      <c r="E354" s="22"/>
      <c r="F354" s="22"/>
      <c r="G354" s="22"/>
      <c r="H354" s="22"/>
      <c r="I354" s="266"/>
      <c r="J354" s="272"/>
      <c r="K354" s="272"/>
      <c r="L354" s="272"/>
      <c r="M354" s="273"/>
      <c r="N354" s="273"/>
      <c r="O354" s="273"/>
      <c r="P354" s="27"/>
      <c r="Q354" s="27"/>
      <c r="R354" s="27"/>
      <c r="S354" s="22"/>
      <c r="T354" s="22"/>
      <c r="U354" s="28"/>
    </row>
    <row r="355">
      <c r="A355" s="189"/>
      <c r="B355" s="22"/>
      <c r="C355" s="22"/>
      <c r="D355" s="22"/>
      <c r="E355" s="22"/>
      <c r="F355" s="22"/>
      <c r="G355" s="22"/>
      <c r="H355" s="22"/>
      <c r="I355" s="266"/>
      <c r="J355" s="272"/>
      <c r="K355" s="272"/>
      <c r="L355" s="272"/>
      <c r="M355" s="273"/>
      <c r="N355" s="273"/>
      <c r="O355" s="273"/>
      <c r="P355" s="27"/>
      <c r="Q355" s="27"/>
      <c r="R355" s="27"/>
      <c r="S355" s="22"/>
      <c r="T355" s="22"/>
      <c r="U355" s="28"/>
    </row>
    <row r="356">
      <c r="A356" s="189"/>
      <c r="B356" s="22"/>
      <c r="C356" s="22"/>
      <c r="D356" s="22"/>
      <c r="E356" s="22"/>
      <c r="F356" s="22"/>
      <c r="G356" s="22"/>
      <c r="H356" s="22"/>
      <c r="I356" s="266"/>
      <c r="J356" s="272"/>
      <c r="K356" s="272"/>
      <c r="L356" s="272"/>
      <c r="M356" s="273"/>
      <c r="N356" s="273"/>
      <c r="O356" s="273"/>
      <c r="P356" s="27"/>
      <c r="Q356" s="27"/>
      <c r="R356" s="27"/>
      <c r="S356" s="22"/>
      <c r="T356" s="22"/>
      <c r="U356" s="28"/>
    </row>
    <row r="357">
      <c r="A357" s="189"/>
      <c r="B357" s="22"/>
      <c r="C357" s="22"/>
      <c r="D357" s="22"/>
      <c r="E357" s="22"/>
      <c r="F357" s="22"/>
      <c r="G357" s="22"/>
      <c r="H357" s="22"/>
      <c r="I357" s="266"/>
      <c r="J357" s="272"/>
      <c r="K357" s="272"/>
      <c r="L357" s="272"/>
      <c r="M357" s="273"/>
      <c r="N357" s="273"/>
      <c r="O357" s="273"/>
      <c r="P357" s="27"/>
      <c r="Q357" s="27"/>
      <c r="R357" s="27"/>
      <c r="S357" s="22"/>
      <c r="T357" s="22"/>
      <c r="U357" s="28"/>
    </row>
    <row r="358">
      <c r="A358" s="189"/>
      <c r="B358" s="22"/>
      <c r="C358" s="22"/>
      <c r="D358" s="22"/>
      <c r="E358" s="22"/>
      <c r="F358" s="22"/>
      <c r="G358" s="22"/>
      <c r="H358" s="22"/>
      <c r="I358" s="266"/>
      <c r="J358" s="272"/>
      <c r="K358" s="272"/>
      <c r="L358" s="272"/>
      <c r="M358" s="273"/>
      <c r="N358" s="273"/>
      <c r="O358" s="273"/>
      <c r="P358" s="27"/>
      <c r="Q358" s="27"/>
      <c r="R358" s="27"/>
      <c r="S358" s="22"/>
      <c r="T358" s="22"/>
      <c r="U358" s="28"/>
    </row>
    <row r="359">
      <c r="A359" s="189"/>
      <c r="B359" s="22"/>
      <c r="C359" s="22"/>
      <c r="D359" s="22"/>
      <c r="E359" s="22"/>
      <c r="F359" s="22"/>
      <c r="G359" s="22"/>
      <c r="H359" s="22"/>
      <c r="I359" s="266"/>
      <c r="J359" s="272"/>
      <c r="K359" s="272"/>
      <c r="L359" s="272"/>
      <c r="M359" s="273"/>
      <c r="N359" s="273"/>
      <c r="O359" s="273"/>
      <c r="P359" s="27"/>
      <c r="Q359" s="27"/>
      <c r="R359" s="27"/>
      <c r="S359" s="22"/>
      <c r="T359" s="22"/>
      <c r="U359" s="28"/>
    </row>
    <row r="360">
      <c r="A360" s="189"/>
      <c r="B360" s="22"/>
      <c r="C360" s="22"/>
      <c r="D360" s="22"/>
      <c r="E360" s="22"/>
      <c r="F360" s="22"/>
      <c r="G360" s="22"/>
      <c r="H360" s="22"/>
      <c r="I360" s="266"/>
      <c r="J360" s="272"/>
      <c r="K360" s="272"/>
      <c r="L360" s="272"/>
      <c r="M360" s="273"/>
      <c r="N360" s="273"/>
      <c r="O360" s="273"/>
      <c r="P360" s="27"/>
      <c r="Q360" s="27"/>
      <c r="R360" s="27"/>
      <c r="S360" s="22"/>
      <c r="T360" s="22"/>
      <c r="U360" s="28"/>
    </row>
    <row r="361">
      <c r="A361" s="189"/>
      <c r="B361" s="22"/>
      <c r="C361" s="22"/>
      <c r="D361" s="22"/>
      <c r="E361" s="22"/>
      <c r="F361" s="22"/>
      <c r="G361" s="22"/>
      <c r="H361" s="22"/>
      <c r="I361" s="266"/>
      <c r="J361" s="272"/>
      <c r="K361" s="272"/>
      <c r="L361" s="272"/>
      <c r="M361" s="273"/>
      <c r="N361" s="273"/>
      <c r="O361" s="273"/>
      <c r="P361" s="27"/>
      <c r="Q361" s="27"/>
      <c r="R361" s="27"/>
      <c r="S361" s="22"/>
      <c r="T361" s="22"/>
      <c r="U361" s="28"/>
    </row>
    <row r="362">
      <c r="A362" s="189"/>
      <c r="B362" s="22"/>
      <c r="C362" s="22"/>
      <c r="D362" s="22"/>
      <c r="E362" s="22"/>
      <c r="F362" s="22"/>
      <c r="G362" s="22"/>
      <c r="H362" s="22"/>
      <c r="I362" s="266"/>
      <c r="J362" s="272"/>
      <c r="K362" s="272"/>
      <c r="L362" s="272"/>
      <c r="M362" s="273"/>
      <c r="N362" s="273"/>
      <c r="O362" s="273"/>
      <c r="P362" s="27"/>
      <c r="Q362" s="27"/>
      <c r="R362" s="27"/>
      <c r="S362" s="22"/>
      <c r="T362" s="22"/>
      <c r="U362" s="28"/>
    </row>
    <row r="363">
      <c r="A363" s="189"/>
      <c r="B363" s="22"/>
      <c r="C363" s="22"/>
      <c r="D363" s="22"/>
      <c r="E363" s="22"/>
      <c r="F363" s="22"/>
      <c r="G363" s="22"/>
      <c r="H363" s="22"/>
      <c r="I363" s="266"/>
      <c r="J363" s="272"/>
      <c r="K363" s="272"/>
      <c r="L363" s="272"/>
      <c r="M363" s="273"/>
      <c r="N363" s="273"/>
      <c r="O363" s="273"/>
      <c r="P363" s="27"/>
      <c r="Q363" s="27"/>
      <c r="R363" s="27"/>
      <c r="S363" s="22"/>
      <c r="T363" s="22"/>
      <c r="U363" s="28"/>
    </row>
    <row r="364">
      <c r="A364" s="189"/>
      <c r="B364" s="22"/>
      <c r="C364" s="22"/>
      <c r="D364" s="22"/>
      <c r="E364" s="22"/>
      <c r="F364" s="22"/>
      <c r="G364" s="22"/>
      <c r="H364" s="22"/>
      <c r="I364" s="266"/>
      <c r="J364" s="272"/>
      <c r="K364" s="272"/>
      <c r="L364" s="272"/>
      <c r="M364" s="273"/>
      <c r="N364" s="273"/>
      <c r="O364" s="273"/>
      <c r="P364" s="27"/>
      <c r="Q364" s="27"/>
      <c r="R364" s="27"/>
      <c r="S364" s="22"/>
      <c r="T364" s="22"/>
      <c r="U364" s="28"/>
    </row>
    <row r="365">
      <c r="A365" s="189"/>
      <c r="B365" s="22"/>
      <c r="C365" s="22"/>
      <c r="D365" s="22"/>
      <c r="E365" s="22"/>
      <c r="F365" s="22"/>
      <c r="G365" s="22"/>
      <c r="H365" s="22"/>
      <c r="I365" s="266"/>
      <c r="J365" s="272"/>
      <c r="K365" s="272"/>
      <c r="L365" s="272"/>
      <c r="M365" s="273"/>
      <c r="N365" s="273"/>
      <c r="O365" s="273"/>
      <c r="P365" s="27"/>
      <c r="Q365" s="27"/>
      <c r="R365" s="27"/>
      <c r="S365" s="22"/>
      <c r="T365" s="22"/>
      <c r="U365" s="28"/>
    </row>
    <row r="366">
      <c r="A366" s="189"/>
      <c r="B366" s="22"/>
      <c r="C366" s="22"/>
      <c r="D366" s="22"/>
      <c r="E366" s="22"/>
      <c r="F366" s="22"/>
      <c r="G366" s="22"/>
      <c r="H366" s="22"/>
      <c r="I366" s="266"/>
      <c r="J366" s="272"/>
      <c r="K366" s="272"/>
      <c r="L366" s="272"/>
      <c r="M366" s="273"/>
      <c r="N366" s="273"/>
      <c r="O366" s="273"/>
      <c r="P366" s="27"/>
      <c r="Q366" s="27"/>
      <c r="R366" s="27"/>
      <c r="S366" s="22"/>
      <c r="T366" s="22"/>
      <c r="U366" s="28"/>
    </row>
    <row r="367">
      <c r="A367" s="189"/>
      <c r="B367" s="22"/>
      <c r="C367" s="22"/>
      <c r="D367" s="22"/>
      <c r="E367" s="22"/>
      <c r="F367" s="22"/>
      <c r="G367" s="22"/>
      <c r="H367" s="22"/>
      <c r="I367" s="266"/>
      <c r="J367" s="272"/>
      <c r="K367" s="272"/>
      <c r="L367" s="272"/>
      <c r="M367" s="273"/>
      <c r="N367" s="273"/>
      <c r="O367" s="273"/>
      <c r="P367" s="27"/>
      <c r="Q367" s="27"/>
      <c r="R367" s="27"/>
      <c r="S367" s="22"/>
      <c r="T367" s="22"/>
      <c r="U367" s="28"/>
    </row>
    <row r="368">
      <c r="A368" s="189"/>
      <c r="B368" s="22"/>
      <c r="C368" s="22"/>
      <c r="D368" s="22"/>
      <c r="E368" s="22"/>
      <c r="F368" s="22"/>
      <c r="G368" s="22"/>
      <c r="H368" s="22"/>
      <c r="I368" s="266"/>
      <c r="J368" s="272"/>
      <c r="K368" s="272"/>
      <c r="L368" s="272"/>
      <c r="M368" s="273"/>
      <c r="N368" s="273"/>
      <c r="O368" s="273"/>
      <c r="P368" s="27"/>
      <c r="Q368" s="27"/>
      <c r="R368" s="27"/>
      <c r="S368" s="22"/>
      <c r="T368" s="22"/>
      <c r="U368" s="28"/>
    </row>
    <row r="369">
      <c r="A369" s="189"/>
      <c r="B369" s="22"/>
      <c r="C369" s="22"/>
      <c r="D369" s="22"/>
      <c r="E369" s="22"/>
      <c r="F369" s="22"/>
      <c r="G369" s="22"/>
      <c r="H369" s="22"/>
      <c r="I369" s="266"/>
      <c r="J369" s="272"/>
      <c r="K369" s="272"/>
      <c r="L369" s="272"/>
      <c r="M369" s="273"/>
      <c r="N369" s="273"/>
      <c r="O369" s="273"/>
      <c r="P369" s="27"/>
      <c r="Q369" s="27"/>
      <c r="R369" s="27"/>
      <c r="S369" s="22"/>
      <c r="T369" s="22"/>
      <c r="U369" s="28"/>
    </row>
    <row r="370">
      <c r="A370" s="189"/>
      <c r="B370" s="22"/>
      <c r="C370" s="22"/>
      <c r="D370" s="22"/>
      <c r="E370" s="22"/>
      <c r="F370" s="22"/>
      <c r="G370" s="22"/>
      <c r="H370" s="22"/>
      <c r="I370" s="266"/>
      <c r="J370" s="272"/>
      <c r="K370" s="272"/>
      <c r="L370" s="272"/>
      <c r="M370" s="273"/>
      <c r="N370" s="273"/>
      <c r="O370" s="273"/>
      <c r="P370" s="27"/>
      <c r="Q370" s="27"/>
      <c r="R370" s="27"/>
      <c r="S370" s="22"/>
      <c r="T370" s="22"/>
      <c r="U370" s="28"/>
    </row>
    <row r="371">
      <c r="A371" s="189"/>
      <c r="B371" s="22"/>
      <c r="C371" s="22"/>
      <c r="D371" s="22"/>
      <c r="E371" s="22"/>
      <c r="F371" s="22"/>
      <c r="G371" s="22"/>
      <c r="H371" s="22"/>
      <c r="I371" s="266"/>
      <c r="J371" s="272"/>
      <c r="K371" s="272"/>
      <c r="L371" s="272"/>
      <c r="M371" s="273"/>
      <c r="N371" s="273"/>
      <c r="O371" s="273"/>
      <c r="P371" s="27"/>
      <c r="Q371" s="27"/>
      <c r="R371" s="27"/>
      <c r="S371" s="22"/>
      <c r="T371" s="22"/>
      <c r="U371" s="28"/>
    </row>
    <row r="372">
      <c r="A372" s="189"/>
      <c r="B372" s="22"/>
      <c r="C372" s="22"/>
      <c r="D372" s="22"/>
      <c r="E372" s="22"/>
      <c r="F372" s="22"/>
      <c r="G372" s="22"/>
      <c r="H372" s="22"/>
      <c r="I372" s="266"/>
      <c r="J372" s="272"/>
      <c r="K372" s="272"/>
      <c r="L372" s="272"/>
      <c r="M372" s="273"/>
      <c r="N372" s="273"/>
      <c r="O372" s="273"/>
      <c r="P372" s="27"/>
      <c r="Q372" s="27"/>
      <c r="R372" s="27"/>
      <c r="S372" s="22"/>
      <c r="T372" s="22"/>
      <c r="U372" s="28"/>
    </row>
    <row r="373">
      <c r="A373" s="189"/>
      <c r="B373" s="22"/>
      <c r="C373" s="22"/>
      <c r="D373" s="22"/>
      <c r="E373" s="22"/>
      <c r="F373" s="22"/>
      <c r="G373" s="22"/>
      <c r="H373" s="22"/>
      <c r="I373" s="266"/>
      <c r="J373" s="272"/>
      <c r="K373" s="272"/>
      <c r="L373" s="272"/>
      <c r="M373" s="273"/>
      <c r="N373" s="273"/>
      <c r="O373" s="273"/>
      <c r="P373" s="27"/>
      <c r="Q373" s="27"/>
      <c r="R373" s="27"/>
      <c r="S373" s="22"/>
      <c r="T373" s="22"/>
      <c r="U373" s="28"/>
    </row>
    <row r="374">
      <c r="A374" s="189"/>
      <c r="B374" s="22"/>
      <c r="C374" s="22"/>
      <c r="D374" s="22"/>
      <c r="E374" s="22"/>
      <c r="F374" s="22"/>
      <c r="G374" s="22"/>
      <c r="H374" s="22"/>
      <c r="I374" s="266"/>
      <c r="J374" s="272"/>
      <c r="K374" s="272"/>
      <c r="L374" s="272"/>
      <c r="M374" s="273"/>
      <c r="N374" s="273"/>
      <c r="O374" s="273"/>
      <c r="P374" s="27"/>
      <c r="Q374" s="27"/>
      <c r="R374" s="27"/>
      <c r="S374" s="22"/>
      <c r="T374" s="22"/>
      <c r="U374" s="28"/>
    </row>
    <row r="375">
      <c r="A375" s="189"/>
      <c r="B375" s="22"/>
      <c r="C375" s="22"/>
      <c r="D375" s="22"/>
      <c r="E375" s="22"/>
      <c r="F375" s="22"/>
      <c r="G375" s="22"/>
      <c r="H375" s="22"/>
      <c r="I375" s="266"/>
      <c r="J375" s="272"/>
      <c r="K375" s="272"/>
      <c r="L375" s="272"/>
      <c r="M375" s="273"/>
      <c r="N375" s="273"/>
      <c r="O375" s="273"/>
      <c r="P375" s="27"/>
      <c r="Q375" s="27"/>
      <c r="R375" s="27"/>
      <c r="S375" s="22"/>
      <c r="T375" s="22"/>
      <c r="U375" s="28"/>
    </row>
    <row r="376">
      <c r="A376" s="189"/>
      <c r="B376" s="22"/>
      <c r="C376" s="22"/>
      <c r="D376" s="22"/>
      <c r="E376" s="22"/>
      <c r="F376" s="22"/>
      <c r="G376" s="22"/>
      <c r="H376" s="22"/>
      <c r="I376" s="266"/>
      <c r="J376" s="272"/>
      <c r="K376" s="272"/>
      <c r="L376" s="272"/>
      <c r="M376" s="273"/>
      <c r="N376" s="273"/>
      <c r="O376" s="273"/>
      <c r="P376" s="27"/>
      <c r="Q376" s="27"/>
      <c r="R376" s="27"/>
      <c r="S376" s="22"/>
      <c r="T376" s="22"/>
      <c r="U376" s="28"/>
    </row>
    <row r="377">
      <c r="A377" s="189"/>
      <c r="B377" s="22"/>
      <c r="C377" s="22"/>
      <c r="D377" s="22"/>
      <c r="E377" s="22"/>
      <c r="F377" s="22"/>
      <c r="G377" s="22"/>
      <c r="H377" s="22"/>
      <c r="I377" s="266"/>
      <c r="J377" s="272"/>
      <c r="K377" s="272"/>
      <c r="L377" s="272"/>
      <c r="M377" s="273"/>
      <c r="N377" s="273"/>
      <c r="O377" s="273"/>
      <c r="P377" s="27"/>
      <c r="Q377" s="27"/>
      <c r="R377" s="27"/>
      <c r="S377" s="22"/>
      <c r="T377" s="22"/>
      <c r="U377" s="28"/>
    </row>
    <row r="378">
      <c r="A378" s="189"/>
      <c r="B378" s="22"/>
      <c r="C378" s="22"/>
      <c r="D378" s="22"/>
      <c r="E378" s="22"/>
      <c r="F378" s="22"/>
      <c r="G378" s="22"/>
      <c r="H378" s="22"/>
      <c r="I378" s="266"/>
      <c r="J378" s="272"/>
      <c r="K378" s="272"/>
      <c r="L378" s="272"/>
      <c r="M378" s="273"/>
      <c r="N378" s="273"/>
      <c r="O378" s="273"/>
      <c r="P378" s="27"/>
      <c r="Q378" s="27"/>
      <c r="R378" s="27"/>
      <c r="S378" s="22"/>
      <c r="T378" s="22"/>
      <c r="U378" s="28"/>
    </row>
    <row r="379">
      <c r="A379" s="189"/>
      <c r="B379" s="22"/>
      <c r="C379" s="22"/>
      <c r="D379" s="22"/>
      <c r="E379" s="22"/>
      <c r="F379" s="22"/>
      <c r="G379" s="22"/>
      <c r="H379" s="22"/>
      <c r="I379" s="266"/>
      <c r="J379" s="272"/>
      <c r="K379" s="272"/>
      <c r="L379" s="272"/>
      <c r="M379" s="273"/>
      <c r="N379" s="273"/>
      <c r="O379" s="273"/>
      <c r="P379" s="27"/>
      <c r="Q379" s="27"/>
      <c r="R379" s="27"/>
      <c r="S379" s="22"/>
      <c r="T379" s="22"/>
      <c r="U379" s="28"/>
    </row>
    <row r="380">
      <c r="A380" s="189"/>
      <c r="B380" s="22"/>
      <c r="C380" s="22"/>
      <c r="D380" s="22"/>
      <c r="E380" s="22"/>
      <c r="F380" s="22"/>
      <c r="G380" s="22"/>
      <c r="H380" s="22"/>
      <c r="I380" s="266"/>
      <c r="J380" s="272"/>
      <c r="K380" s="272"/>
      <c r="L380" s="272"/>
      <c r="M380" s="273"/>
      <c r="N380" s="273"/>
      <c r="O380" s="273"/>
      <c r="P380" s="27"/>
      <c r="Q380" s="27"/>
      <c r="R380" s="27"/>
      <c r="S380" s="22"/>
      <c r="T380" s="22"/>
      <c r="U380" s="28"/>
    </row>
    <row r="381">
      <c r="A381" s="189"/>
      <c r="B381" s="22"/>
      <c r="C381" s="22"/>
      <c r="D381" s="22"/>
      <c r="E381" s="22"/>
      <c r="F381" s="22"/>
      <c r="G381" s="22"/>
      <c r="H381" s="22"/>
      <c r="I381" s="266"/>
      <c r="J381" s="272"/>
      <c r="K381" s="272"/>
      <c r="L381" s="272"/>
      <c r="M381" s="273"/>
      <c r="N381" s="273"/>
      <c r="O381" s="273"/>
      <c r="P381" s="27"/>
      <c r="Q381" s="27"/>
      <c r="R381" s="27"/>
      <c r="S381" s="22"/>
      <c r="T381" s="22"/>
      <c r="U381" s="28"/>
    </row>
    <row r="382">
      <c r="A382" s="189"/>
      <c r="B382" s="22"/>
      <c r="C382" s="22"/>
      <c r="D382" s="22"/>
      <c r="E382" s="22"/>
      <c r="F382" s="22"/>
      <c r="G382" s="22"/>
      <c r="H382" s="22"/>
      <c r="I382" s="266"/>
      <c r="J382" s="272"/>
      <c r="K382" s="272"/>
      <c r="L382" s="272"/>
      <c r="M382" s="273"/>
      <c r="N382" s="273"/>
      <c r="O382" s="273"/>
      <c r="P382" s="27"/>
      <c r="Q382" s="27"/>
      <c r="R382" s="27"/>
      <c r="S382" s="22"/>
      <c r="T382" s="22"/>
      <c r="U382" s="28"/>
    </row>
    <row r="383">
      <c r="A383" s="189"/>
      <c r="B383" s="22"/>
      <c r="C383" s="22"/>
      <c r="D383" s="22"/>
      <c r="E383" s="22"/>
      <c r="F383" s="22"/>
      <c r="G383" s="22"/>
      <c r="H383" s="22"/>
      <c r="I383" s="266"/>
      <c r="J383" s="272"/>
      <c r="K383" s="272"/>
      <c r="L383" s="272"/>
      <c r="M383" s="273"/>
      <c r="N383" s="273"/>
      <c r="O383" s="273"/>
      <c r="P383" s="27"/>
      <c r="Q383" s="27"/>
      <c r="R383" s="27"/>
      <c r="S383" s="22"/>
      <c r="T383" s="22"/>
      <c r="U383" s="28"/>
    </row>
    <row r="384">
      <c r="A384" s="189"/>
      <c r="B384" s="22"/>
      <c r="C384" s="22"/>
      <c r="D384" s="22"/>
      <c r="E384" s="22"/>
      <c r="F384" s="22"/>
      <c r="G384" s="22"/>
      <c r="H384" s="22"/>
      <c r="I384" s="266"/>
      <c r="J384" s="272"/>
      <c r="K384" s="272"/>
      <c r="L384" s="272"/>
      <c r="M384" s="273"/>
      <c r="N384" s="273"/>
      <c r="O384" s="273"/>
      <c r="P384" s="27"/>
      <c r="Q384" s="27"/>
      <c r="R384" s="27"/>
      <c r="S384" s="22"/>
      <c r="T384" s="22"/>
      <c r="U384" s="28"/>
    </row>
    <row r="385">
      <c r="A385" s="189"/>
      <c r="B385" s="22"/>
      <c r="C385" s="22"/>
      <c r="D385" s="22"/>
      <c r="E385" s="22"/>
      <c r="F385" s="22"/>
      <c r="G385" s="22"/>
      <c r="H385" s="22"/>
      <c r="I385" s="266"/>
      <c r="J385" s="272"/>
      <c r="K385" s="272"/>
      <c r="L385" s="272"/>
      <c r="M385" s="273"/>
      <c r="N385" s="273"/>
      <c r="O385" s="273"/>
      <c r="P385" s="27"/>
      <c r="Q385" s="27"/>
      <c r="R385" s="27"/>
      <c r="S385" s="22"/>
      <c r="T385" s="22"/>
      <c r="U385" s="28"/>
    </row>
    <row r="386">
      <c r="A386" s="189"/>
      <c r="B386" s="22"/>
      <c r="C386" s="22"/>
      <c r="D386" s="22"/>
      <c r="E386" s="22"/>
      <c r="F386" s="22"/>
      <c r="G386" s="22"/>
      <c r="H386" s="22"/>
      <c r="I386" s="266"/>
      <c r="J386" s="272"/>
      <c r="K386" s="272"/>
      <c r="L386" s="272"/>
      <c r="M386" s="273"/>
      <c r="N386" s="273"/>
      <c r="O386" s="273"/>
      <c r="P386" s="27"/>
      <c r="Q386" s="27"/>
      <c r="R386" s="27"/>
      <c r="S386" s="22"/>
      <c r="T386" s="22"/>
      <c r="U386" s="28"/>
    </row>
    <row r="387">
      <c r="A387" s="189"/>
      <c r="B387" s="22"/>
      <c r="C387" s="22"/>
      <c r="D387" s="22"/>
      <c r="E387" s="22"/>
      <c r="F387" s="22"/>
      <c r="G387" s="22"/>
      <c r="H387" s="22"/>
      <c r="I387" s="266"/>
      <c r="J387" s="272"/>
      <c r="K387" s="272"/>
      <c r="L387" s="272"/>
      <c r="M387" s="273"/>
      <c r="N387" s="273"/>
      <c r="O387" s="273"/>
      <c r="P387" s="27"/>
      <c r="Q387" s="27"/>
      <c r="R387" s="27"/>
      <c r="S387" s="22"/>
      <c r="T387" s="22"/>
      <c r="U387" s="28"/>
    </row>
    <row r="388">
      <c r="A388" s="189"/>
      <c r="B388" s="22"/>
      <c r="C388" s="22"/>
      <c r="D388" s="22"/>
      <c r="E388" s="22"/>
      <c r="F388" s="22"/>
      <c r="G388" s="22"/>
      <c r="H388" s="22"/>
      <c r="I388" s="266"/>
      <c r="J388" s="272"/>
      <c r="K388" s="272"/>
      <c r="L388" s="272"/>
      <c r="M388" s="273"/>
      <c r="N388" s="273"/>
      <c r="O388" s="273"/>
      <c r="P388" s="27"/>
      <c r="Q388" s="27"/>
      <c r="R388" s="27"/>
      <c r="S388" s="22"/>
      <c r="T388" s="22"/>
      <c r="U388" s="28"/>
    </row>
    <row r="389">
      <c r="A389" s="189"/>
      <c r="B389" s="22"/>
      <c r="C389" s="22"/>
      <c r="D389" s="22"/>
      <c r="E389" s="22"/>
      <c r="F389" s="22"/>
      <c r="G389" s="22"/>
      <c r="H389" s="22"/>
      <c r="I389" s="266"/>
      <c r="J389" s="272"/>
      <c r="K389" s="272"/>
      <c r="L389" s="272"/>
      <c r="M389" s="273"/>
      <c r="N389" s="273"/>
      <c r="O389" s="273"/>
      <c r="P389" s="27"/>
      <c r="Q389" s="27"/>
      <c r="R389" s="27"/>
      <c r="S389" s="22"/>
      <c r="T389" s="22"/>
      <c r="U389" s="28"/>
    </row>
    <row r="390">
      <c r="A390" s="189"/>
      <c r="B390" s="22"/>
      <c r="C390" s="22"/>
      <c r="D390" s="22"/>
      <c r="E390" s="22"/>
      <c r="F390" s="22"/>
      <c r="G390" s="22"/>
      <c r="H390" s="22"/>
      <c r="I390" s="266"/>
      <c r="J390" s="272"/>
      <c r="K390" s="272"/>
      <c r="L390" s="272"/>
      <c r="M390" s="273"/>
      <c r="N390" s="273"/>
      <c r="O390" s="273"/>
      <c r="P390" s="27"/>
      <c r="Q390" s="27"/>
      <c r="R390" s="27"/>
      <c r="S390" s="22"/>
      <c r="T390" s="22"/>
      <c r="U390" s="28"/>
    </row>
    <row r="391">
      <c r="A391" s="189"/>
      <c r="B391" s="22"/>
      <c r="C391" s="22"/>
      <c r="D391" s="22"/>
      <c r="E391" s="22"/>
      <c r="F391" s="22"/>
      <c r="G391" s="22"/>
      <c r="H391" s="22"/>
      <c r="I391" s="266"/>
      <c r="J391" s="272"/>
      <c r="K391" s="272"/>
      <c r="L391" s="272"/>
      <c r="M391" s="273"/>
      <c r="N391" s="273"/>
      <c r="O391" s="273"/>
      <c r="P391" s="27"/>
      <c r="Q391" s="27"/>
      <c r="R391" s="27"/>
      <c r="S391" s="22"/>
      <c r="T391" s="22"/>
      <c r="U391" s="28"/>
    </row>
    <row r="392">
      <c r="A392" s="189"/>
      <c r="B392" s="22"/>
      <c r="C392" s="22"/>
      <c r="D392" s="22"/>
      <c r="E392" s="22"/>
      <c r="F392" s="22"/>
      <c r="G392" s="22"/>
      <c r="H392" s="22"/>
      <c r="I392" s="266"/>
      <c r="J392" s="272"/>
      <c r="K392" s="272"/>
      <c r="L392" s="272"/>
      <c r="M392" s="273"/>
      <c r="N392" s="273"/>
      <c r="O392" s="273"/>
      <c r="P392" s="27"/>
      <c r="Q392" s="27"/>
      <c r="R392" s="27"/>
      <c r="S392" s="22"/>
      <c r="T392" s="22"/>
      <c r="U392" s="28"/>
    </row>
    <row r="393">
      <c r="A393" s="189"/>
      <c r="B393" s="22"/>
      <c r="C393" s="22"/>
      <c r="D393" s="22"/>
      <c r="E393" s="22"/>
      <c r="F393" s="22"/>
      <c r="G393" s="22"/>
      <c r="H393" s="22"/>
      <c r="I393" s="266"/>
      <c r="J393" s="272"/>
      <c r="K393" s="272"/>
      <c r="L393" s="272"/>
      <c r="M393" s="273"/>
      <c r="N393" s="273"/>
      <c r="O393" s="273"/>
      <c r="P393" s="27"/>
      <c r="Q393" s="27"/>
      <c r="R393" s="27"/>
      <c r="S393" s="22"/>
      <c r="T393" s="22"/>
      <c r="U393" s="28"/>
    </row>
    <row r="394">
      <c r="A394" s="189"/>
      <c r="B394" s="22"/>
      <c r="C394" s="22"/>
      <c r="D394" s="22"/>
      <c r="E394" s="22"/>
      <c r="F394" s="22"/>
      <c r="G394" s="22"/>
      <c r="H394" s="22"/>
      <c r="I394" s="266"/>
      <c r="J394" s="272"/>
      <c r="K394" s="272"/>
      <c r="L394" s="272"/>
      <c r="M394" s="273"/>
      <c r="N394" s="273"/>
      <c r="O394" s="273"/>
      <c r="P394" s="27"/>
      <c r="Q394" s="27"/>
      <c r="R394" s="27"/>
      <c r="S394" s="22"/>
      <c r="T394" s="22"/>
      <c r="U394" s="28"/>
    </row>
    <row r="395">
      <c r="A395" s="189"/>
      <c r="B395" s="22"/>
      <c r="C395" s="22"/>
      <c r="D395" s="22"/>
      <c r="E395" s="22"/>
      <c r="F395" s="22"/>
      <c r="G395" s="22"/>
      <c r="H395" s="22"/>
      <c r="I395" s="266"/>
      <c r="J395" s="272"/>
      <c r="K395" s="272"/>
      <c r="L395" s="272"/>
      <c r="M395" s="273"/>
      <c r="N395" s="273"/>
      <c r="O395" s="273"/>
      <c r="P395" s="27"/>
      <c r="Q395" s="27"/>
      <c r="R395" s="27"/>
      <c r="S395" s="22"/>
      <c r="T395" s="22"/>
      <c r="U395" s="28"/>
    </row>
    <row r="396">
      <c r="A396" s="189"/>
      <c r="B396" s="22"/>
      <c r="C396" s="22"/>
      <c r="D396" s="22"/>
      <c r="E396" s="22"/>
      <c r="F396" s="22"/>
      <c r="G396" s="22"/>
      <c r="H396" s="22"/>
      <c r="I396" s="266"/>
      <c r="J396" s="272"/>
      <c r="K396" s="272"/>
      <c r="L396" s="272"/>
      <c r="M396" s="273"/>
      <c r="N396" s="273"/>
      <c r="O396" s="273"/>
      <c r="P396" s="27"/>
      <c r="Q396" s="27"/>
      <c r="R396" s="27"/>
      <c r="S396" s="22"/>
      <c r="T396" s="22"/>
      <c r="U396" s="28"/>
    </row>
    <row r="397">
      <c r="A397" s="189"/>
      <c r="B397" s="22"/>
      <c r="C397" s="22"/>
      <c r="D397" s="22"/>
      <c r="E397" s="22"/>
      <c r="F397" s="22"/>
      <c r="G397" s="22"/>
      <c r="H397" s="22"/>
      <c r="I397" s="266"/>
      <c r="J397" s="272"/>
      <c r="K397" s="272"/>
      <c r="L397" s="272"/>
      <c r="M397" s="273"/>
      <c r="N397" s="273"/>
      <c r="O397" s="273"/>
      <c r="P397" s="27"/>
      <c r="Q397" s="27"/>
      <c r="R397" s="27"/>
      <c r="S397" s="22"/>
      <c r="T397" s="22"/>
      <c r="U397" s="28"/>
    </row>
    <row r="398">
      <c r="A398" s="189"/>
      <c r="B398" s="22"/>
      <c r="C398" s="22"/>
      <c r="D398" s="22"/>
      <c r="E398" s="22"/>
      <c r="F398" s="22"/>
      <c r="G398" s="22"/>
      <c r="H398" s="22"/>
      <c r="I398" s="266"/>
      <c r="J398" s="272"/>
      <c r="K398" s="272"/>
      <c r="L398" s="272"/>
      <c r="M398" s="273"/>
      <c r="N398" s="273"/>
      <c r="O398" s="273"/>
      <c r="P398" s="27"/>
      <c r="Q398" s="27"/>
      <c r="R398" s="27"/>
      <c r="S398" s="22"/>
      <c r="T398" s="22"/>
      <c r="U398" s="28"/>
    </row>
    <row r="399">
      <c r="A399" s="189"/>
      <c r="B399" s="22"/>
      <c r="C399" s="22"/>
      <c r="D399" s="22"/>
      <c r="E399" s="22"/>
      <c r="F399" s="22"/>
      <c r="G399" s="22"/>
      <c r="H399" s="22"/>
      <c r="I399" s="266"/>
      <c r="J399" s="272"/>
      <c r="K399" s="272"/>
      <c r="L399" s="272"/>
      <c r="M399" s="273"/>
      <c r="N399" s="273"/>
      <c r="O399" s="273"/>
      <c r="P399" s="27"/>
      <c r="Q399" s="27"/>
      <c r="R399" s="27"/>
      <c r="S399" s="22"/>
      <c r="T399" s="22"/>
      <c r="U399" s="28"/>
    </row>
    <row r="400">
      <c r="A400" s="189"/>
      <c r="B400" s="22"/>
      <c r="C400" s="22"/>
      <c r="D400" s="22"/>
      <c r="E400" s="22"/>
      <c r="F400" s="22"/>
      <c r="G400" s="22"/>
      <c r="H400" s="22"/>
      <c r="I400" s="266"/>
      <c r="J400" s="272"/>
      <c r="K400" s="272"/>
      <c r="L400" s="272"/>
      <c r="M400" s="273"/>
      <c r="N400" s="273"/>
      <c r="O400" s="273"/>
      <c r="P400" s="27"/>
      <c r="Q400" s="27"/>
      <c r="R400" s="27"/>
      <c r="S400" s="22"/>
      <c r="T400" s="22"/>
      <c r="U400" s="28"/>
    </row>
    <row r="401">
      <c r="A401" s="189"/>
      <c r="B401" s="22"/>
      <c r="C401" s="22"/>
      <c r="D401" s="22"/>
      <c r="E401" s="22"/>
      <c r="F401" s="22"/>
      <c r="G401" s="22"/>
      <c r="H401" s="22"/>
      <c r="I401" s="266"/>
      <c r="J401" s="272"/>
      <c r="K401" s="272"/>
      <c r="L401" s="272"/>
      <c r="M401" s="273"/>
      <c r="N401" s="273"/>
      <c r="O401" s="273"/>
      <c r="P401" s="27"/>
      <c r="Q401" s="27"/>
      <c r="R401" s="27"/>
      <c r="S401" s="22"/>
      <c r="T401" s="22"/>
      <c r="U401" s="28"/>
    </row>
    <row r="402">
      <c r="A402" s="189"/>
      <c r="B402" s="22"/>
      <c r="C402" s="22"/>
      <c r="D402" s="22"/>
      <c r="E402" s="22"/>
      <c r="F402" s="22"/>
      <c r="G402" s="22"/>
      <c r="H402" s="22"/>
      <c r="I402" s="266"/>
      <c r="J402" s="272"/>
      <c r="K402" s="272"/>
      <c r="L402" s="272"/>
      <c r="M402" s="273"/>
      <c r="N402" s="273"/>
      <c r="O402" s="273"/>
      <c r="P402" s="27"/>
      <c r="Q402" s="27"/>
      <c r="R402" s="27"/>
      <c r="S402" s="22"/>
      <c r="T402" s="22"/>
      <c r="U402" s="28"/>
    </row>
    <row r="403">
      <c r="A403" s="189"/>
      <c r="B403" s="22"/>
      <c r="C403" s="22"/>
      <c r="D403" s="22"/>
      <c r="E403" s="22"/>
      <c r="F403" s="22"/>
      <c r="G403" s="22"/>
      <c r="H403" s="22"/>
      <c r="I403" s="266"/>
      <c r="J403" s="272"/>
      <c r="K403" s="272"/>
      <c r="L403" s="272"/>
      <c r="M403" s="273"/>
      <c r="N403" s="273"/>
      <c r="O403" s="273"/>
      <c r="P403" s="27"/>
      <c r="Q403" s="27"/>
      <c r="R403" s="27"/>
      <c r="S403" s="22"/>
      <c r="T403" s="22"/>
      <c r="U403" s="28"/>
    </row>
    <row r="404">
      <c r="A404" s="189"/>
      <c r="B404" s="22"/>
      <c r="C404" s="22"/>
      <c r="D404" s="22"/>
      <c r="E404" s="22"/>
      <c r="F404" s="22"/>
      <c r="G404" s="22"/>
      <c r="H404" s="22"/>
      <c r="I404" s="266"/>
      <c r="J404" s="272"/>
      <c r="K404" s="272"/>
      <c r="L404" s="272"/>
      <c r="M404" s="273"/>
      <c r="N404" s="273"/>
      <c r="O404" s="273"/>
      <c r="P404" s="27"/>
      <c r="Q404" s="27"/>
      <c r="R404" s="27"/>
      <c r="S404" s="22"/>
      <c r="T404" s="22"/>
      <c r="U404" s="28"/>
    </row>
    <row r="405">
      <c r="A405" s="189"/>
      <c r="B405" s="22"/>
      <c r="C405" s="22"/>
      <c r="D405" s="22"/>
      <c r="E405" s="22"/>
      <c r="F405" s="22"/>
      <c r="G405" s="22"/>
      <c r="H405" s="22"/>
      <c r="I405" s="266"/>
      <c r="J405" s="272"/>
      <c r="K405" s="272"/>
      <c r="L405" s="272"/>
      <c r="M405" s="273"/>
      <c r="N405" s="273"/>
      <c r="O405" s="273"/>
      <c r="P405" s="27"/>
      <c r="Q405" s="27"/>
      <c r="R405" s="27"/>
      <c r="S405" s="22"/>
      <c r="T405" s="22"/>
      <c r="U405" s="28"/>
    </row>
    <row r="406">
      <c r="A406" s="189"/>
      <c r="B406" s="22"/>
      <c r="C406" s="22"/>
      <c r="D406" s="22"/>
      <c r="E406" s="22"/>
      <c r="F406" s="22"/>
      <c r="G406" s="22"/>
      <c r="H406" s="22"/>
      <c r="I406" s="266"/>
      <c r="J406" s="272"/>
      <c r="K406" s="272"/>
      <c r="L406" s="272"/>
      <c r="M406" s="273"/>
      <c r="N406" s="273"/>
      <c r="O406" s="273"/>
      <c r="P406" s="27"/>
      <c r="Q406" s="27"/>
      <c r="R406" s="27"/>
      <c r="S406" s="22"/>
      <c r="T406" s="22"/>
      <c r="U406" s="28"/>
    </row>
    <row r="407">
      <c r="A407" s="189"/>
      <c r="B407" s="22"/>
      <c r="C407" s="22"/>
      <c r="D407" s="22"/>
      <c r="E407" s="22"/>
      <c r="F407" s="22"/>
      <c r="G407" s="22"/>
      <c r="H407" s="22"/>
      <c r="I407" s="266"/>
      <c r="J407" s="272"/>
      <c r="K407" s="272"/>
      <c r="L407" s="272"/>
      <c r="M407" s="273"/>
      <c r="N407" s="273"/>
      <c r="O407" s="273"/>
      <c r="P407" s="27"/>
      <c r="Q407" s="27"/>
      <c r="R407" s="27"/>
      <c r="S407" s="22"/>
      <c r="T407" s="22"/>
      <c r="U407" s="28"/>
    </row>
    <row r="408">
      <c r="A408" s="189"/>
      <c r="B408" s="22"/>
      <c r="C408" s="22"/>
      <c r="D408" s="22"/>
      <c r="E408" s="22"/>
      <c r="F408" s="22"/>
      <c r="G408" s="22"/>
      <c r="H408" s="22"/>
      <c r="I408" s="266"/>
      <c r="J408" s="272"/>
      <c r="K408" s="272"/>
      <c r="L408" s="272"/>
      <c r="M408" s="273"/>
      <c r="N408" s="273"/>
      <c r="O408" s="273"/>
      <c r="P408" s="27"/>
      <c r="Q408" s="27"/>
      <c r="R408" s="27"/>
      <c r="S408" s="22"/>
      <c r="T408" s="22"/>
      <c r="U408" s="28"/>
    </row>
    <row r="409">
      <c r="A409" s="189"/>
      <c r="B409" s="22"/>
      <c r="C409" s="22"/>
      <c r="D409" s="22"/>
      <c r="E409" s="22"/>
      <c r="F409" s="22"/>
      <c r="G409" s="22"/>
      <c r="H409" s="22"/>
      <c r="I409" s="266"/>
      <c r="J409" s="272"/>
      <c r="K409" s="272"/>
      <c r="L409" s="272"/>
      <c r="M409" s="273"/>
      <c r="N409" s="273"/>
      <c r="O409" s="273"/>
      <c r="P409" s="27"/>
      <c r="Q409" s="27"/>
      <c r="R409" s="27"/>
      <c r="S409" s="22"/>
      <c r="T409" s="22"/>
      <c r="U409" s="28"/>
    </row>
    <row r="410">
      <c r="A410" s="189"/>
      <c r="B410" s="22"/>
      <c r="C410" s="22"/>
      <c r="D410" s="22"/>
      <c r="E410" s="22"/>
      <c r="F410" s="22"/>
      <c r="G410" s="22"/>
      <c r="H410" s="22"/>
      <c r="I410" s="266"/>
      <c r="J410" s="272"/>
      <c r="K410" s="272"/>
      <c r="L410" s="272"/>
      <c r="M410" s="273"/>
      <c r="N410" s="273"/>
      <c r="O410" s="273"/>
      <c r="P410" s="27"/>
      <c r="Q410" s="27"/>
      <c r="R410" s="27"/>
      <c r="S410" s="22"/>
      <c r="T410" s="22"/>
      <c r="U410" s="28"/>
    </row>
    <row r="411">
      <c r="A411" s="189"/>
      <c r="B411" s="22"/>
      <c r="C411" s="22"/>
      <c r="D411" s="22"/>
      <c r="E411" s="22"/>
      <c r="F411" s="22"/>
      <c r="G411" s="22"/>
      <c r="H411" s="22"/>
      <c r="I411" s="266"/>
      <c r="J411" s="272"/>
      <c r="K411" s="272"/>
      <c r="L411" s="272"/>
      <c r="M411" s="273"/>
      <c r="N411" s="273"/>
      <c r="O411" s="273"/>
      <c r="P411" s="27"/>
      <c r="Q411" s="27"/>
      <c r="R411" s="27"/>
      <c r="S411" s="22"/>
      <c r="T411" s="22"/>
      <c r="U411" s="28"/>
    </row>
    <row r="412">
      <c r="A412" s="189"/>
      <c r="B412" s="22"/>
      <c r="C412" s="22"/>
      <c r="D412" s="22"/>
      <c r="E412" s="22"/>
      <c r="F412" s="22"/>
      <c r="G412" s="22"/>
      <c r="H412" s="22"/>
      <c r="I412" s="266"/>
      <c r="J412" s="272"/>
      <c r="K412" s="272"/>
      <c r="L412" s="272"/>
      <c r="M412" s="273"/>
      <c r="N412" s="273"/>
      <c r="O412" s="273"/>
      <c r="P412" s="27"/>
      <c r="Q412" s="27"/>
      <c r="R412" s="27"/>
      <c r="S412" s="22"/>
      <c r="T412" s="22"/>
      <c r="U412" s="28"/>
    </row>
    <row r="413">
      <c r="A413" s="189"/>
      <c r="B413" s="22"/>
      <c r="C413" s="22"/>
      <c r="D413" s="22"/>
      <c r="E413" s="22"/>
      <c r="F413" s="22"/>
      <c r="G413" s="22"/>
      <c r="H413" s="22"/>
      <c r="I413" s="266"/>
      <c r="J413" s="272"/>
      <c r="K413" s="272"/>
      <c r="L413" s="272"/>
      <c r="M413" s="273"/>
      <c r="N413" s="273"/>
      <c r="O413" s="273"/>
      <c r="P413" s="27"/>
      <c r="Q413" s="27"/>
      <c r="R413" s="27"/>
      <c r="S413" s="22"/>
      <c r="T413" s="22"/>
      <c r="U413" s="28"/>
    </row>
    <row r="414">
      <c r="A414" s="189"/>
      <c r="B414" s="22"/>
      <c r="C414" s="22"/>
      <c r="D414" s="22"/>
      <c r="E414" s="22"/>
      <c r="F414" s="22"/>
      <c r="G414" s="22"/>
      <c r="H414" s="22"/>
      <c r="I414" s="266"/>
      <c r="J414" s="272"/>
      <c r="K414" s="272"/>
      <c r="L414" s="272"/>
      <c r="M414" s="273"/>
      <c r="N414" s="273"/>
      <c r="O414" s="273"/>
      <c r="P414" s="27"/>
      <c r="Q414" s="27"/>
      <c r="R414" s="27"/>
      <c r="S414" s="22"/>
      <c r="T414" s="22"/>
      <c r="U414" s="28"/>
    </row>
    <row r="415">
      <c r="A415" s="189"/>
      <c r="B415" s="22"/>
      <c r="C415" s="22"/>
      <c r="D415" s="22"/>
      <c r="E415" s="22"/>
      <c r="F415" s="22"/>
      <c r="G415" s="22"/>
      <c r="H415" s="22"/>
      <c r="I415" s="266"/>
      <c r="J415" s="272"/>
      <c r="K415" s="272"/>
      <c r="L415" s="272"/>
      <c r="M415" s="273"/>
      <c r="N415" s="273"/>
      <c r="O415" s="273"/>
      <c r="P415" s="27"/>
      <c r="Q415" s="27"/>
      <c r="R415" s="27"/>
      <c r="S415" s="22"/>
      <c r="T415" s="22"/>
      <c r="U415" s="28"/>
    </row>
    <row r="416">
      <c r="A416" s="189"/>
      <c r="B416" s="22"/>
      <c r="C416" s="22"/>
      <c r="D416" s="22"/>
      <c r="E416" s="22"/>
      <c r="F416" s="22"/>
      <c r="G416" s="22"/>
      <c r="H416" s="22"/>
      <c r="I416" s="266"/>
      <c r="J416" s="272"/>
      <c r="K416" s="272"/>
      <c r="L416" s="272"/>
      <c r="M416" s="273"/>
      <c r="N416" s="273"/>
      <c r="O416" s="273"/>
      <c r="P416" s="27"/>
      <c r="Q416" s="27"/>
      <c r="R416" s="27"/>
      <c r="S416" s="22"/>
      <c r="T416" s="22"/>
      <c r="U416" s="28"/>
    </row>
    <row r="417">
      <c r="A417" s="189"/>
      <c r="B417" s="22"/>
      <c r="C417" s="22"/>
      <c r="D417" s="22"/>
      <c r="E417" s="22"/>
      <c r="F417" s="22"/>
      <c r="G417" s="22"/>
      <c r="H417" s="22"/>
      <c r="I417" s="266"/>
      <c r="J417" s="272"/>
      <c r="K417" s="272"/>
      <c r="L417" s="272"/>
      <c r="M417" s="273"/>
      <c r="N417" s="273"/>
      <c r="O417" s="273"/>
      <c r="P417" s="27"/>
      <c r="Q417" s="27"/>
      <c r="R417" s="27"/>
      <c r="S417" s="22"/>
      <c r="T417" s="22"/>
      <c r="U417" s="28"/>
    </row>
    <row r="418">
      <c r="A418" s="189"/>
      <c r="B418" s="22"/>
      <c r="C418" s="22"/>
      <c r="D418" s="22"/>
      <c r="E418" s="22"/>
      <c r="F418" s="22"/>
      <c r="G418" s="22"/>
      <c r="H418" s="22"/>
      <c r="I418" s="266"/>
      <c r="J418" s="272"/>
      <c r="K418" s="272"/>
      <c r="L418" s="272"/>
      <c r="M418" s="273"/>
      <c r="N418" s="273"/>
      <c r="O418" s="273"/>
      <c r="P418" s="27"/>
      <c r="Q418" s="27"/>
      <c r="R418" s="27"/>
      <c r="S418" s="22"/>
      <c r="T418" s="22"/>
      <c r="U418" s="28"/>
    </row>
    <row r="419">
      <c r="A419" s="189"/>
      <c r="B419" s="22"/>
      <c r="C419" s="22"/>
      <c r="D419" s="22"/>
      <c r="E419" s="22"/>
      <c r="F419" s="22"/>
      <c r="G419" s="22"/>
      <c r="H419" s="22"/>
      <c r="I419" s="266"/>
      <c r="J419" s="272"/>
      <c r="K419" s="272"/>
      <c r="L419" s="272"/>
      <c r="M419" s="273"/>
      <c r="N419" s="273"/>
      <c r="O419" s="273"/>
      <c r="P419" s="27"/>
      <c r="Q419" s="27"/>
      <c r="R419" s="27"/>
      <c r="S419" s="22"/>
      <c r="T419" s="22"/>
      <c r="U419" s="28"/>
    </row>
    <row r="420">
      <c r="A420" s="189"/>
      <c r="B420" s="22"/>
      <c r="C420" s="22"/>
      <c r="D420" s="22"/>
      <c r="E420" s="22"/>
      <c r="F420" s="22"/>
      <c r="G420" s="22"/>
      <c r="H420" s="22"/>
      <c r="I420" s="266"/>
      <c r="J420" s="272"/>
      <c r="K420" s="272"/>
      <c r="L420" s="272"/>
      <c r="M420" s="273"/>
      <c r="N420" s="273"/>
      <c r="O420" s="273"/>
      <c r="P420" s="27"/>
      <c r="Q420" s="27"/>
      <c r="R420" s="27"/>
      <c r="S420" s="22"/>
      <c r="T420" s="22"/>
      <c r="U420" s="28"/>
    </row>
    <row r="421">
      <c r="A421" s="189"/>
      <c r="B421" s="22"/>
      <c r="C421" s="22"/>
      <c r="D421" s="22"/>
      <c r="E421" s="22"/>
      <c r="F421" s="22"/>
      <c r="G421" s="22"/>
      <c r="H421" s="22"/>
      <c r="I421" s="266"/>
      <c r="J421" s="272"/>
      <c r="K421" s="272"/>
      <c r="L421" s="272"/>
      <c r="M421" s="273"/>
      <c r="N421" s="273"/>
      <c r="O421" s="273"/>
      <c r="P421" s="27"/>
      <c r="Q421" s="27"/>
      <c r="R421" s="27"/>
      <c r="S421" s="22"/>
      <c r="T421" s="22"/>
      <c r="U421" s="28"/>
    </row>
    <row r="422">
      <c r="A422" s="189"/>
      <c r="B422" s="22"/>
      <c r="C422" s="22"/>
      <c r="D422" s="22"/>
      <c r="E422" s="22"/>
      <c r="F422" s="22"/>
      <c r="G422" s="22"/>
      <c r="H422" s="22"/>
      <c r="I422" s="266"/>
      <c r="J422" s="272"/>
      <c r="K422" s="272"/>
      <c r="L422" s="272"/>
      <c r="M422" s="273"/>
      <c r="N422" s="273"/>
      <c r="O422" s="273"/>
      <c r="P422" s="27"/>
      <c r="Q422" s="27"/>
      <c r="R422" s="27"/>
      <c r="S422" s="22"/>
      <c r="T422" s="22"/>
      <c r="U422" s="28"/>
    </row>
    <row r="423">
      <c r="A423" s="189"/>
      <c r="B423" s="22"/>
      <c r="C423" s="22"/>
      <c r="D423" s="22"/>
      <c r="E423" s="22"/>
      <c r="F423" s="22"/>
      <c r="G423" s="22"/>
      <c r="H423" s="22"/>
      <c r="I423" s="266"/>
      <c r="J423" s="272"/>
      <c r="K423" s="272"/>
      <c r="L423" s="272"/>
      <c r="M423" s="273"/>
      <c r="N423" s="273"/>
      <c r="O423" s="273"/>
      <c r="P423" s="27"/>
      <c r="Q423" s="27"/>
      <c r="R423" s="27"/>
      <c r="S423" s="22"/>
      <c r="T423" s="22"/>
      <c r="U423" s="28"/>
    </row>
    <row r="424">
      <c r="A424" s="189"/>
      <c r="B424" s="22"/>
      <c r="C424" s="22"/>
      <c r="D424" s="22"/>
      <c r="E424" s="22"/>
      <c r="F424" s="22"/>
      <c r="G424" s="22"/>
      <c r="H424" s="22"/>
      <c r="I424" s="266"/>
      <c r="J424" s="272"/>
      <c r="K424" s="272"/>
      <c r="L424" s="272"/>
      <c r="M424" s="273"/>
      <c r="N424" s="273"/>
      <c r="O424" s="273"/>
      <c r="P424" s="27"/>
      <c r="Q424" s="27"/>
      <c r="R424" s="27"/>
      <c r="S424" s="22"/>
      <c r="T424" s="22"/>
      <c r="U424" s="28"/>
    </row>
    <row r="425">
      <c r="A425" s="189"/>
      <c r="B425" s="22"/>
      <c r="C425" s="22"/>
      <c r="D425" s="22"/>
      <c r="E425" s="22"/>
      <c r="F425" s="22"/>
      <c r="G425" s="22"/>
      <c r="H425" s="22"/>
      <c r="I425" s="266"/>
      <c r="J425" s="272"/>
      <c r="K425" s="272"/>
      <c r="L425" s="272"/>
      <c r="M425" s="273"/>
      <c r="N425" s="273"/>
      <c r="O425" s="273"/>
      <c r="P425" s="27"/>
      <c r="Q425" s="27"/>
      <c r="R425" s="27"/>
      <c r="S425" s="22"/>
      <c r="T425" s="22"/>
      <c r="U425" s="28"/>
    </row>
    <row r="426">
      <c r="A426" s="189"/>
      <c r="B426" s="22"/>
      <c r="C426" s="22"/>
      <c r="D426" s="22"/>
      <c r="E426" s="22"/>
      <c r="F426" s="22"/>
      <c r="G426" s="22"/>
      <c r="H426" s="22"/>
      <c r="I426" s="266"/>
      <c r="J426" s="272"/>
      <c r="K426" s="272"/>
      <c r="L426" s="272"/>
      <c r="M426" s="273"/>
      <c r="N426" s="273"/>
      <c r="O426" s="273"/>
      <c r="P426" s="27"/>
      <c r="Q426" s="27"/>
      <c r="R426" s="27"/>
      <c r="S426" s="22"/>
      <c r="T426" s="22"/>
      <c r="U426" s="28"/>
    </row>
    <row r="427">
      <c r="A427" s="189"/>
      <c r="B427" s="22"/>
      <c r="C427" s="22"/>
      <c r="D427" s="22"/>
      <c r="E427" s="22"/>
      <c r="F427" s="22"/>
      <c r="G427" s="22"/>
      <c r="H427" s="22"/>
      <c r="I427" s="266"/>
      <c r="J427" s="272"/>
      <c r="K427" s="272"/>
      <c r="L427" s="272"/>
      <c r="M427" s="273"/>
      <c r="N427" s="273"/>
      <c r="O427" s="273"/>
      <c r="P427" s="27"/>
      <c r="Q427" s="27"/>
      <c r="R427" s="27"/>
      <c r="S427" s="22"/>
      <c r="T427" s="22"/>
      <c r="U427" s="28"/>
    </row>
    <row r="428">
      <c r="A428" s="189"/>
      <c r="B428" s="22"/>
      <c r="C428" s="22"/>
      <c r="D428" s="22"/>
      <c r="E428" s="22"/>
      <c r="F428" s="22"/>
      <c r="G428" s="22"/>
      <c r="H428" s="22"/>
      <c r="I428" s="266"/>
      <c r="J428" s="272"/>
      <c r="K428" s="272"/>
      <c r="L428" s="272"/>
      <c r="M428" s="273"/>
      <c r="N428" s="273"/>
      <c r="O428" s="273"/>
      <c r="P428" s="27"/>
      <c r="Q428" s="27"/>
      <c r="R428" s="27"/>
      <c r="S428" s="22"/>
      <c r="T428" s="22"/>
      <c r="U428" s="28"/>
    </row>
    <row r="429">
      <c r="A429" s="189"/>
      <c r="B429" s="22"/>
      <c r="C429" s="22"/>
      <c r="D429" s="22"/>
      <c r="E429" s="22"/>
      <c r="F429" s="22"/>
      <c r="G429" s="22"/>
      <c r="H429" s="22"/>
      <c r="I429" s="266"/>
      <c r="J429" s="272"/>
      <c r="K429" s="272"/>
      <c r="L429" s="272"/>
      <c r="M429" s="273"/>
      <c r="N429" s="273"/>
      <c r="O429" s="273"/>
      <c r="P429" s="27"/>
      <c r="Q429" s="27"/>
      <c r="R429" s="27"/>
      <c r="S429" s="22"/>
      <c r="T429" s="22"/>
      <c r="U429" s="28"/>
    </row>
    <row r="430">
      <c r="A430" s="189"/>
      <c r="B430" s="22"/>
      <c r="C430" s="22"/>
      <c r="D430" s="22"/>
      <c r="E430" s="22"/>
      <c r="F430" s="22"/>
      <c r="G430" s="22"/>
      <c r="H430" s="22"/>
      <c r="I430" s="266"/>
      <c r="J430" s="272"/>
      <c r="K430" s="272"/>
      <c r="L430" s="272"/>
      <c r="M430" s="273"/>
      <c r="N430" s="273"/>
      <c r="O430" s="273"/>
      <c r="P430" s="27"/>
      <c r="Q430" s="27"/>
      <c r="R430" s="27"/>
      <c r="S430" s="22"/>
      <c r="T430" s="22"/>
      <c r="U430" s="28"/>
    </row>
    <row r="431">
      <c r="A431" s="189"/>
      <c r="B431" s="22"/>
      <c r="C431" s="22"/>
      <c r="D431" s="22"/>
      <c r="E431" s="22"/>
      <c r="F431" s="22"/>
      <c r="G431" s="22"/>
      <c r="H431" s="22"/>
      <c r="I431" s="266"/>
      <c r="J431" s="272"/>
      <c r="K431" s="272"/>
      <c r="L431" s="272"/>
      <c r="M431" s="273"/>
      <c r="N431" s="273"/>
      <c r="O431" s="273"/>
      <c r="P431" s="27"/>
      <c r="Q431" s="27"/>
      <c r="R431" s="27"/>
      <c r="S431" s="22"/>
      <c r="T431" s="22"/>
      <c r="U431" s="28"/>
    </row>
    <row r="432">
      <c r="A432" s="189"/>
      <c r="B432" s="22"/>
      <c r="C432" s="22"/>
      <c r="D432" s="22"/>
      <c r="E432" s="22"/>
      <c r="F432" s="22"/>
      <c r="G432" s="22"/>
      <c r="H432" s="22"/>
      <c r="I432" s="266"/>
      <c r="J432" s="272"/>
      <c r="K432" s="272"/>
      <c r="L432" s="272"/>
      <c r="M432" s="273"/>
      <c r="N432" s="273"/>
      <c r="O432" s="273"/>
      <c r="P432" s="27"/>
      <c r="Q432" s="27"/>
      <c r="R432" s="27"/>
      <c r="S432" s="22"/>
      <c r="T432" s="22"/>
      <c r="U432" s="28"/>
    </row>
    <row r="433">
      <c r="A433" s="189"/>
      <c r="B433" s="22"/>
      <c r="C433" s="22"/>
      <c r="D433" s="22"/>
      <c r="E433" s="22"/>
      <c r="F433" s="22"/>
      <c r="G433" s="22"/>
      <c r="H433" s="22"/>
      <c r="I433" s="266"/>
      <c r="J433" s="272"/>
      <c r="K433" s="272"/>
      <c r="L433" s="272"/>
      <c r="M433" s="273"/>
      <c r="N433" s="273"/>
      <c r="O433" s="273"/>
      <c r="P433" s="27"/>
      <c r="Q433" s="27"/>
      <c r="R433" s="27"/>
      <c r="S433" s="22"/>
      <c r="T433" s="22"/>
      <c r="U433" s="28"/>
    </row>
    <row r="434">
      <c r="A434" s="189"/>
      <c r="B434" s="22"/>
      <c r="C434" s="22"/>
      <c r="D434" s="22"/>
      <c r="E434" s="22"/>
      <c r="F434" s="22"/>
      <c r="G434" s="22"/>
      <c r="H434" s="22"/>
      <c r="I434" s="266"/>
      <c r="J434" s="272"/>
      <c r="K434" s="272"/>
      <c r="L434" s="272"/>
      <c r="M434" s="273"/>
      <c r="N434" s="273"/>
      <c r="O434" s="273"/>
      <c r="P434" s="27"/>
      <c r="Q434" s="27"/>
      <c r="R434" s="27"/>
      <c r="S434" s="22"/>
      <c r="T434" s="22"/>
      <c r="U434" s="28"/>
    </row>
    <row r="435">
      <c r="A435" s="189"/>
      <c r="B435" s="22"/>
      <c r="C435" s="22"/>
      <c r="D435" s="22"/>
      <c r="E435" s="22"/>
      <c r="F435" s="22"/>
      <c r="G435" s="22"/>
      <c r="H435" s="22"/>
      <c r="I435" s="266"/>
      <c r="J435" s="272"/>
      <c r="K435" s="272"/>
      <c r="L435" s="272"/>
      <c r="M435" s="273"/>
      <c r="N435" s="273"/>
      <c r="O435" s="273"/>
      <c r="P435" s="27"/>
      <c r="Q435" s="27"/>
      <c r="R435" s="27"/>
      <c r="S435" s="22"/>
      <c r="T435" s="22"/>
      <c r="U435" s="28"/>
    </row>
    <row r="436">
      <c r="A436" s="189"/>
      <c r="B436" s="22"/>
      <c r="C436" s="22"/>
      <c r="D436" s="22"/>
      <c r="E436" s="22"/>
      <c r="F436" s="22"/>
      <c r="G436" s="22"/>
      <c r="H436" s="22"/>
      <c r="I436" s="266"/>
      <c r="J436" s="272"/>
      <c r="K436" s="272"/>
      <c r="L436" s="272"/>
      <c r="M436" s="273"/>
      <c r="N436" s="273"/>
      <c r="O436" s="273"/>
      <c r="P436" s="27"/>
      <c r="Q436" s="27"/>
      <c r="R436" s="27"/>
      <c r="S436" s="22"/>
      <c r="T436" s="22"/>
      <c r="U436" s="28"/>
    </row>
    <row r="437">
      <c r="A437" s="189"/>
      <c r="B437" s="22"/>
      <c r="C437" s="22"/>
      <c r="D437" s="22"/>
      <c r="E437" s="22"/>
      <c r="F437" s="22"/>
      <c r="G437" s="22"/>
      <c r="H437" s="22"/>
      <c r="I437" s="266"/>
      <c r="J437" s="272"/>
      <c r="K437" s="272"/>
      <c r="L437" s="272"/>
      <c r="M437" s="273"/>
      <c r="N437" s="273"/>
      <c r="O437" s="273"/>
      <c r="P437" s="27"/>
      <c r="Q437" s="27"/>
      <c r="R437" s="27"/>
      <c r="S437" s="22"/>
      <c r="T437" s="22"/>
      <c r="U437" s="28"/>
    </row>
    <row r="438">
      <c r="A438" s="189"/>
      <c r="B438" s="22"/>
      <c r="C438" s="22"/>
      <c r="D438" s="22"/>
      <c r="E438" s="22"/>
      <c r="F438" s="22"/>
      <c r="G438" s="22"/>
      <c r="H438" s="22"/>
      <c r="I438" s="266"/>
      <c r="J438" s="272"/>
      <c r="K438" s="272"/>
      <c r="L438" s="272"/>
      <c r="M438" s="273"/>
      <c r="N438" s="273"/>
      <c r="O438" s="273"/>
      <c r="P438" s="27"/>
      <c r="Q438" s="27"/>
      <c r="R438" s="27"/>
      <c r="S438" s="22"/>
      <c r="T438" s="22"/>
      <c r="U438" s="28"/>
    </row>
    <row r="439">
      <c r="A439" s="189"/>
      <c r="B439" s="22"/>
      <c r="C439" s="22"/>
      <c r="D439" s="22"/>
      <c r="E439" s="22"/>
      <c r="F439" s="22"/>
      <c r="G439" s="22"/>
      <c r="H439" s="22"/>
      <c r="I439" s="266"/>
      <c r="J439" s="272"/>
      <c r="K439" s="272"/>
      <c r="L439" s="272"/>
      <c r="M439" s="273"/>
      <c r="N439" s="273"/>
      <c r="O439" s="273"/>
      <c r="P439" s="27"/>
      <c r="Q439" s="27"/>
      <c r="R439" s="27"/>
      <c r="S439" s="22"/>
      <c r="T439" s="22"/>
      <c r="U439" s="28"/>
    </row>
    <row r="440">
      <c r="A440" s="189"/>
      <c r="B440" s="22"/>
      <c r="C440" s="22"/>
      <c r="D440" s="22"/>
      <c r="E440" s="22"/>
      <c r="F440" s="22"/>
      <c r="G440" s="22"/>
      <c r="H440" s="22"/>
      <c r="I440" s="266"/>
      <c r="J440" s="272"/>
      <c r="K440" s="272"/>
      <c r="L440" s="272"/>
      <c r="M440" s="273"/>
      <c r="N440" s="273"/>
      <c r="O440" s="273"/>
      <c r="P440" s="27"/>
      <c r="Q440" s="27"/>
      <c r="R440" s="27"/>
      <c r="S440" s="22"/>
      <c r="T440" s="22"/>
      <c r="U440" s="28"/>
    </row>
    <row r="441">
      <c r="A441" s="189"/>
      <c r="B441" s="22"/>
      <c r="C441" s="22"/>
      <c r="D441" s="22"/>
      <c r="E441" s="22"/>
      <c r="F441" s="22"/>
      <c r="G441" s="22"/>
      <c r="H441" s="22"/>
      <c r="I441" s="266"/>
      <c r="J441" s="272"/>
      <c r="K441" s="272"/>
      <c r="L441" s="272"/>
      <c r="M441" s="273"/>
      <c r="N441" s="273"/>
      <c r="O441" s="273"/>
      <c r="P441" s="27"/>
      <c r="Q441" s="27"/>
      <c r="R441" s="27"/>
      <c r="S441" s="22"/>
      <c r="T441" s="22"/>
      <c r="U441" s="28"/>
    </row>
    <row r="442">
      <c r="A442" s="189"/>
      <c r="B442" s="22"/>
      <c r="C442" s="22"/>
      <c r="D442" s="22"/>
      <c r="E442" s="22"/>
      <c r="F442" s="22"/>
      <c r="G442" s="22"/>
      <c r="H442" s="22"/>
      <c r="I442" s="266"/>
      <c r="J442" s="272"/>
      <c r="K442" s="272"/>
      <c r="L442" s="272"/>
      <c r="M442" s="273"/>
      <c r="N442" s="273"/>
      <c r="O442" s="273"/>
      <c r="P442" s="27"/>
      <c r="Q442" s="27"/>
      <c r="R442" s="27"/>
      <c r="S442" s="22"/>
      <c r="T442" s="22"/>
      <c r="U442" s="28"/>
    </row>
    <row r="443">
      <c r="A443" s="189"/>
      <c r="B443" s="22"/>
      <c r="C443" s="22"/>
      <c r="D443" s="22"/>
      <c r="E443" s="22"/>
      <c r="F443" s="22"/>
      <c r="G443" s="22"/>
      <c r="H443" s="22"/>
      <c r="I443" s="266"/>
      <c r="J443" s="272"/>
      <c r="K443" s="272"/>
      <c r="L443" s="272"/>
      <c r="M443" s="273"/>
      <c r="N443" s="273"/>
      <c r="O443" s="273"/>
      <c r="P443" s="27"/>
      <c r="Q443" s="27"/>
      <c r="R443" s="27"/>
      <c r="S443" s="22"/>
      <c r="T443" s="22"/>
      <c r="U443" s="28"/>
    </row>
    <row r="444">
      <c r="A444" s="189"/>
      <c r="B444" s="22"/>
      <c r="C444" s="22"/>
      <c r="D444" s="22"/>
      <c r="E444" s="22"/>
      <c r="F444" s="22"/>
      <c r="G444" s="22"/>
      <c r="H444" s="22"/>
      <c r="I444" s="266"/>
      <c r="J444" s="272"/>
      <c r="K444" s="272"/>
      <c r="L444" s="272"/>
      <c r="M444" s="273"/>
      <c r="N444" s="273"/>
      <c r="O444" s="273"/>
      <c r="P444" s="27"/>
      <c r="Q444" s="27"/>
      <c r="R444" s="27"/>
      <c r="S444" s="22"/>
      <c r="T444" s="22"/>
      <c r="U444" s="28"/>
    </row>
    <row r="445">
      <c r="A445" s="189"/>
      <c r="B445" s="22"/>
      <c r="C445" s="22"/>
      <c r="D445" s="22"/>
      <c r="E445" s="22"/>
      <c r="F445" s="22"/>
      <c r="G445" s="22"/>
      <c r="H445" s="22"/>
      <c r="I445" s="266"/>
      <c r="J445" s="272"/>
      <c r="K445" s="272"/>
      <c r="L445" s="272"/>
      <c r="M445" s="273"/>
      <c r="N445" s="273"/>
      <c r="O445" s="273"/>
      <c r="P445" s="27"/>
      <c r="Q445" s="27"/>
      <c r="R445" s="27"/>
      <c r="S445" s="22"/>
      <c r="T445" s="22"/>
      <c r="U445" s="28"/>
    </row>
    <row r="446">
      <c r="A446" s="189"/>
      <c r="B446" s="22"/>
      <c r="C446" s="22"/>
      <c r="D446" s="22"/>
      <c r="E446" s="22"/>
      <c r="F446" s="22"/>
      <c r="G446" s="22"/>
      <c r="H446" s="22"/>
      <c r="I446" s="266"/>
      <c r="J446" s="272"/>
      <c r="K446" s="272"/>
      <c r="L446" s="272"/>
      <c r="M446" s="273"/>
      <c r="N446" s="273"/>
      <c r="O446" s="273"/>
      <c r="P446" s="27"/>
      <c r="Q446" s="27"/>
      <c r="R446" s="27"/>
      <c r="S446" s="22"/>
      <c r="T446" s="22"/>
      <c r="U446" s="28"/>
    </row>
    <row r="447">
      <c r="A447" s="189"/>
      <c r="B447" s="22"/>
      <c r="C447" s="22"/>
      <c r="D447" s="22"/>
      <c r="E447" s="22"/>
      <c r="F447" s="22"/>
      <c r="G447" s="22"/>
      <c r="H447" s="22"/>
      <c r="I447" s="266"/>
      <c r="J447" s="272"/>
      <c r="K447" s="272"/>
      <c r="L447" s="272"/>
      <c r="M447" s="273"/>
      <c r="N447" s="273"/>
      <c r="O447" s="273"/>
      <c r="P447" s="27"/>
      <c r="Q447" s="27"/>
      <c r="R447" s="27"/>
      <c r="S447" s="22"/>
      <c r="T447" s="22"/>
      <c r="U447" s="28"/>
    </row>
    <row r="448">
      <c r="A448" s="189"/>
      <c r="B448" s="22"/>
      <c r="C448" s="22"/>
      <c r="D448" s="22"/>
      <c r="E448" s="22"/>
      <c r="F448" s="22"/>
      <c r="G448" s="22"/>
      <c r="H448" s="22"/>
      <c r="I448" s="266"/>
      <c r="J448" s="272"/>
      <c r="K448" s="272"/>
      <c r="L448" s="272"/>
      <c r="M448" s="273"/>
      <c r="N448" s="273"/>
      <c r="O448" s="273"/>
      <c r="P448" s="27"/>
      <c r="Q448" s="27"/>
      <c r="R448" s="27"/>
      <c r="S448" s="22"/>
      <c r="T448" s="22"/>
      <c r="U448" s="28"/>
    </row>
    <row r="449">
      <c r="A449" s="189"/>
      <c r="B449" s="22"/>
      <c r="C449" s="22"/>
      <c r="D449" s="22"/>
      <c r="E449" s="22"/>
      <c r="F449" s="22"/>
      <c r="G449" s="22"/>
      <c r="H449" s="22"/>
      <c r="I449" s="266"/>
      <c r="J449" s="272"/>
      <c r="K449" s="272"/>
      <c r="L449" s="272"/>
      <c r="M449" s="273"/>
      <c r="N449" s="273"/>
      <c r="O449" s="273"/>
      <c r="P449" s="27"/>
      <c r="Q449" s="27"/>
      <c r="R449" s="27"/>
      <c r="S449" s="22"/>
      <c r="T449" s="22"/>
      <c r="U449" s="28"/>
    </row>
    <row r="450">
      <c r="A450" s="189"/>
      <c r="B450" s="22"/>
      <c r="C450" s="22"/>
      <c r="D450" s="22"/>
      <c r="E450" s="22"/>
      <c r="F450" s="22"/>
      <c r="G450" s="22"/>
      <c r="H450" s="22"/>
      <c r="I450" s="266"/>
      <c r="J450" s="272"/>
      <c r="K450" s="272"/>
      <c r="L450" s="272"/>
      <c r="M450" s="273"/>
      <c r="N450" s="273"/>
      <c r="O450" s="273"/>
      <c r="P450" s="27"/>
      <c r="Q450" s="27"/>
      <c r="R450" s="27"/>
      <c r="S450" s="22"/>
      <c r="T450" s="22"/>
      <c r="U450" s="28"/>
    </row>
    <row r="451">
      <c r="A451" s="189"/>
      <c r="B451" s="22"/>
      <c r="C451" s="22"/>
      <c r="D451" s="22"/>
      <c r="E451" s="22"/>
      <c r="F451" s="22"/>
      <c r="G451" s="22"/>
      <c r="H451" s="22"/>
      <c r="I451" s="266"/>
      <c r="J451" s="272"/>
      <c r="K451" s="272"/>
      <c r="L451" s="272"/>
      <c r="M451" s="273"/>
      <c r="N451" s="273"/>
      <c r="O451" s="273"/>
      <c r="P451" s="27"/>
      <c r="Q451" s="27"/>
      <c r="R451" s="27"/>
      <c r="S451" s="22"/>
      <c r="T451" s="22"/>
      <c r="U451" s="28"/>
    </row>
    <row r="452">
      <c r="A452" s="189"/>
      <c r="B452" s="22"/>
      <c r="C452" s="22"/>
      <c r="D452" s="22"/>
      <c r="E452" s="22"/>
      <c r="F452" s="22"/>
      <c r="G452" s="22"/>
      <c r="H452" s="22"/>
      <c r="I452" s="266"/>
      <c r="J452" s="272"/>
      <c r="K452" s="272"/>
      <c r="L452" s="272"/>
      <c r="M452" s="273"/>
      <c r="N452" s="273"/>
      <c r="O452" s="273"/>
      <c r="P452" s="27"/>
      <c r="Q452" s="27"/>
      <c r="R452" s="27"/>
      <c r="S452" s="22"/>
      <c r="T452" s="22"/>
      <c r="U452" s="28"/>
    </row>
    <row r="453">
      <c r="A453" s="189"/>
      <c r="B453" s="22"/>
      <c r="C453" s="22"/>
      <c r="D453" s="22"/>
      <c r="E453" s="22"/>
      <c r="F453" s="22"/>
      <c r="G453" s="22"/>
      <c r="H453" s="22"/>
      <c r="I453" s="266"/>
      <c r="J453" s="272"/>
      <c r="K453" s="272"/>
      <c r="L453" s="272"/>
      <c r="M453" s="273"/>
      <c r="N453" s="273"/>
      <c r="O453" s="273"/>
      <c r="P453" s="27"/>
      <c r="Q453" s="27"/>
      <c r="R453" s="27"/>
      <c r="S453" s="22"/>
      <c r="T453" s="22"/>
      <c r="U453" s="28"/>
    </row>
    <row r="454">
      <c r="A454" s="189"/>
      <c r="B454" s="22"/>
      <c r="C454" s="22"/>
      <c r="D454" s="22"/>
      <c r="E454" s="22"/>
      <c r="F454" s="22"/>
      <c r="G454" s="22"/>
      <c r="H454" s="22"/>
      <c r="I454" s="266"/>
      <c r="J454" s="272"/>
      <c r="K454" s="272"/>
      <c r="L454" s="272"/>
      <c r="M454" s="273"/>
      <c r="N454" s="273"/>
      <c r="O454" s="273"/>
      <c r="P454" s="27"/>
      <c r="Q454" s="27"/>
      <c r="R454" s="27"/>
      <c r="S454" s="22"/>
      <c r="T454" s="22"/>
      <c r="U454" s="28"/>
    </row>
    <row r="455">
      <c r="A455" s="189"/>
      <c r="B455" s="22"/>
      <c r="C455" s="22"/>
      <c r="D455" s="22"/>
      <c r="E455" s="22"/>
      <c r="F455" s="22"/>
      <c r="G455" s="22"/>
      <c r="H455" s="22"/>
      <c r="I455" s="266"/>
      <c r="J455" s="272"/>
      <c r="K455" s="272"/>
      <c r="L455" s="272"/>
      <c r="M455" s="273"/>
      <c r="N455" s="273"/>
      <c r="O455" s="273"/>
      <c r="P455" s="27"/>
      <c r="Q455" s="27"/>
      <c r="R455" s="27"/>
      <c r="S455" s="22"/>
      <c r="T455" s="22"/>
      <c r="U455" s="28"/>
    </row>
    <row r="456">
      <c r="A456" s="189"/>
      <c r="B456" s="22"/>
      <c r="C456" s="22"/>
      <c r="D456" s="22"/>
      <c r="E456" s="22"/>
      <c r="F456" s="22"/>
      <c r="G456" s="22"/>
      <c r="H456" s="22"/>
      <c r="I456" s="266"/>
      <c r="J456" s="272"/>
      <c r="K456" s="272"/>
      <c r="L456" s="272"/>
      <c r="M456" s="273"/>
      <c r="N456" s="273"/>
      <c r="O456" s="273"/>
      <c r="P456" s="27"/>
      <c r="Q456" s="27"/>
      <c r="R456" s="27"/>
      <c r="S456" s="22"/>
      <c r="T456" s="22"/>
      <c r="U456" s="28"/>
    </row>
    <row r="457">
      <c r="A457" s="189"/>
      <c r="B457" s="22"/>
      <c r="C457" s="22"/>
      <c r="D457" s="22"/>
      <c r="E457" s="22"/>
      <c r="F457" s="22"/>
      <c r="G457" s="22"/>
      <c r="H457" s="22"/>
      <c r="I457" s="266"/>
      <c r="J457" s="272"/>
      <c r="K457" s="272"/>
      <c r="L457" s="272"/>
      <c r="M457" s="273"/>
      <c r="N457" s="273"/>
      <c r="O457" s="273"/>
      <c r="P457" s="27"/>
      <c r="Q457" s="27"/>
      <c r="R457" s="27"/>
      <c r="S457" s="22"/>
      <c r="T457" s="22"/>
      <c r="U457" s="28"/>
    </row>
    <row r="458">
      <c r="A458" s="189"/>
      <c r="B458" s="22"/>
      <c r="C458" s="22"/>
      <c r="D458" s="22"/>
      <c r="E458" s="22"/>
      <c r="F458" s="22"/>
      <c r="G458" s="22"/>
      <c r="H458" s="22"/>
      <c r="I458" s="266"/>
      <c r="J458" s="272"/>
      <c r="K458" s="272"/>
      <c r="L458" s="272"/>
      <c r="M458" s="273"/>
      <c r="N458" s="273"/>
      <c r="O458" s="273"/>
      <c r="P458" s="27"/>
      <c r="Q458" s="27"/>
      <c r="R458" s="27"/>
      <c r="S458" s="22"/>
      <c r="T458" s="22"/>
      <c r="U458" s="28"/>
    </row>
    <row r="459">
      <c r="A459" s="189"/>
      <c r="B459" s="22"/>
      <c r="C459" s="22"/>
      <c r="D459" s="22"/>
      <c r="E459" s="22"/>
      <c r="F459" s="22"/>
      <c r="G459" s="22"/>
      <c r="H459" s="22"/>
      <c r="I459" s="266"/>
      <c r="J459" s="272"/>
      <c r="K459" s="272"/>
      <c r="L459" s="272"/>
      <c r="M459" s="273"/>
      <c r="N459" s="273"/>
      <c r="O459" s="273"/>
      <c r="P459" s="27"/>
      <c r="Q459" s="27"/>
      <c r="R459" s="27"/>
      <c r="S459" s="22"/>
      <c r="T459" s="22"/>
      <c r="U459" s="28"/>
    </row>
    <row r="460">
      <c r="A460" s="189"/>
      <c r="B460" s="22"/>
      <c r="C460" s="22"/>
      <c r="D460" s="22"/>
      <c r="E460" s="22"/>
      <c r="F460" s="22"/>
      <c r="G460" s="22"/>
      <c r="H460" s="22"/>
      <c r="I460" s="266"/>
      <c r="J460" s="272"/>
      <c r="K460" s="272"/>
      <c r="L460" s="272"/>
      <c r="M460" s="273"/>
      <c r="N460" s="273"/>
      <c r="O460" s="273"/>
      <c r="P460" s="27"/>
      <c r="Q460" s="27"/>
      <c r="R460" s="27"/>
      <c r="S460" s="22"/>
      <c r="T460" s="22"/>
      <c r="U460" s="28"/>
    </row>
    <row r="461">
      <c r="A461" s="189"/>
      <c r="B461" s="22"/>
      <c r="C461" s="22"/>
      <c r="D461" s="22"/>
      <c r="E461" s="22"/>
      <c r="F461" s="22"/>
      <c r="G461" s="22"/>
      <c r="H461" s="22"/>
      <c r="I461" s="266"/>
      <c r="J461" s="272"/>
      <c r="K461" s="272"/>
      <c r="L461" s="272"/>
      <c r="M461" s="273"/>
      <c r="N461" s="273"/>
      <c r="O461" s="273"/>
      <c r="P461" s="27"/>
      <c r="Q461" s="27"/>
      <c r="R461" s="27"/>
      <c r="S461" s="22"/>
      <c r="T461" s="22"/>
      <c r="U461" s="28"/>
    </row>
    <row r="462">
      <c r="A462" s="189"/>
      <c r="B462" s="22"/>
      <c r="C462" s="22"/>
      <c r="D462" s="22"/>
      <c r="E462" s="22"/>
      <c r="F462" s="22"/>
      <c r="G462" s="22"/>
      <c r="H462" s="22"/>
      <c r="I462" s="266"/>
      <c r="J462" s="272"/>
      <c r="K462" s="272"/>
      <c r="L462" s="272"/>
      <c r="M462" s="273"/>
      <c r="N462" s="273"/>
      <c r="O462" s="273"/>
      <c r="P462" s="27"/>
      <c r="Q462" s="27"/>
      <c r="R462" s="27"/>
      <c r="S462" s="22"/>
      <c r="T462" s="22"/>
      <c r="U462" s="28"/>
    </row>
    <row r="463">
      <c r="A463" s="189"/>
      <c r="B463" s="22"/>
      <c r="C463" s="22"/>
      <c r="D463" s="22"/>
      <c r="E463" s="22"/>
      <c r="F463" s="22"/>
      <c r="G463" s="22"/>
      <c r="H463" s="22"/>
      <c r="I463" s="266"/>
      <c r="J463" s="272"/>
      <c r="K463" s="272"/>
      <c r="L463" s="272"/>
      <c r="M463" s="273"/>
      <c r="N463" s="273"/>
      <c r="O463" s="273"/>
      <c r="P463" s="27"/>
      <c r="Q463" s="27"/>
      <c r="R463" s="27"/>
      <c r="S463" s="22"/>
      <c r="T463" s="22"/>
      <c r="U463" s="28"/>
    </row>
    <row r="464">
      <c r="A464" s="189"/>
      <c r="B464" s="22"/>
      <c r="C464" s="22"/>
      <c r="D464" s="22"/>
      <c r="E464" s="22"/>
      <c r="F464" s="22"/>
      <c r="G464" s="22"/>
      <c r="H464" s="22"/>
      <c r="I464" s="266"/>
      <c r="J464" s="272"/>
      <c r="K464" s="272"/>
      <c r="L464" s="272"/>
      <c r="M464" s="273"/>
      <c r="N464" s="273"/>
      <c r="O464" s="273"/>
      <c r="P464" s="27"/>
      <c r="Q464" s="27"/>
      <c r="R464" s="27"/>
      <c r="S464" s="22"/>
      <c r="T464" s="22"/>
      <c r="U464" s="28"/>
    </row>
    <row r="465">
      <c r="A465" s="189"/>
      <c r="B465" s="22"/>
      <c r="C465" s="22"/>
      <c r="D465" s="22"/>
      <c r="E465" s="22"/>
      <c r="F465" s="22"/>
      <c r="G465" s="22"/>
      <c r="H465" s="22"/>
      <c r="I465" s="266"/>
      <c r="J465" s="272"/>
      <c r="K465" s="272"/>
      <c r="L465" s="272"/>
      <c r="M465" s="273"/>
      <c r="N465" s="273"/>
      <c r="O465" s="273"/>
      <c r="P465" s="27"/>
      <c r="Q465" s="27"/>
      <c r="R465" s="27"/>
      <c r="S465" s="22"/>
      <c r="T465" s="22"/>
      <c r="U465" s="28"/>
    </row>
    <row r="466">
      <c r="A466" s="189"/>
      <c r="B466" s="22"/>
      <c r="C466" s="22"/>
      <c r="D466" s="22"/>
      <c r="E466" s="22"/>
      <c r="F466" s="22"/>
      <c r="G466" s="22"/>
      <c r="H466" s="22"/>
      <c r="I466" s="266"/>
      <c r="J466" s="272"/>
      <c r="K466" s="272"/>
      <c r="L466" s="272"/>
      <c r="M466" s="273"/>
      <c r="N466" s="273"/>
      <c r="O466" s="273"/>
      <c r="P466" s="27"/>
      <c r="Q466" s="27"/>
      <c r="R466" s="27"/>
      <c r="S466" s="22"/>
      <c r="T466" s="22"/>
      <c r="U466" s="28"/>
    </row>
    <row r="467">
      <c r="A467" s="189"/>
      <c r="B467" s="22"/>
      <c r="C467" s="22"/>
      <c r="D467" s="22"/>
      <c r="E467" s="22"/>
      <c r="F467" s="22"/>
      <c r="G467" s="22"/>
      <c r="H467" s="22"/>
      <c r="I467" s="266"/>
      <c r="J467" s="272"/>
      <c r="K467" s="272"/>
      <c r="L467" s="272"/>
      <c r="M467" s="273"/>
      <c r="N467" s="273"/>
      <c r="O467" s="273"/>
      <c r="P467" s="27"/>
      <c r="Q467" s="27"/>
      <c r="R467" s="27"/>
      <c r="S467" s="22"/>
      <c r="T467" s="22"/>
      <c r="U467" s="28"/>
    </row>
    <row r="468">
      <c r="A468" s="189"/>
      <c r="B468" s="22"/>
      <c r="C468" s="22"/>
      <c r="D468" s="22"/>
      <c r="E468" s="22"/>
      <c r="F468" s="22"/>
      <c r="G468" s="22"/>
      <c r="H468" s="22"/>
      <c r="I468" s="266"/>
      <c r="J468" s="272"/>
      <c r="K468" s="272"/>
      <c r="L468" s="272"/>
      <c r="M468" s="273"/>
      <c r="N468" s="273"/>
      <c r="O468" s="273"/>
      <c r="P468" s="27"/>
      <c r="Q468" s="27"/>
      <c r="R468" s="27"/>
      <c r="S468" s="22"/>
      <c r="T468" s="22"/>
      <c r="U468" s="28"/>
    </row>
    <row r="469">
      <c r="A469" s="189"/>
      <c r="B469" s="22"/>
      <c r="C469" s="22"/>
      <c r="D469" s="22"/>
      <c r="E469" s="22"/>
      <c r="F469" s="22"/>
      <c r="G469" s="22"/>
      <c r="H469" s="22"/>
      <c r="I469" s="266"/>
      <c r="J469" s="272"/>
      <c r="K469" s="272"/>
      <c r="L469" s="272"/>
      <c r="M469" s="273"/>
      <c r="N469" s="273"/>
      <c r="O469" s="273"/>
      <c r="P469" s="27"/>
      <c r="Q469" s="27"/>
      <c r="R469" s="27"/>
      <c r="S469" s="22"/>
      <c r="T469" s="22"/>
      <c r="U469" s="28"/>
    </row>
    <row r="470">
      <c r="A470" s="189"/>
      <c r="B470" s="22"/>
      <c r="C470" s="22"/>
      <c r="D470" s="22"/>
      <c r="E470" s="22"/>
      <c r="F470" s="22"/>
      <c r="G470" s="22"/>
      <c r="H470" s="22"/>
      <c r="I470" s="266"/>
      <c r="J470" s="272"/>
      <c r="K470" s="272"/>
      <c r="L470" s="272"/>
      <c r="M470" s="273"/>
      <c r="N470" s="273"/>
      <c r="O470" s="273"/>
      <c r="P470" s="27"/>
      <c r="Q470" s="27"/>
      <c r="R470" s="27"/>
      <c r="S470" s="22"/>
      <c r="T470" s="22"/>
      <c r="U470" s="28"/>
    </row>
    <row r="471">
      <c r="A471" s="189"/>
      <c r="B471" s="22"/>
      <c r="C471" s="22"/>
      <c r="D471" s="22"/>
      <c r="E471" s="22"/>
      <c r="F471" s="22"/>
      <c r="G471" s="22"/>
      <c r="H471" s="22"/>
      <c r="I471" s="266"/>
      <c r="J471" s="272"/>
      <c r="K471" s="272"/>
      <c r="L471" s="272"/>
      <c r="M471" s="273"/>
      <c r="N471" s="273"/>
      <c r="O471" s="273"/>
      <c r="P471" s="27"/>
      <c r="Q471" s="27"/>
      <c r="R471" s="27"/>
      <c r="S471" s="22"/>
      <c r="T471" s="22"/>
      <c r="U471" s="28"/>
    </row>
    <row r="472">
      <c r="A472" s="189"/>
      <c r="B472" s="22"/>
      <c r="C472" s="22"/>
      <c r="D472" s="22"/>
      <c r="E472" s="22"/>
      <c r="F472" s="22"/>
      <c r="G472" s="22"/>
      <c r="H472" s="22"/>
      <c r="I472" s="266"/>
      <c r="J472" s="272"/>
      <c r="K472" s="272"/>
      <c r="L472" s="272"/>
      <c r="M472" s="273"/>
      <c r="N472" s="273"/>
      <c r="O472" s="273"/>
      <c r="P472" s="27"/>
      <c r="Q472" s="27"/>
      <c r="R472" s="27"/>
      <c r="S472" s="22"/>
      <c r="T472" s="22"/>
      <c r="U472" s="28"/>
    </row>
    <row r="473">
      <c r="A473" s="189"/>
      <c r="B473" s="22"/>
      <c r="C473" s="22"/>
      <c r="D473" s="22"/>
      <c r="E473" s="22"/>
      <c r="F473" s="22"/>
      <c r="G473" s="22"/>
      <c r="H473" s="22"/>
      <c r="I473" s="266"/>
      <c r="J473" s="272"/>
      <c r="K473" s="272"/>
      <c r="L473" s="272"/>
      <c r="M473" s="273"/>
      <c r="N473" s="273"/>
      <c r="O473" s="273"/>
      <c r="P473" s="27"/>
      <c r="Q473" s="27"/>
      <c r="R473" s="27"/>
      <c r="S473" s="22"/>
      <c r="T473" s="22"/>
      <c r="U473" s="28"/>
    </row>
    <row r="474">
      <c r="A474" s="189"/>
      <c r="B474" s="22"/>
      <c r="C474" s="22"/>
      <c r="D474" s="22"/>
      <c r="E474" s="22"/>
      <c r="F474" s="22"/>
      <c r="G474" s="22"/>
      <c r="H474" s="22"/>
      <c r="I474" s="266"/>
      <c r="J474" s="272"/>
      <c r="K474" s="272"/>
      <c r="L474" s="272"/>
      <c r="M474" s="273"/>
      <c r="N474" s="273"/>
      <c r="O474" s="273"/>
      <c r="P474" s="27"/>
      <c r="Q474" s="27"/>
      <c r="R474" s="27"/>
      <c r="S474" s="22"/>
      <c r="T474" s="22"/>
      <c r="U474" s="28"/>
    </row>
    <row r="475">
      <c r="A475" s="189"/>
      <c r="B475" s="22"/>
      <c r="C475" s="22"/>
      <c r="D475" s="22"/>
      <c r="E475" s="22"/>
      <c r="F475" s="22"/>
      <c r="G475" s="22"/>
      <c r="H475" s="22"/>
      <c r="I475" s="266"/>
      <c r="J475" s="272"/>
      <c r="K475" s="272"/>
      <c r="L475" s="272"/>
      <c r="M475" s="273"/>
      <c r="N475" s="273"/>
      <c r="O475" s="273"/>
      <c r="P475" s="27"/>
      <c r="Q475" s="27"/>
      <c r="R475" s="27"/>
      <c r="S475" s="22"/>
      <c r="T475" s="22"/>
      <c r="U475" s="28"/>
    </row>
    <row r="476">
      <c r="A476" s="189"/>
      <c r="B476" s="22"/>
      <c r="C476" s="22"/>
      <c r="D476" s="22"/>
      <c r="E476" s="22"/>
      <c r="F476" s="22"/>
      <c r="G476" s="22"/>
      <c r="H476" s="22"/>
      <c r="I476" s="266"/>
      <c r="J476" s="272"/>
      <c r="K476" s="272"/>
      <c r="L476" s="272"/>
      <c r="M476" s="273"/>
      <c r="N476" s="273"/>
      <c r="O476" s="273"/>
      <c r="P476" s="27"/>
      <c r="Q476" s="27"/>
      <c r="R476" s="27"/>
      <c r="S476" s="22"/>
      <c r="T476" s="22"/>
      <c r="U476" s="28"/>
    </row>
    <row r="477">
      <c r="A477" s="189"/>
      <c r="B477" s="22"/>
      <c r="C477" s="22"/>
      <c r="D477" s="22"/>
      <c r="E477" s="22"/>
      <c r="F477" s="22"/>
      <c r="G477" s="22"/>
      <c r="H477" s="22"/>
      <c r="I477" s="266"/>
      <c r="J477" s="272"/>
      <c r="K477" s="272"/>
      <c r="L477" s="272"/>
      <c r="M477" s="273"/>
      <c r="N477" s="273"/>
      <c r="O477" s="273"/>
      <c r="P477" s="27"/>
      <c r="Q477" s="27"/>
      <c r="R477" s="27"/>
      <c r="S477" s="22"/>
      <c r="T477" s="22"/>
      <c r="U477" s="28"/>
    </row>
    <row r="478">
      <c r="A478" s="189"/>
      <c r="B478" s="22"/>
      <c r="C478" s="22"/>
      <c r="D478" s="22"/>
      <c r="E478" s="22"/>
      <c r="F478" s="22"/>
      <c r="G478" s="22"/>
      <c r="H478" s="22"/>
      <c r="I478" s="266"/>
      <c r="J478" s="272"/>
      <c r="K478" s="272"/>
      <c r="L478" s="272"/>
      <c r="M478" s="273"/>
      <c r="N478" s="273"/>
      <c r="O478" s="273"/>
      <c r="P478" s="27"/>
      <c r="Q478" s="27"/>
      <c r="R478" s="27"/>
      <c r="S478" s="22"/>
      <c r="T478" s="22"/>
      <c r="U478" s="28"/>
    </row>
    <row r="479">
      <c r="A479" s="189"/>
      <c r="B479" s="22"/>
      <c r="C479" s="22"/>
      <c r="D479" s="22"/>
      <c r="E479" s="22"/>
      <c r="F479" s="22"/>
      <c r="G479" s="22"/>
      <c r="H479" s="22"/>
      <c r="I479" s="266"/>
      <c r="J479" s="272"/>
      <c r="K479" s="272"/>
      <c r="L479" s="272"/>
      <c r="M479" s="273"/>
      <c r="N479" s="273"/>
      <c r="O479" s="273"/>
      <c r="P479" s="27"/>
      <c r="Q479" s="27"/>
      <c r="R479" s="27"/>
      <c r="S479" s="22"/>
      <c r="T479" s="22"/>
      <c r="U479" s="28"/>
    </row>
    <row r="480">
      <c r="A480" s="189"/>
      <c r="B480" s="22"/>
      <c r="C480" s="22"/>
      <c r="D480" s="22"/>
      <c r="E480" s="22"/>
      <c r="F480" s="22"/>
      <c r="G480" s="22"/>
      <c r="H480" s="22"/>
      <c r="I480" s="266"/>
      <c r="J480" s="272"/>
      <c r="K480" s="272"/>
      <c r="L480" s="272"/>
      <c r="M480" s="273"/>
      <c r="N480" s="273"/>
      <c r="O480" s="273"/>
      <c r="P480" s="27"/>
      <c r="Q480" s="27"/>
      <c r="R480" s="27"/>
      <c r="S480" s="22"/>
      <c r="T480" s="22"/>
      <c r="U480" s="28"/>
    </row>
    <row r="481">
      <c r="A481" s="189"/>
      <c r="B481" s="22"/>
      <c r="C481" s="22"/>
      <c r="D481" s="22"/>
      <c r="E481" s="22"/>
      <c r="F481" s="22"/>
      <c r="G481" s="22"/>
      <c r="H481" s="22"/>
      <c r="I481" s="266"/>
      <c r="J481" s="272"/>
      <c r="K481" s="272"/>
      <c r="L481" s="272"/>
      <c r="M481" s="273"/>
      <c r="N481" s="273"/>
      <c r="O481" s="273"/>
      <c r="P481" s="27"/>
      <c r="Q481" s="27"/>
      <c r="R481" s="27"/>
      <c r="S481" s="22"/>
      <c r="T481" s="22"/>
      <c r="U481" s="28"/>
    </row>
    <row r="482">
      <c r="A482" s="189"/>
      <c r="B482" s="22"/>
      <c r="C482" s="22"/>
      <c r="D482" s="22"/>
      <c r="E482" s="22"/>
      <c r="F482" s="22"/>
      <c r="G482" s="22"/>
      <c r="H482" s="22"/>
      <c r="I482" s="266"/>
      <c r="J482" s="272"/>
      <c r="K482" s="272"/>
      <c r="L482" s="272"/>
      <c r="M482" s="273"/>
      <c r="N482" s="273"/>
      <c r="O482" s="273"/>
      <c r="P482" s="27"/>
      <c r="Q482" s="27"/>
      <c r="R482" s="27"/>
      <c r="S482" s="22"/>
      <c r="T482" s="22"/>
      <c r="U482" s="28"/>
    </row>
    <row r="483">
      <c r="A483" s="189"/>
      <c r="B483" s="22"/>
      <c r="C483" s="22"/>
      <c r="D483" s="22"/>
      <c r="E483" s="22"/>
      <c r="F483" s="22"/>
      <c r="G483" s="22"/>
      <c r="H483" s="22"/>
      <c r="I483" s="266"/>
      <c r="J483" s="272"/>
      <c r="K483" s="272"/>
      <c r="L483" s="272"/>
      <c r="M483" s="273"/>
      <c r="N483" s="273"/>
      <c r="O483" s="273"/>
      <c r="P483" s="27"/>
      <c r="Q483" s="27"/>
      <c r="R483" s="27"/>
      <c r="S483" s="22"/>
      <c r="T483" s="22"/>
      <c r="U483" s="28"/>
    </row>
    <row r="484">
      <c r="A484" s="189"/>
      <c r="B484" s="22"/>
      <c r="C484" s="22"/>
      <c r="D484" s="22"/>
      <c r="E484" s="22"/>
      <c r="F484" s="22"/>
      <c r="G484" s="22"/>
      <c r="H484" s="22"/>
      <c r="I484" s="266"/>
      <c r="J484" s="272"/>
      <c r="K484" s="272"/>
      <c r="L484" s="272"/>
      <c r="M484" s="273"/>
      <c r="N484" s="273"/>
      <c r="O484" s="273"/>
      <c r="P484" s="27"/>
      <c r="Q484" s="27"/>
      <c r="R484" s="27"/>
      <c r="S484" s="22"/>
      <c r="T484" s="22"/>
      <c r="U484" s="28"/>
    </row>
    <row r="485">
      <c r="A485" s="189"/>
      <c r="B485" s="22"/>
      <c r="C485" s="22"/>
      <c r="D485" s="22"/>
      <c r="E485" s="22"/>
      <c r="F485" s="22"/>
      <c r="G485" s="22"/>
      <c r="H485" s="22"/>
      <c r="I485" s="266"/>
      <c r="J485" s="272"/>
      <c r="K485" s="272"/>
      <c r="L485" s="272"/>
      <c r="M485" s="273"/>
      <c r="N485" s="273"/>
      <c r="O485" s="273"/>
      <c r="P485" s="27"/>
      <c r="Q485" s="27"/>
      <c r="R485" s="27"/>
      <c r="S485" s="22"/>
      <c r="T485" s="22"/>
      <c r="U485" s="28"/>
    </row>
    <row r="486">
      <c r="A486" s="189"/>
      <c r="B486" s="22"/>
      <c r="C486" s="22"/>
      <c r="D486" s="22"/>
      <c r="E486" s="22"/>
      <c r="F486" s="22"/>
      <c r="G486" s="22"/>
      <c r="H486" s="22"/>
      <c r="I486" s="266"/>
      <c r="J486" s="272"/>
      <c r="K486" s="272"/>
      <c r="L486" s="272"/>
      <c r="M486" s="273"/>
      <c r="N486" s="273"/>
      <c r="O486" s="273"/>
      <c r="P486" s="27"/>
      <c r="Q486" s="27"/>
      <c r="R486" s="27"/>
      <c r="S486" s="22"/>
      <c r="T486" s="22"/>
      <c r="U486" s="28"/>
    </row>
    <row r="487">
      <c r="A487" s="189"/>
      <c r="B487" s="22"/>
      <c r="C487" s="22"/>
      <c r="D487" s="22"/>
      <c r="E487" s="22"/>
      <c r="F487" s="22"/>
      <c r="G487" s="22"/>
      <c r="H487" s="22"/>
      <c r="I487" s="266"/>
      <c r="J487" s="272"/>
      <c r="K487" s="272"/>
      <c r="L487" s="272"/>
      <c r="M487" s="273"/>
      <c r="N487" s="273"/>
      <c r="O487" s="273"/>
      <c r="P487" s="27"/>
      <c r="Q487" s="27"/>
      <c r="R487" s="27"/>
      <c r="S487" s="22"/>
      <c r="T487" s="22"/>
      <c r="U487" s="28"/>
    </row>
    <row r="488">
      <c r="A488" s="189"/>
      <c r="B488" s="22"/>
      <c r="C488" s="22"/>
      <c r="D488" s="22"/>
      <c r="E488" s="22"/>
      <c r="F488" s="22"/>
      <c r="G488" s="22"/>
      <c r="H488" s="22"/>
      <c r="I488" s="266"/>
      <c r="J488" s="272"/>
      <c r="K488" s="272"/>
      <c r="L488" s="272"/>
      <c r="M488" s="273"/>
      <c r="N488" s="273"/>
      <c r="O488" s="273"/>
      <c r="P488" s="27"/>
      <c r="Q488" s="27"/>
      <c r="R488" s="27"/>
      <c r="S488" s="22"/>
      <c r="T488" s="22"/>
      <c r="U488" s="28"/>
    </row>
    <row r="489">
      <c r="A489" s="189"/>
      <c r="B489" s="22"/>
      <c r="C489" s="22"/>
      <c r="D489" s="22"/>
      <c r="E489" s="22"/>
      <c r="F489" s="22"/>
      <c r="G489" s="22"/>
      <c r="H489" s="22"/>
      <c r="I489" s="266"/>
      <c r="J489" s="272"/>
      <c r="K489" s="272"/>
      <c r="L489" s="272"/>
      <c r="M489" s="273"/>
      <c r="N489" s="273"/>
      <c r="O489" s="273"/>
      <c r="P489" s="27"/>
      <c r="Q489" s="27"/>
      <c r="R489" s="27"/>
      <c r="S489" s="22"/>
      <c r="T489" s="22"/>
      <c r="U489" s="28"/>
    </row>
    <row r="490">
      <c r="A490" s="189"/>
      <c r="B490" s="22"/>
      <c r="C490" s="22"/>
      <c r="D490" s="22"/>
      <c r="E490" s="22"/>
      <c r="F490" s="22"/>
      <c r="G490" s="22"/>
      <c r="H490" s="22"/>
      <c r="I490" s="266"/>
      <c r="J490" s="272"/>
      <c r="K490" s="272"/>
      <c r="L490" s="272"/>
      <c r="M490" s="273"/>
      <c r="N490" s="273"/>
      <c r="O490" s="273"/>
      <c r="P490" s="27"/>
      <c r="Q490" s="27"/>
      <c r="R490" s="27"/>
      <c r="S490" s="22"/>
      <c r="T490" s="22"/>
      <c r="U490" s="28"/>
    </row>
    <row r="491">
      <c r="A491" s="189"/>
      <c r="B491" s="22"/>
      <c r="C491" s="22"/>
      <c r="D491" s="22"/>
      <c r="E491" s="22"/>
      <c r="F491" s="22"/>
      <c r="G491" s="22"/>
      <c r="H491" s="22"/>
      <c r="I491" s="266"/>
      <c r="J491" s="272"/>
      <c r="K491" s="272"/>
      <c r="L491" s="272"/>
      <c r="M491" s="273"/>
      <c r="N491" s="273"/>
      <c r="O491" s="273"/>
      <c r="P491" s="27"/>
      <c r="Q491" s="27"/>
      <c r="R491" s="27"/>
      <c r="S491" s="22"/>
      <c r="T491" s="22"/>
      <c r="U491" s="28"/>
    </row>
    <row r="492">
      <c r="A492" s="189"/>
      <c r="B492" s="22"/>
      <c r="C492" s="22"/>
      <c r="D492" s="22"/>
      <c r="E492" s="22"/>
      <c r="F492" s="22"/>
      <c r="G492" s="22"/>
      <c r="H492" s="22"/>
      <c r="I492" s="266"/>
      <c r="J492" s="272"/>
      <c r="K492" s="272"/>
      <c r="L492" s="272"/>
      <c r="M492" s="273"/>
      <c r="N492" s="273"/>
      <c r="O492" s="273"/>
      <c r="P492" s="27"/>
      <c r="Q492" s="27"/>
      <c r="R492" s="27"/>
      <c r="S492" s="22"/>
      <c r="T492" s="22"/>
      <c r="U492" s="28"/>
    </row>
    <row r="493">
      <c r="A493" s="189"/>
      <c r="B493" s="22"/>
      <c r="C493" s="22"/>
      <c r="D493" s="22"/>
      <c r="E493" s="22"/>
      <c r="F493" s="22"/>
      <c r="G493" s="22"/>
      <c r="H493" s="22"/>
      <c r="I493" s="266"/>
      <c r="J493" s="272"/>
      <c r="K493" s="272"/>
      <c r="L493" s="272"/>
      <c r="M493" s="273"/>
      <c r="N493" s="273"/>
      <c r="O493" s="273"/>
      <c r="P493" s="27"/>
      <c r="Q493" s="27"/>
      <c r="R493" s="27"/>
      <c r="S493" s="22"/>
      <c r="T493" s="22"/>
      <c r="U493" s="28"/>
    </row>
    <row r="494">
      <c r="A494" s="189"/>
      <c r="B494" s="22"/>
      <c r="C494" s="22"/>
      <c r="D494" s="22"/>
      <c r="E494" s="22"/>
      <c r="F494" s="22"/>
      <c r="G494" s="22"/>
      <c r="H494" s="22"/>
      <c r="I494" s="266"/>
      <c r="J494" s="272"/>
      <c r="K494" s="272"/>
      <c r="L494" s="272"/>
      <c r="M494" s="273"/>
      <c r="N494" s="273"/>
      <c r="O494" s="273"/>
      <c r="P494" s="27"/>
      <c r="Q494" s="27"/>
      <c r="R494" s="27"/>
      <c r="S494" s="22"/>
      <c r="T494" s="22"/>
      <c r="U494" s="28"/>
    </row>
    <row r="495">
      <c r="A495" s="189"/>
      <c r="B495" s="22"/>
      <c r="C495" s="22"/>
      <c r="D495" s="22"/>
      <c r="E495" s="22"/>
      <c r="F495" s="22"/>
      <c r="G495" s="22"/>
      <c r="H495" s="22"/>
      <c r="I495" s="266"/>
      <c r="J495" s="272"/>
      <c r="K495" s="272"/>
      <c r="L495" s="272"/>
      <c r="M495" s="273"/>
      <c r="N495" s="273"/>
      <c r="O495" s="273"/>
      <c r="P495" s="27"/>
      <c r="Q495" s="27"/>
      <c r="R495" s="27"/>
      <c r="S495" s="22"/>
      <c r="T495" s="22"/>
      <c r="U495" s="28"/>
    </row>
    <row r="496">
      <c r="A496" s="189"/>
      <c r="B496" s="22"/>
      <c r="C496" s="22"/>
      <c r="D496" s="22"/>
      <c r="E496" s="22"/>
      <c r="F496" s="22"/>
      <c r="G496" s="22"/>
      <c r="H496" s="22"/>
      <c r="I496" s="266"/>
      <c r="J496" s="272"/>
      <c r="K496" s="272"/>
      <c r="L496" s="272"/>
      <c r="M496" s="273"/>
      <c r="N496" s="273"/>
      <c r="O496" s="273"/>
      <c r="P496" s="27"/>
      <c r="Q496" s="27"/>
      <c r="R496" s="27"/>
      <c r="S496" s="22"/>
      <c r="T496" s="22"/>
      <c r="U496" s="28"/>
    </row>
    <row r="497">
      <c r="A497" s="189"/>
      <c r="B497" s="22"/>
      <c r="C497" s="22"/>
      <c r="D497" s="22"/>
      <c r="E497" s="22"/>
      <c r="F497" s="22"/>
      <c r="G497" s="22"/>
      <c r="H497" s="22"/>
      <c r="I497" s="266"/>
      <c r="J497" s="272"/>
      <c r="K497" s="272"/>
      <c r="L497" s="272"/>
      <c r="M497" s="273"/>
      <c r="N497" s="273"/>
      <c r="O497" s="273"/>
      <c r="P497" s="27"/>
      <c r="Q497" s="27"/>
      <c r="R497" s="27"/>
      <c r="S497" s="22"/>
      <c r="T497" s="22"/>
      <c r="U497" s="28"/>
    </row>
    <row r="498">
      <c r="A498" s="189"/>
      <c r="B498" s="22"/>
      <c r="C498" s="22"/>
      <c r="D498" s="22"/>
      <c r="E498" s="22"/>
      <c r="F498" s="22"/>
      <c r="G498" s="22"/>
      <c r="H498" s="22"/>
      <c r="I498" s="266"/>
      <c r="J498" s="272"/>
      <c r="K498" s="272"/>
      <c r="L498" s="272"/>
      <c r="M498" s="273"/>
      <c r="N498" s="273"/>
      <c r="O498" s="273"/>
      <c r="P498" s="27"/>
      <c r="Q498" s="27"/>
      <c r="R498" s="27"/>
      <c r="S498" s="22"/>
      <c r="T498" s="22"/>
      <c r="U498" s="28"/>
    </row>
    <row r="499">
      <c r="A499" s="189"/>
      <c r="B499" s="22"/>
      <c r="C499" s="22"/>
      <c r="D499" s="22"/>
      <c r="E499" s="22"/>
      <c r="F499" s="22"/>
      <c r="G499" s="22"/>
      <c r="H499" s="22"/>
      <c r="I499" s="266"/>
      <c r="J499" s="272"/>
      <c r="K499" s="272"/>
      <c r="L499" s="272"/>
      <c r="M499" s="273"/>
      <c r="N499" s="273"/>
      <c r="O499" s="273"/>
      <c r="P499" s="27"/>
      <c r="Q499" s="27"/>
      <c r="R499" s="27"/>
      <c r="S499" s="22"/>
      <c r="T499" s="22"/>
      <c r="U499" s="28"/>
    </row>
    <row r="500">
      <c r="A500" s="189"/>
      <c r="B500" s="22"/>
      <c r="C500" s="22"/>
      <c r="D500" s="22"/>
      <c r="E500" s="22"/>
      <c r="F500" s="22"/>
      <c r="G500" s="22"/>
      <c r="H500" s="22"/>
      <c r="I500" s="266"/>
      <c r="J500" s="272"/>
      <c r="K500" s="272"/>
      <c r="L500" s="272"/>
      <c r="M500" s="273"/>
      <c r="N500" s="273"/>
      <c r="O500" s="273"/>
      <c r="P500" s="27"/>
      <c r="Q500" s="27"/>
      <c r="R500" s="27"/>
      <c r="S500" s="22"/>
      <c r="T500" s="22"/>
      <c r="U500" s="28"/>
    </row>
    <row r="501">
      <c r="A501" s="189"/>
      <c r="B501" s="22"/>
      <c r="C501" s="22"/>
      <c r="D501" s="22"/>
      <c r="E501" s="22"/>
      <c r="F501" s="22"/>
      <c r="G501" s="22"/>
      <c r="H501" s="22"/>
      <c r="I501" s="266"/>
      <c r="J501" s="272"/>
      <c r="K501" s="272"/>
      <c r="L501" s="272"/>
      <c r="M501" s="273"/>
      <c r="N501" s="273"/>
      <c r="O501" s="273"/>
      <c r="P501" s="27"/>
      <c r="Q501" s="27"/>
      <c r="R501" s="27"/>
      <c r="S501" s="22"/>
      <c r="T501" s="22"/>
      <c r="U501" s="28"/>
    </row>
    <row r="502">
      <c r="A502" s="189"/>
      <c r="B502" s="22"/>
      <c r="C502" s="22"/>
      <c r="D502" s="22"/>
      <c r="E502" s="22"/>
      <c r="F502" s="22"/>
      <c r="G502" s="22"/>
      <c r="H502" s="22"/>
      <c r="I502" s="266"/>
      <c r="J502" s="272"/>
      <c r="K502" s="272"/>
      <c r="L502" s="272"/>
      <c r="M502" s="273"/>
      <c r="N502" s="273"/>
      <c r="O502" s="273"/>
      <c r="P502" s="27"/>
      <c r="Q502" s="27"/>
      <c r="R502" s="27"/>
      <c r="S502" s="22"/>
      <c r="T502" s="22"/>
      <c r="U502" s="28"/>
    </row>
    <row r="503">
      <c r="A503" s="189"/>
      <c r="B503" s="22"/>
      <c r="C503" s="22"/>
      <c r="D503" s="22"/>
      <c r="E503" s="22"/>
      <c r="F503" s="22"/>
      <c r="G503" s="22"/>
      <c r="H503" s="22"/>
      <c r="I503" s="266"/>
      <c r="J503" s="272"/>
      <c r="K503" s="272"/>
      <c r="L503" s="272"/>
      <c r="M503" s="273"/>
      <c r="N503" s="273"/>
      <c r="O503" s="273"/>
      <c r="P503" s="27"/>
      <c r="Q503" s="27"/>
      <c r="R503" s="27"/>
      <c r="S503" s="22"/>
      <c r="T503" s="22"/>
      <c r="U503" s="28"/>
    </row>
    <row r="504">
      <c r="A504" s="189"/>
      <c r="B504" s="22"/>
      <c r="C504" s="22"/>
      <c r="D504" s="22"/>
      <c r="E504" s="22"/>
      <c r="F504" s="22"/>
      <c r="G504" s="22"/>
      <c r="H504" s="22"/>
      <c r="I504" s="266"/>
      <c r="J504" s="272"/>
      <c r="K504" s="272"/>
      <c r="L504" s="272"/>
      <c r="M504" s="273"/>
      <c r="N504" s="273"/>
      <c r="O504" s="273"/>
      <c r="P504" s="27"/>
      <c r="Q504" s="27"/>
      <c r="R504" s="27"/>
      <c r="S504" s="22"/>
      <c r="T504" s="22"/>
      <c r="U504" s="28"/>
    </row>
    <row r="505">
      <c r="A505" s="189"/>
      <c r="B505" s="22"/>
      <c r="C505" s="22"/>
      <c r="D505" s="22"/>
      <c r="E505" s="22"/>
      <c r="F505" s="22"/>
      <c r="G505" s="22"/>
      <c r="H505" s="22"/>
      <c r="I505" s="266"/>
      <c r="J505" s="272"/>
      <c r="K505" s="272"/>
      <c r="L505" s="272"/>
      <c r="M505" s="273"/>
      <c r="N505" s="273"/>
      <c r="O505" s="273"/>
      <c r="P505" s="27"/>
      <c r="Q505" s="27"/>
      <c r="R505" s="27"/>
      <c r="S505" s="22"/>
      <c r="T505" s="22"/>
      <c r="U505" s="28"/>
    </row>
    <row r="506">
      <c r="A506" s="189"/>
      <c r="B506" s="22"/>
      <c r="C506" s="22"/>
      <c r="D506" s="22"/>
      <c r="E506" s="22"/>
      <c r="F506" s="22"/>
      <c r="G506" s="22"/>
      <c r="H506" s="22"/>
      <c r="I506" s="266"/>
      <c r="J506" s="272"/>
      <c r="K506" s="272"/>
      <c r="L506" s="272"/>
      <c r="M506" s="273"/>
      <c r="N506" s="273"/>
      <c r="O506" s="273"/>
      <c r="P506" s="27"/>
      <c r="Q506" s="27"/>
      <c r="R506" s="27"/>
      <c r="S506" s="22"/>
      <c r="T506" s="22"/>
      <c r="U506" s="28"/>
    </row>
    <row r="507">
      <c r="A507" s="189"/>
      <c r="B507" s="22"/>
      <c r="C507" s="22"/>
      <c r="D507" s="22"/>
      <c r="E507" s="22"/>
      <c r="F507" s="22"/>
      <c r="G507" s="22"/>
      <c r="H507" s="22"/>
      <c r="I507" s="266"/>
      <c r="J507" s="272"/>
      <c r="K507" s="272"/>
      <c r="L507" s="272"/>
      <c r="M507" s="273"/>
      <c r="N507" s="273"/>
      <c r="O507" s="273"/>
      <c r="P507" s="27"/>
      <c r="Q507" s="27"/>
      <c r="R507" s="27"/>
      <c r="S507" s="22"/>
      <c r="T507" s="22"/>
      <c r="U507" s="28"/>
    </row>
    <row r="508">
      <c r="A508" s="189"/>
      <c r="B508" s="22"/>
      <c r="C508" s="22"/>
      <c r="D508" s="22"/>
      <c r="E508" s="22"/>
      <c r="F508" s="22"/>
      <c r="G508" s="22"/>
      <c r="H508" s="22"/>
      <c r="I508" s="266"/>
      <c r="J508" s="272"/>
      <c r="K508" s="272"/>
      <c r="L508" s="272"/>
      <c r="M508" s="273"/>
      <c r="N508" s="273"/>
      <c r="O508" s="273"/>
      <c r="P508" s="27"/>
      <c r="Q508" s="27"/>
      <c r="R508" s="27"/>
      <c r="S508" s="22"/>
      <c r="T508" s="22"/>
      <c r="U508" s="28"/>
    </row>
    <row r="509">
      <c r="A509" s="189"/>
      <c r="B509" s="22"/>
      <c r="C509" s="22"/>
      <c r="D509" s="22"/>
      <c r="E509" s="22"/>
      <c r="F509" s="22"/>
      <c r="G509" s="22"/>
      <c r="H509" s="22"/>
      <c r="I509" s="266"/>
      <c r="J509" s="272"/>
      <c r="K509" s="272"/>
      <c r="L509" s="272"/>
      <c r="M509" s="273"/>
      <c r="N509" s="273"/>
      <c r="O509" s="273"/>
      <c r="P509" s="27"/>
      <c r="Q509" s="27"/>
      <c r="R509" s="27"/>
      <c r="S509" s="22"/>
      <c r="T509" s="22"/>
      <c r="U509" s="28"/>
    </row>
    <row r="510">
      <c r="A510" s="189"/>
      <c r="B510" s="22"/>
      <c r="C510" s="22"/>
      <c r="D510" s="22"/>
      <c r="E510" s="22"/>
      <c r="F510" s="22"/>
      <c r="G510" s="22"/>
      <c r="H510" s="22"/>
      <c r="I510" s="266"/>
      <c r="J510" s="272"/>
      <c r="K510" s="272"/>
      <c r="L510" s="272"/>
      <c r="M510" s="273"/>
      <c r="N510" s="273"/>
      <c r="O510" s="273"/>
      <c r="P510" s="27"/>
      <c r="Q510" s="27"/>
      <c r="R510" s="27"/>
      <c r="S510" s="22"/>
      <c r="T510" s="22"/>
      <c r="U510" s="28"/>
    </row>
    <row r="511">
      <c r="A511" s="189"/>
      <c r="B511" s="22"/>
      <c r="C511" s="22"/>
      <c r="D511" s="22"/>
      <c r="E511" s="22"/>
      <c r="F511" s="22"/>
      <c r="G511" s="22"/>
      <c r="H511" s="22"/>
      <c r="I511" s="266"/>
      <c r="J511" s="272"/>
      <c r="K511" s="272"/>
      <c r="L511" s="272"/>
      <c r="M511" s="273"/>
      <c r="N511" s="273"/>
      <c r="O511" s="273"/>
      <c r="P511" s="27"/>
      <c r="Q511" s="27"/>
      <c r="R511" s="27"/>
      <c r="S511" s="22"/>
      <c r="T511" s="22"/>
      <c r="U511" s="28"/>
    </row>
    <row r="512">
      <c r="A512" s="189"/>
      <c r="B512" s="22"/>
      <c r="C512" s="22"/>
      <c r="D512" s="22"/>
      <c r="E512" s="22"/>
      <c r="F512" s="22"/>
      <c r="G512" s="22"/>
      <c r="H512" s="22"/>
      <c r="I512" s="266"/>
      <c r="J512" s="272"/>
      <c r="K512" s="272"/>
      <c r="L512" s="272"/>
      <c r="M512" s="273"/>
      <c r="N512" s="273"/>
      <c r="O512" s="273"/>
      <c r="P512" s="27"/>
      <c r="Q512" s="27"/>
      <c r="R512" s="27"/>
      <c r="S512" s="22"/>
      <c r="T512" s="22"/>
      <c r="U512" s="28"/>
    </row>
    <row r="513">
      <c r="A513" s="189"/>
      <c r="B513" s="22"/>
      <c r="C513" s="22"/>
      <c r="D513" s="22"/>
      <c r="E513" s="22"/>
      <c r="F513" s="22"/>
      <c r="G513" s="22"/>
      <c r="H513" s="22"/>
      <c r="I513" s="266"/>
      <c r="J513" s="272"/>
      <c r="K513" s="272"/>
      <c r="L513" s="272"/>
      <c r="M513" s="273"/>
      <c r="N513" s="273"/>
      <c r="O513" s="273"/>
      <c r="P513" s="27"/>
      <c r="Q513" s="27"/>
      <c r="R513" s="27"/>
      <c r="S513" s="22"/>
      <c r="T513" s="22"/>
      <c r="U513" s="28"/>
    </row>
    <row r="514">
      <c r="A514" s="189"/>
      <c r="B514" s="22"/>
      <c r="C514" s="22"/>
      <c r="D514" s="22"/>
      <c r="E514" s="22"/>
      <c r="F514" s="22"/>
      <c r="G514" s="22"/>
      <c r="H514" s="22"/>
      <c r="I514" s="266"/>
      <c r="J514" s="272"/>
      <c r="K514" s="272"/>
      <c r="L514" s="272"/>
      <c r="M514" s="273"/>
      <c r="N514" s="273"/>
      <c r="O514" s="273"/>
      <c r="P514" s="27"/>
      <c r="Q514" s="27"/>
      <c r="R514" s="27"/>
      <c r="S514" s="22"/>
      <c r="T514" s="22"/>
      <c r="U514" s="28"/>
    </row>
    <row r="515">
      <c r="A515" s="189"/>
      <c r="B515" s="22"/>
      <c r="C515" s="22"/>
      <c r="D515" s="22"/>
      <c r="E515" s="22"/>
      <c r="F515" s="22"/>
      <c r="G515" s="22"/>
      <c r="H515" s="22"/>
      <c r="I515" s="266"/>
      <c r="J515" s="272"/>
      <c r="K515" s="272"/>
      <c r="L515" s="272"/>
      <c r="M515" s="273"/>
      <c r="N515" s="273"/>
      <c r="O515" s="273"/>
      <c r="P515" s="27"/>
      <c r="Q515" s="27"/>
      <c r="R515" s="27"/>
      <c r="S515" s="22"/>
      <c r="T515" s="22"/>
      <c r="U515" s="28"/>
    </row>
    <row r="516">
      <c r="A516" s="189"/>
      <c r="B516" s="22"/>
      <c r="C516" s="22"/>
      <c r="D516" s="22"/>
      <c r="E516" s="22"/>
      <c r="F516" s="22"/>
      <c r="G516" s="22"/>
      <c r="H516" s="22"/>
      <c r="I516" s="266"/>
      <c r="J516" s="272"/>
      <c r="K516" s="272"/>
      <c r="L516" s="272"/>
      <c r="M516" s="273"/>
      <c r="N516" s="273"/>
      <c r="O516" s="273"/>
      <c r="P516" s="27"/>
      <c r="Q516" s="27"/>
      <c r="R516" s="27"/>
      <c r="S516" s="22"/>
      <c r="T516" s="22"/>
      <c r="U516" s="28"/>
    </row>
    <row r="517">
      <c r="A517" s="189"/>
      <c r="B517" s="22"/>
      <c r="C517" s="22"/>
      <c r="D517" s="22"/>
      <c r="E517" s="22"/>
      <c r="F517" s="22"/>
      <c r="G517" s="22"/>
      <c r="H517" s="22"/>
      <c r="I517" s="266"/>
      <c r="J517" s="272"/>
      <c r="K517" s="272"/>
      <c r="L517" s="272"/>
      <c r="M517" s="273"/>
      <c r="N517" s="273"/>
      <c r="O517" s="273"/>
      <c r="P517" s="27"/>
      <c r="Q517" s="27"/>
      <c r="R517" s="27"/>
      <c r="S517" s="22"/>
      <c r="T517" s="22"/>
      <c r="U517" s="28"/>
    </row>
    <row r="518">
      <c r="A518" s="189"/>
      <c r="B518" s="22"/>
      <c r="C518" s="22"/>
      <c r="D518" s="22"/>
      <c r="E518" s="22"/>
      <c r="F518" s="22"/>
      <c r="G518" s="22"/>
      <c r="H518" s="22"/>
      <c r="I518" s="266"/>
      <c r="J518" s="272"/>
      <c r="K518" s="272"/>
      <c r="L518" s="272"/>
      <c r="M518" s="273"/>
      <c r="N518" s="273"/>
      <c r="O518" s="273"/>
      <c r="P518" s="27"/>
      <c r="Q518" s="27"/>
      <c r="R518" s="27"/>
      <c r="S518" s="22"/>
      <c r="T518" s="22"/>
      <c r="U518" s="28"/>
    </row>
    <row r="519">
      <c r="A519" s="189"/>
      <c r="B519" s="22"/>
      <c r="C519" s="22"/>
      <c r="D519" s="22"/>
      <c r="E519" s="22"/>
      <c r="F519" s="22"/>
      <c r="G519" s="22"/>
      <c r="H519" s="22"/>
      <c r="I519" s="266"/>
      <c r="J519" s="272"/>
      <c r="K519" s="272"/>
      <c r="L519" s="272"/>
      <c r="M519" s="273"/>
      <c r="N519" s="273"/>
      <c r="O519" s="273"/>
      <c r="P519" s="27"/>
      <c r="Q519" s="27"/>
      <c r="R519" s="27"/>
      <c r="S519" s="22"/>
      <c r="T519" s="22"/>
      <c r="U519" s="28"/>
    </row>
    <row r="520">
      <c r="A520" s="189"/>
      <c r="B520" s="22"/>
      <c r="C520" s="22"/>
      <c r="D520" s="22"/>
      <c r="E520" s="22"/>
      <c r="F520" s="22"/>
      <c r="G520" s="22"/>
      <c r="H520" s="22"/>
      <c r="I520" s="266"/>
      <c r="J520" s="272"/>
      <c r="K520" s="272"/>
      <c r="L520" s="272"/>
      <c r="M520" s="273"/>
      <c r="N520" s="273"/>
      <c r="O520" s="273"/>
      <c r="P520" s="27"/>
      <c r="Q520" s="27"/>
      <c r="R520" s="27"/>
      <c r="S520" s="22"/>
      <c r="T520" s="22"/>
      <c r="U520" s="28"/>
    </row>
    <row r="521">
      <c r="A521" s="189"/>
      <c r="B521" s="22"/>
      <c r="C521" s="22"/>
      <c r="D521" s="22"/>
      <c r="E521" s="22"/>
      <c r="F521" s="22"/>
      <c r="G521" s="22"/>
      <c r="H521" s="22"/>
      <c r="I521" s="266"/>
      <c r="J521" s="272"/>
      <c r="K521" s="272"/>
      <c r="L521" s="272"/>
      <c r="M521" s="273"/>
      <c r="N521" s="273"/>
      <c r="O521" s="273"/>
      <c r="P521" s="27"/>
      <c r="Q521" s="27"/>
      <c r="R521" s="27"/>
      <c r="S521" s="22"/>
      <c r="T521" s="22"/>
      <c r="U521" s="28"/>
    </row>
    <row r="522">
      <c r="A522" s="189"/>
      <c r="B522" s="22"/>
      <c r="C522" s="22"/>
      <c r="D522" s="22"/>
      <c r="E522" s="22"/>
      <c r="F522" s="22"/>
      <c r="G522" s="22"/>
      <c r="H522" s="22"/>
      <c r="I522" s="266"/>
      <c r="J522" s="272"/>
      <c r="K522" s="272"/>
      <c r="L522" s="272"/>
      <c r="M522" s="273"/>
      <c r="N522" s="273"/>
      <c r="O522" s="273"/>
      <c r="P522" s="27"/>
      <c r="Q522" s="27"/>
      <c r="R522" s="27"/>
      <c r="S522" s="22"/>
      <c r="T522" s="22"/>
      <c r="U522" s="28"/>
    </row>
    <row r="523">
      <c r="A523" s="189"/>
      <c r="B523" s="22"/>
      <c r="C523" s="22"/>
      <c r="D523" s="22"/>
      <c r="E523" s="22"/>
      <c r="F523" s="22"/>
      <c r="G523" s="22"/>
      <c r="H523" s="22"/>
      <c r="I523" s="266"/>
      <c r="J523" s="272"/>
      <c r="K523" s="272"/>
      <c r="L523" s="272"/>
      <c r="M523" s="273"/>
      <c r="N523" s="273"/>
      <c r="O523" s="273"/>
      <c r="P523" s="27"/>
      <c r="Q523" s="27"/>
      <c r="R523" s="27"/>
      <c r="S523" s="22"/>
      <c r="T523" s="22"/>
      <c r="U523" s="28"/>
    </row>
    <row r="524">
      <c r="A524" s="189"/>
      <c r="B524" s="22"/>
      <c r="C524" s="22"/>
      <c r="D524" s="22"/>
      <c r="E524" s="22"/>
      <c r="F524" s="22"/>
      <c r="G524" s="22"/>
      <c r="H524" s="22"/>
      <c r="I524" s="266"/>
      <c r="J524" s="272"/>
      <c r="K524" s="272"/>
      <c r="L524" s="272"/>
      <c r="M524" s="273"/>
      <c r="N524" s="273"/>
      <c r="O524" s="273"/>
      <c r="P524" s="27"/>
      <c r="Q524" s="27"/>
      <c r="R524" s="27"/>
      <c r="S524" s="22"/>
      <c r="T524" s="22"/>
      <c r="U524" s="28"/>
    </row>
    <row r="525">
      <c r="A525" s="189"/>
      <c r="B525" s="22"/>
      <c r="C525" s="22"/>
      <c r="D525" s="22"/>
      <c r="E525" s="22"/>
      <c r="F525" s="22"/>
      <c r="G525" s="22"/>
      <c r="H525" s="22"/>
      <c r="I525" s="266"/>
      <c r="J525" s="272"/>
      <c r="K525" s="272"/>
      <c r="L525" s="272"/>
      <c r="M525" s="273"/>
      <c r="N525" s="273"/>
      <c r="O525" s="273"/>
      <c r="P525" s="27"/>
      <c r="Q525" s="27"/>
      <c r="R525" s="27"/>
      <c r="S525" s="22"/>
      <c r="T525" s="22"/>
      <c r="U525" s="28"/>
    </row>
    <row r="526">
      <c r="A526" s="189"/>
      <c r="B526" s="22"/>
      <c r="C526" s="22"/>
      <c r="D526" s="22"/>
      <c r="E526" s="22"/>
      <c r="F526" s="22"/>
      <c r="G526" s="22"/>
      <c r="H526" s="22"/>
      <c r="I526" s="266"/>
      <c r="J526" s="272"/>
      <c r="K526" s="272"/>
      <c r="L526" s="272"/>
      <c r="M526" s="273"/>
      <c r="N526" s="273"/>
      <c r="O526" s="273"/>
      <c r="P526" s="27"/>
      <c r="Q526" s="27"/>
      <c r="R526" s="27"/>
      <c r="S526" s="22"/>
      <c r="T526" s="22"/>
      <c r="U526" s="28"/>
    </row>
    <row r="527">
      <c r="A527" s="189"/>
      <c r="B527" s="22"/>
      <c r="C527" s="22"/>
      <c r="D527" s="22"/>
      <c r="E527" s="22"/>
      <c r="F527" s="22"/>
      <c r="G527" s="22"/>
      <c r="H527" s="22"/>
      <c r="I527" s="266"/>
      <c r="J527" s="272"/>
      <c r="K527" s="272"/>
      <c r="L527" s="272"/>
      <c r="M527" s="273"/>
      <c r="N527" s="273"/>
      <c r="O527" s="273"/>
      <c r="P527" s="27"/>
      <c r="Q527" s="27"/>
      <c r="R527" s="27"/>
      <c r="S527" s="22"/>
      <c r="T527" s="22"/>
      <c r="U527" s="28"/>
    </row>
    <row r="528">
      <c r="A528" s="189"/>
      <c r="B528" s="22"/>
      <c r="C528" s="22"/>
      <c r="D528" s="22"/>
      <c r="E528" s="22"/>
      <c r="F528" s="22"/>
      <c r="G528" s="22"/>
      <c r="H528" s="22"/>
      <c r="I528" s="266"/>
      <c r="J528" s="272"/>
      <c r="K528" s="272"/>
      <c r="L528" s="272"/>
      <c r="M528" s="273"/>
      <c r="N528" s="273"/>
      <c r="O528" s="273"/>
      <c r="P528" s="27"/>
      <c r="Q528" s="27"/>
      <c r="R528" s="27"/>
      <c r="S528" s="22"/>
      <c r="T528" s="22"/>
      <c r="U528" s="28"/>
    </row>
    <row r="529">
      <c r="A529" s="189"/>
      <c r="B529" s="22"/>
      <c r="C529" s="22"/>
      <c r="D529" s="22"/>
      <c r="E529" s="22"/>
      <c r="F529" s="22"/>
      <c r="G529" s="22"/>
      <c r="H529" s="22"/>
      <c r="I529" s="266"/>
      <c r="J529" s="272"/>
      <c r="K529" s="272"/>
      <c r="L529" s="272"/>
      <c r="M529" s="273"/>
      <c r="N529" s="273"/>
      <c r="O529" s="273"/>
      <c r="P529" s="27"/>
      <c r="Q529" s="27"/>
      <c r="R529" s="27"/>
      <c r="S529" s="22"/>
      <c r="T529" s="22"/>
      <c r="U529" s="28"/>
    </row>
    <row r="530">
      <c r="A530" s="189"/>
      <c r="B530" s="22"/>
      <c r="C530" s="22"/>
      <c r="D530" s="22"/>
      <c r="E530" s="22"/>
      <c r="F530" s="22"/>
      <c r="G530" s="22"/>
      <c r="H530" s="22"/>
      <c r="I530" s="266"/>
      <c r="J530" s="272"/>
      <c r="K530" s="272"/>
      <c r="L530" s="272"/>
      <c r="M530" s="273"/>
      <c r="N530" s="273"/>
      <c r="O530" s="273"/>
      <c r="P530" s="27"/>
      <c r="Q530" s="27"/>
      <c r="R530" s="27"/>
      <c r="S530" s="22"/>
      <c r="T530" s="22"/>
      <c r="U530" s="28"/>
    </row>
    <row r="531">
      <c r="A531" s="189"/>
      <c r="B531" s="22"/>
      <c r="C531" s="22"/>
      <c r="D531" s="22"/>
      <c r="E531" s="22"/>
      <c r="F531" s="22"/>
      <c r="G531" s="22"/>
      <c r="H531" s="22"/>
      <c r="I531" s="266"/>
      <c r="J531" s="272"/>
      <c r="K531" s="272"/>
      <c r="L531" s="272"/>
      <c r="M531" s="273"/>
      <c r="N531" s="273"/>
      <c r="O531" s="273"/>
      <c r="P531" s="27"/>
      <c r="Q531" s="27"/>
      <c r="R531" s="27"/>
      <c r="S531" s="22"/>
      <c r="T531" s="22"/>
      <c r="U531" s="28"/>
    </row>
    <row r="532">
      <c r="A532" s="189"/>
      <c r="B532" s="22"/>
      <c r="C532" s="22"/>
      <c r="D532" s="22"/>
      <c r="E532" s="22"/>
      <c r="F532" s="22"/>
      <c r="G532" s="22"/>
      <c r="H532" s="22"/>
      <c r="I532" s="266"/>
      <c r="J532" s="272"/>
      <c r="K532" s="272"/>
      <c r="L532" s="272"/>
      <c r="M532" s="273"/>
      <c r="N532" s="273"/>
      <c r="O532" s="273"/>
      <c r="P532" s="27"/>
      <c r="Q532" s="27"/>
      <c r="R532" s="27"/>
      <c r="S532" s="22"/>
      <c r="T532" s="22"/>
      <c r="U532" s="28"/>
    </row>
    <row r="533">
      <c r="A533" s="189"/>
      <c r="B533" s="22"/>
      <c r="C533" s="22"/>
      <c r="D533" s="22"/>
      <c r="E533" s="22"/>
      <c r="F533" s="22"/>
      <c r="G533" s="22"/>
      <c r="H533" s="22"/>
      <c r="I533" s="266"/>
      <c r="J533" s="272"/>
      <c r="K533" s="272"/>
      <c r="L533" s="272"/>
      <c r="M533" s="273"/>
      <c r="N533" s="273"/>
      <c r="O533" s="273"/>
      <c r="P533" s="27"/>
      <c r="Q533" s="27"/>
      <c r="R533" s="27"/>
      <c r="S533" s="22"/>
      <c r="T533" s="22"/>
      <c r="U533" s="28"/>
    </row>
    <row r="534">
      <c r="A534" s="189"/>
      <c r="B534" s="22"/>
      <c r="C534" s="22"/>
      <c r="D534" s="22"/>
      <c r="E534" s="22"/>
      <c r="F534" s="22"/>
      <c r="G534" s="22"/>
      <c r="H534" s="22"/>
      <c r="I534" s="266"/>
      <c r="J534" s="272"/>
      <c r="K534" s="272"/>
      <c r="L534" s="272"/>
      <c r="M534" s="273"/>
      <c r="N534" s="273"/>
      <c r="O534" s="273"/>
      <c r="P534" s="27"/>
      <c r="Q534" s="27"/>
      <c r="R534" s="27"/>
      <c r="S534" s="22"/>
      <c r="T534" s="22"/>
      <c r="U534" s="28"/>
    </row>
    <row r="535">
      <c r="A535" s="189"/>
      <c r="B535" s="22"/>
      <c r="C535" s="22"/>
      <c r="D535" s="22"/>
      <c r="E535" s="22"/>
      <c r="F535" s="22"/>
      <c r="G535" s="22"/>
      <c r="H535" s="22"/>
      <c r="I535" s="266"/>
      <c r="J535" s="272"/>
      <c r="K535" s="272"/>
      <c r="L535" s="272"/>
      <c r="M535" s="273"/>
      <c r="N535" s="273"/>
      <c r="O535" s="273"/>
      <c r="P535" s="27"/>
      <c r="Q535" s="27"/>
      <c r="R535" s="27"/>
      <c r="S535" s="22"/>
      <c r="T535" s="22"/>
      <c r="U535" s="28"/>
    </row>
    <row r="536">
      <c r="A536" s="189"/>
      <c r="B536" s="22"/>
      <c r="C536" s="22"/>
      <c r="D536" s="22"/>
      <c r="E536" s="22"/>
      <c r="F536" s="22"/>
      <c r="G536" s="22"/>
      <c r="H536" s="22"/>
      <c r="I536" s="266"/>
      <c r="J536" s="272"/>
      <c r="K536" s="272"/>
      <c r="L536" s="272"/>
      <c r="M536" s="273"/>
      <c r="N536" s="273"/>
      <c r="O536" s="273"/>
      <c r="P536" s="27"/>
      <c r="Q536" s="27"/>
      <c r="R536" s="27"/>
      <c r="S536" s="22"/>
      <c r="T536" s="22"/>
      <c r="U536" s="28"/>
    </row>
    <row r="537">
      <c r="A537" s="189"/>
      <c r="B537" s="22"/>
      <c r="C537" s="22"/>
      <c r="D537" s="22"/>
      <c r="E537" s="22"/>
      <c r="F537" s="22"/>
      <c r="G537" s="22"/>
      <c r="H537" s="22"/>
      <c r="I537" s="266"/>
      <c r="J537" s="272"/>
      <c r="K537" s="272"/>
      <c r="L537" s="272"/>
      <c r="M537" s="273"/>
      <c r="N537" s="273"/>
      <c r="O537" s="273"/>
      <c r="P537" s="27"/>
      <c r="Q537" s="27"/>
      <c r="R537" s="27"/>
      <c r="S537" s="22"/>
      <c r="T537" s="22"/>
      <c r="U537" s="28"/>
    </row>
    <row r="538">
      <c r="A538" s="189"/>
      <c r="B538" s="22"/>
      <c r="C538" s="22"/>
      <c r="D538" s="22"/>
      <c r="E538" s="22"/>
      <c r="F538" s="22"/>
      <c r="G538" s="22"/>
      <c r="H538" s="22"/>
      <c r="I538" s="266"/>
      <c r="J538" s="272"/>
      <c r="K538" s="272"/>
      <c r="L538" s="272"/>
      <c r="M538" s="273"/>
      <c r="N538" s="273"/>
      <c r="O538" s="273"/>
      <c r="P538" s="27"/>
      <c r="Q538" s="27"/>
      <c r="R538" s="27"/>
      <c r="S538" s="22"/>
      <c r="T538" s="22"/>
      <c r="U538" s="28"/>
    </row>
    <row r="539">
      <c r="A539" s="189"/>
      <c r="B539" s="22"/>
      <c r="C539" s="22"/>
      <c r="D539" s="22"/>
      <c r="E539" s="22"/>
      <c r="F539" s="22"/>
      <c r="G539" s="22"/>
      <c r="H539" s="22"/>
      <c r="I539" s="266"/>
      <c r="J539" s="272"/>
      <c r="K539" s="272"/>
      <c r="L539" s="272"/>
      <c r="M539" s="273"/>
      <c r="N539" s="273"/>
      <c r="O539" s="273"/>
      <c r="P539" s="27"/>
      <c r="Q539" s="27"/>
      <c r="R539" s="27"/>
      <c r="S539" s="22"/>
      <c r="T539" s="22"/>
      <c r="U539" s="28"/>
    </row>
    <row r="540">
      <c r="A540" s="189"/>
      <c r="B540" s="22"/>
      <c r="C540" s="22"/>
      <c r="D540" s="22"/>
      <c r="E540" s="22"/>
      <c r="F540" s="22"/>
      <c r="G540" s="22"/>
      <c r="H540" s="22"/>
      <c r="I540" s="266"/>
      <c r="J540" s="272"/>
      <c r="K540" s="272"/>
      <c r="L540" s="272"/>
      <c r="M540" s="273"/>
      <c r="N540" s="273"/>
      <c r="O540" s="273"/>
      <c r="P540" s="27"/>
      <c r="Q540" s="27"/>
      <c r="R540" s="27"/>
      <c r="S540" s="22"/>
      <c r="T540" s="22"/>
      <c r="U540" s="28"/>
    </row>
    <row r="541">
      <c r="A541" s="189"/>
      <c r="B541" s="22"/>
      <c r="C541" s="22"/>
      <c r="D541" s="22"/>
      <c r="E541" s="22"/>
      <c r="F541" s="22"/>
      <c r="G541" s="22"/>
      <c r="H541" s="22"/>
      <c r="I541" s="266"/>
      <c r="J541" s="272"/>
      <c r="K541" s="272"/>
      <c r="L541" s="272"/>
      <c r="M541" s="273"/>
      <c r="N541" s="273"/>
      <c r="O541" s="273"/>
      <c r="P541" s="27"/>
      <c r="Q541" s="27"/>
      <c r="R541" s="27"/>
      <c r="S541" s="22"/>
      <c r="T541" s="22"/>
      <c r="U541" s="28"/>
    </row>
    <row r="542">
      <c r="A542" s="189"/>
      <c r="B542" s="22"/>
      <c r="C542" s="22"/>
      <c r="D542" s="22"/>
      <c r="E542" s="22"/>
      <c r="F542" s="22"/>
      <c r="G542" s="22"/>
      <c r="H542" s="22"/>
      <c r="I542" s="266"/>
      <c r="J542" s="272"/>
      <c r="K542" s="272"/>
      <c r="L542" s="272"/>
      <c r="M542" s="273"/>
      <c r="N542" s="273"/>
      <c r="O542" s="273"/>
      <c r="P542" s="27"/>
      <c r="Q542" s="27"/>
      <c r="R542" s="27"/>
      <c r="S542" s="22"/>
      <c r="T542" s="22"/>
      <c r="U542" s="28"/>
    </row>
    <row r="543">
      <c r="A543" s="189"/>
      <c r="B543" s="22"/>
      <c r="C543" s="22"/>
      <c r="D543" s="22"/>
      <c r="E543" s="22"/>
      <c r="F543" s="22"/>
      <c r="G543" s="22"/>
      <c r="H543" s="22"/>
      <c r="I543" s="266"/>
      <c r="J543" s="272"/>
      <c r="K543" s="272"/>
      <c r="L543" s="272"/>
      <c r="M543" s="273"/>
      <c r="N543" s="273"/>
      <c r="O543" s="273"/>
      <c r="P543" s="27"/>
      <c r="Q543" s="27"/>
      <c r="R543" s="27"/>
      <c r="S543" s="22"/>
      <c r="T543" s="22"/>
      <c r="U543" s="28"/>
    </row>
    <row r="544">
      <c r="A544" s="189"/>
      <c r="B544" s="22"/>
      <c r="C544" s="22"/>
      <c r="D544" s="22"/>
      <c r="E544" s="22"/>
      <c r="F544" s="22"/>
      <c r="G544" s="22"/>
      <c r="H544" s="22"/>
      <c r="I544" s="266"/>
      <c r="J544" s="272"/>
      <c r="K544" s="272"/>
      <c r="L544" s="272"/>
      <c r="M544" s="273"/>
      <c r="N544" s="273"/>
      <c r="O544" s="273"/>
      <c r="P544" s="27"/>
      <c r="Q544" s="27"/>
      <c r="R544" s="27"/>
      <c r="S544" s="22"/>
      <c r="T544" s="22"/>
      <c r="U544" s="28"/>
    </row>
    <row r="545">
      <c r="A545" s="189"/>
      <c r="B545" s="22"/>
      <c r="C545" s="22"/>
      <c r="D545" s="22"/>
      <c r="E545" s="22"/>
      <c r="F545" s="22"/>
      <c r="G545" s="22"/>
      <c r="H545" s="22"/>
      <c r="I545" s="266"/>
      <c r="J545" s="272"/>
      <c r="K545" s="272"/>
      <c r="L545" s="272"/>
      <c r="M545" s="273"/>
      <c r="N545" s="273"/>
      <c r="O545" s="273"/>
      <c r="P545" s="27"/>
      <c r="Q545" s="27"/>
      <c r="R545" s="27"/>
      <c r="S545" s="22"/>
      <c r="T545" s="22"/>
      <c r="U545" s="28"/>
    </row>
    <row r="546">
      <c r="A546" s="189"/>
      <c r="B546" s="22"/>
      <c r="C546" s="22"/>
      <c r="D546" s="22"/>
      <c r="E546" s="22"/>
      <c r="F546" s="22"/>
      <c r="G546" s="22"/>
      <c r="H546" s="22"/>
      <c r="I546" s="266"/>
      <c r="J546" s="272"/>
      <c r="K546" s="272"/>
      <c r="L546" s="272"/>
      <c r="M546" s="273"/>
      <c r="N546" s="273"/>
      <c r="O546" s="273"/>
      <c r="P546" s="27"/>
      <c r="Q546" s="27"/>
      <c r="R546" s="27"/>
      <c r="S546" s="22"/>
      <c r="T546" s="22"/>
      <c r="U546" s="28"/>
    </row>
    <row r="547">
      <c r="A547" s="189"/>
      <c r="B547" s="22"/>
      <c r="C547" s="22"/>
      <c r="D547" s="22"/>
      <c r="E547" s="22"/>
      <c r="F547" s="22"/>
      <c r="G547" s="22"/>
      <c r="H547" s="22"/>
      <c r="I547" s="266"/>
      <c r="J547" s="272"/>
      <c r="K547" s="272"/>
      <c r="L547" s="272"/>
      <c r="M547" s="273"/>
      <c r="N547" s="273"/>
      <c r="O547" s="273"/>
      <c r="P547" s="27"/>
      <c r="Q547" s="27"/>
      <c r="R547" s="27"/>
      <c r="S547" s="22"/>
      <c r="T547" s="22"/>
      <c r="U547" s="28"/>
    </row>
    <row r="548">
      <c r="A548" s="189"/>
      <c r="B548" s="22"/>
      <c r="C548" s="22"/>
      <c r="D548" s="22"/>
      <c r="E548" s="22"/>
      <c r="F548" s="22"/>
      <c r="G548" s="22"/>
      <c r="H548" s="22"/>
      <c r="I548" s="266"/>
      <c r="J548" s="272"/>
      <c r="K548" s="272"/>
      <c r="L548" s="272"/>
      <c r="M548" s="273"/>
      <c r="N548" s="273"/>
      <c r="O548" s="273"/>
      <c r="P548" s="27"/>
      <c r="Q548" s="27"/>
      <c r="R548" s="27"/>
      <c r="S548" s="22"/>
      <c r="T548" s="22"/>
      <c r="U548" s="28"/>
    </row>
    <row r="549">
      <c r="A549" s="189"/>
      <c r="B549" s="22"/>
      <c r="C549" s="22"/>
      <c r="D549" s="22"/>
      <c r="E549" s="22"/>
      <c r="F549" s="22"/>
      <c r="G549" s="22"/>
      <c r="H549" s="22"/>
      <c r="I549" s="266"/>
      <c r="J549" s="272"/>
      <c r="K549" s="272"/>
      <c r="L549" s="272"/>
      <c r="M549" s="273"/>
      <c r="N549" s="273"/>
      <c r="O549" s="273"/>
      <c r="P549" s="27"/>
      <c r="Q549" s="27"/>
      <c r="R549" s="27"/>
      <c r="S549" s="22"/>
      <c r="T549" s="22"/>
      <c r="U549" s="28"/>
    </row>
    <row r="550">
      <c r="A550" s="189"/>
      <c r="B550" s="22"/>
      <c r="C550" s="22"/>
      <c r="D550" s="22"/>
      <c r="E550" s="22"/>
      <c r="F550" s="22"/>
      <c r="G550" s="22"/>
      <c r="H550" s="22"/>
      <c r="I550" s="266"/>
      <c r="J550" s="272"/>
      <c r="K550" s="272"/>
      <c r="L550" s="272"/>
      <c r="M550" s="273"/>
      <c r="N550" s="273"/>
      <c r="O550" s="273"/>
      <c r="P550" s="27"/>
      <c r="Q550" s="27"/>
      <c r="R550" s="27"/>
      <c r="S550" s="22"/>
      <c r="T550" s="22"/>
      <c r="U550" s="28"/>
    </row>
    <row r="551">
      <c r="A551" s="189"/>
      <c r="B551" s="22"/>
      <c r="C551" s="22"/>
      <c r="D551" s="22"/>
      <c r="E551" s="22"/>
      <c r="F551" s="22"/>
      <c r="G551" s="22"/>
      <c r="H551" s="22"/>
      <c r="I551" s="266"/>
      <c r="J551" s="272"/>
      <c r="K551" s="272"/>
      <c r="L551" s="272"/>
      <c r="M551" s="273"/>
      <c r="N551" s="273"/>
      <c r="O551" s="273"/>
      <c r="P551" s="27"/>
      <c r="Q551" s="27"/>
      <c r="R551" s="27"/>
      <c r="S551" s="22"/>
      <c r="T551" s="22"/>
      <c r="U551" s="28"/>
    </row>
    <row r="552">
      <c r="A552" s="189"/>
      <c r="B552" s="22"/>
      <c r="C552" s="22"/>
      <c r="D552" s="22"/>
      <c r="E552" s="22"/>
      <c r="F552" s="22"/>
      <c r="G552" s="22"/>
      <c r="H552" s="22"/>
      <c r="I552" s="266"/>
      <c r="J552" s="272"/>
      <c r="K552" s="272"/>
      <c r="L552" s="272"/>
      <c r="M552" s="273"/>
      <c r="N552" s="273"/>
      <c r="O552" s="273"/>
      <c r="P552" s="27"/>
      <c r="Q552" s="27"/>
      <c r="R552" s="27"/>
      <c r="S552" s="22"/>
      <c r="T552" s="22"/>
      <c r="U552" s="28"/>
    </row>
    <row r="553">
      <c r="A553" s="189"/>
      <c r="B553" s="22"/>
      <c r="C553" s="22"/>
      <c r="D553" s="22"/>
      <c r="E553" s="22"/>
      <c r="F553" s="22"/>
      <c r="G553" s="22"/>
      <c r="H553" s="22"/>
      <c r="I553" s="266"/>
      <c r="J553" s="272"/>
      <c r="K553" s="272"/>
      <c r="L553" s="272"/>
      <c r="M553" s="273"/>
      <c r="N553" s="273"/>
      <c r="O553" s="273"/>
      <c r="P553" s="27"/>
      <c r="Q553" s="27"/>
      <c r="R553" s="27"/>
      <c r="S553" s="22"/>
      <c r="T553" s="22"/>
      <c r="U553" s="28"/>
    </row>
    <row r="554">
      <c r="A554" s="189"/>
      <c r="B554" s="22"/>
      <c r="C554" s="22"/>
      <c r="D554" s="22"/>
      <c r="E554" s="22"/>
      <c r="F554" s="22"/>
      <c r="G554" s="22"/>
      <c r="H554" s="22"/>
      <c r="I554" s="266"/>
      <c r="J554" s="272"/>
      <c r="K554" s="272"/>
      <c r="L554" s="272"/>
      <c r="M554" s="273"/>
      <c r="N554" s="273"/>
      <c r="O554" s="273"/>
      <c r="P554" s="27"/>
      <c r="Q554" s="27"/>
      <c r="R554" s="27"/>
      <c r="S554" s="22"/>
      <c r="T554" s="22"/>
      <c r="U554" s="28"/>
    </row>
    <row r="555">
      <c r="A555" s="189"/>
      <c r="B555" s="22"/>
      <c r="C555" s="22"/>
      <c r="D555" s="22"/>
      <c r="E555" s="22"/>
      <c r="F555" s="22"/>
      <c r="G555" s="22"/>
      <c r="H555" s="22"/>
      <c r="I555" s="266"/>
      <c r="J555" s="272"/>
      <c r="K555" s="272"/>
      <c r="L555" s="272"/>
      <c r="M555" s="273"/>
      <c r="N555" s="273"/>
      <c r="O555" s="273"/>
      <c r="P555" s="27"/>
      <c r="Q555" s="27"/>
      <c r="R555" s="27"/>
      <c r="S555" s="22"/>
      <c r="T555" s="22"/>
      <c r="U555" s="28"/>
    </row>
    <row r="556">
      <c r="A556" s="189"/>
      <c r="B556" s="22"/>
      <c r="C556" s="22"/>
      <c r="D556" s="22"/>
      <c r="E556" s="22"/>
      <c r="F556" s="22"/>
      <c r="G556" s="22"/>
      <c r="H556" s="22"/>
      <c r="I556" s="266"/>
      <c r="J556" s="272"/>
      <c r="K556" s="272"/>
      <c r="L556" s="272"/>
      <c r="M556" s="273"/>
      <c r="N556" s="273"/>
      <c r="O556" s="273"/>
      <c r="P556" s="27"/>
      <c r="Q556" s="27"/>
      <c r="R556" s="27"/>
      <c r="S556" s="22"/>
      <c r="T556" s="22"/>
      <c r="U556" s="28"/>
    </row>
    <row r="557">
      <c r="A557" s="189"/>
      <c r="B557" s="22"/>
      <c r="C557" s="22"/>
      <c r="D557" s="22"/>
      <c r="E557" s="22"/>
      <c r="F557" s="22"/>
      <c r="G557" s="22"/>
      <c r="H557" s="22"/>
      <c r="I557" s="266"/>
      <c r="J557" s="272"/>
      <c r="K557" s="272"/>
      <c r="L557" s="272"/>
      <c r="M557" s="273"/>
      <c r="N557" s="273"/>
      <c r="O557" s="273"/>
      <c r="P557" s="27"/>
      <c r="Q557" s="27"/>
      <c r="R557" s="27"/>
      <c r="S557" s="22"/>
      <c r="T557" s="22"/>
      <c r="U557" s="28"/>
    </row>
    <row r="558">
      <c r="A558" s="189"/>
      <c r="B558" s="22"/>
      <c r="C558" s="22"/>
      <c r="D558" s="22"/>
      <c r="E558" s="22"/>
      <c r="F558" s="22"/>
      <c r="G558" s="22"/>
      <c r="H558" s="22"/>
      <c r="I558" s="266"/>
      <c r="J558" s="272"/>
      <c r="K558" s="272"/>
      <c r="L558" s="272"/>
      <c r="M558" s="273"/>
      <c r="N558" s="273"/>
      <c r="O558" s="273"/>
      <c r="P558" s="27"/>
      <c r="Q558" s="27"/>
      <c r="R558" s="27"/>
      <c r="S558" s="22"/>
      <c r="T558" s="22"/>
      <c r="U558" s="28"/>
    </row>
    <row r="559">
      <c r="A559" s="189"/>
      <c r="B559" s="22"/>
      <c r="C559" s="22"/>
      <c r="D559" s="22"/>
      <c r="E559" s="22"/>
      <c r="F559" s="22"/>
      <c r="G559" s="22"/>
      <c r="H559" s="22"/>
      <c r="I559" s="266"/>
      <c r="J559" s="272"/>
      <c r="K559" s="272"/>
      <c r="L559" s="272"/>
      <c r="M559" s="273"/>
      <c r="N559" s="273"/>
      <c r="O559" s="273"/>
      <c r="P559" s="27"/>
      <c r="Q559" s="27"/>
      <c r="R559" s="27"/>
      <c r="S559" s="22"/>
      <c r="T559" s="22"/>
      <c r="U559" s="28"/>
    </row>
    <row r="560">
      <c r="A560" s="189"/>
      <c r="B560" s="22"/>
      <c r="C560" s="22"/>
      <c r="D560" s="22"/>
      <c r="E560" s="22"/>
      <c r="F560" s="22"/>
      <c r="G560" s="22"/>
      <c r="H560" s="22"/>
      <c r="I560" s="266"/>
      <c r="J560" s="272"/>
      <c r="K560" s="272"/>
      <c r="L560" s="272"/>
      <c r="M560" s="273"/>
      <c r="N560" s="273"/>
      <c r="O560" s="273"/>
      <c r="P560" s="27"/>
      <c r="Q560" s="27"/>
      <c r="R560" s="27"/>
      <c r="S560" s="22"/>
      <c r="T560" s="22"/>
      <c r="U560" s="28"/>
    </row>
    <row r="561">
      <c r="A561" s="189"/>
      <c r="B561" s="22"/>
      <c r="C561" s="22"/>
      <c r="D561" s="22"/>
      <c r="E561" s="22"/>
      <c r="F561" s="22"/>
      <c r="G561" s="22"/>
      <c r="H561" s="22"/>
      <c r="I561" s="266"/>
      <c r="J561" s="272"/>
      <c r="K561" s="272"/>
      <c r="L561" s="272"/>
      <c r="M561" s="273"/>
      <c r="N561" s="273"/>
      <c r="O561" s="273"/>
      <c r="P561" s="27"/>
      <c r="Q561" s="27"/>
      <c r="R561" s="27"/>
      <c r="S561" s="22"/>
      <c r="T561" s="22"/>
      <c r="U561" s="28"/>
    </row>
    <row r="562">
      <c r="A562" s="189"/>
      <c r="B562" s="22"/>
      <c r="C562" s="22"/>
      <c r="D562" s="22"/>
      <c r="E562" s="22"/>
      <c r="F562" s="22"/>
      <c r="G562" s="22"/>
      <c r="H562" s="22"/>
      <c r="I562" s="266"/>
      <c r="J562" s="272"/>
      <c r="K562" s="272"/>
      <c r="L562" s="272"/>
      <c r="M562" s="273"/>
      <c r="N562" s="273"/>
      <c r="O562" s="273"/>
      <c r="P562" s="27"/>
      <c r="Q562" s="27"/>
      <c r="R562" s="27"/>
      <c r="S562" s="22"/>
      <c r="T562" s="22"/>
      <c r="U562" s="28"/>
    </row>
    <row r="563">
      <c r="A563" s="189"/>
      <c r="B563" s="22"/>
      <c r="C563" s="22"/>
      <c r="D563" s="22"/>
      <c r="E563" s="22"/>
      <c r="F563" s="22"/>
      <c r="G563" s="22"/>
      <c r="H563" s="22"/>
      <c r="I563" s="266"/>
      <c r="J563" s="272"/>
      <c r="K563" s="272"/>
      <c r="L563" s="272"/>
      <c r="M563" s="273"/>
      <c r="N563" s="273"/>
      <c r="O563" s="273"/>
      <c r="P563" s="27"/>
      <c r="Q563" s="27"/>
      <c r="R563" s="27"/>
      <c r="S563" s="22"/>
      <c r="T563" s="22"/>
      <c r="U563" s="28"/>
    </row>
    <row r="564">
      <c r="A564" s="189"/>
      <c r="B564" s="22"/>
      <c r="C564" s="22"/>
      <c r="D564" s="22"/>
      <c r="E564" s="22"/>
      <c r="F564" s="22"/>
      <c r="G564" s="22"/>
      <c r="H564" s="22"/>
      <c r="I564" s="266"/>
      <c r="J564" s="272"/>
      <c r="K564" s="272"/>
      <c r="L564" s="272"/>
      <c r="M564" s="273"/>
      <c r="N564" s="273"/>
      <c r="O564" s="273"/>
      <c r="P564" s="27"/>
      <c r="Q564" s="27"/>
      <c r="R564" s="27"/>
      <c r="S564" s="22"/>
      <c r="T564" s="22"/>
      <c r="U564" s="28"/>
    </row>
    <row r="565">
      <c r="A565" s="189"/>
      <c r="B565" s="22"/>
      <c r="C565" s="22"/>
      <c r="D565" s="22"/>
      <c r="E565" s="22"/>
      <c r="F565" s="22"/>
      <c r="G565" s="22"/>
      <c r="H565" s="22"/>
      <c r="I565" s="266"/>
      <c r="J565" s="272"/>
      <c r="K565" s="272"/>
      <c r="L565" s="272"/>
      <c r="M565" s="273"/>
      <c r="N565" s="273"/>
      <c r="O565" s="273"/>
      <c r="P565" s="27"/>
      <c r="Q565" s="27"/>
      <c r="R565" s="27"/>
      <c r="S565" s="22"/>
      <c r="T565" s="22"/>
      <c r="U565" s="28"/>
    </row>
    <row r="566">
      <c r="A566" s="189"/>
      <c r="B566" s="22"/>
      <c r="C566" s="22"/>
      <c r="D566" s="22"/>
      <c r="E566" s="22"/>
      <c r="F566" s="22"/>
      <c r="G566" s="22"/>
      <c r="H566" s="22"/>
      <c r="I566" s="266"/>
      <c r="J566" s="272"/>
      <c r="K566" s="272"/>
      <c r="L566" s="272"/>
      <c r="M566" s="273"/>
      <c r="N566" s="273"/>
      <c r="O566" s="273"/>
      <c r="P566" s="27"/>
      <c r="Q566" s="27"/>
      <c r="R566" s="27"/>
      <c r="S566" s="22"/>
      <c r="T566" s="22"/>
      <c r="U566" s="28"/>
    </row>
    <row r="567">
      <c r="A567" s="189"/>
      <c r="B567" s="22"/>
      <c r="C567" s="22"/>
      <c r="D567" s="22"/>
      <c r="E567" s="22"/>
      <c r="F567" s="22"/>
      <c r="G567" s="22"/>
      <c r="H567" s="22"/>
      <c r="I567" s="266"/>
      <c r="J567" s="272"/>
      <c r="K567" s="272"/>
      <c r="L567" s="272"/>
      <c r="M567" s="273"/>
      <c r="N567" s="273"/>
      <c r="O567" s="273"/>
      <c r="P567" s="27"/>
      <c r="Q567" s="27"/>
      <c r="R567" s="27"/>
      <c r="S567" s="22"/>
      <c r="T567" s="22"/>
      <c r="U567" s="28"/>
    </row>
    <row r="568">
      <c r="A568" s="189"/>
      <c r="B568" s="22"/>
      <c r="C568" s="22"/>
      <c r="D568" s="22"/>
      <c r="E568" s="22"/>
      <c r="F568" s="22"/>
      <c r="G568" s="22"/>
      <c r="H568" s="22"/>
      <c r="I568" s="266"/>
      <c r="J568" s="272"/>
      <c r="K568" s="272"/>
      <c r="L568" s="272"/>
      <c r="M568" s="273"/>
      <c r="N568" s="273"/>
      <c r="O568" s="273"/>
      <c r="P568" s="27"/>
      <c r="Q568" s="27"/>
      <c r="R568" s="27"/>
      <c r="S568" s="22"/>
      <c r="T568" s="22"/>
      <c r="U568" s="28"/>
    </row>
    <row r="569">
      <c r="A569" s="189"/>
      <c r="B569" s="22"/>
      <c r="C569" s="22"/>
      <c r="D569" s="22"/>
      <c r="E569" s="22"/>
      <c r="F569" s="22"/>
      <c r="G569" s="22"/>
      <c r="H569" s="22"/>
      <c r="I569" s="266"/>
      <c r="J569" s="272"/>
      <c r="K569" s="272"/>
      <c r="L569" s="272"/>
      <c r="M569" s="273"/>
      <c r="N569" s="273"/>
      <c r="O569" s="273"/>
      <c r="P569" s="27"/>
      <c r="Q569" s="27"/>
      <c r="R569" s="27"/>
      <c r="S569" s="22"/>
      <c r="T569" s="22"/>
      <c r="U569" s="28"/>
    </row>
    <row r="570">
      <c r="A570" s="189"/>
      <c r="B570" s="22"/>
      <c r="C570" s="22"/>
      <c r="D570" s="22"/>
      <c r="E570" s="22"/>
      <c r="F570" s="22"/>
      <c r="G570" s="22"/>
      <c r="H570" s="22"/>
      <c r="I570" s="266"/>
      <c r="J570" s="272"/>
      <c r="K570" s="272"/>
      <c r="L570" s="272"/>
      <c r="M570" s="273"/>
      <c r="N570" s="273"/>
      <c r="O570" s="273"/>
      <c r="P570" s="27"/>
      <c r="Q570" s="27"/>
      <c r="R570" s="27"/>
      <c r="S570" s="22"/>
      <c r="T570" s="22"/>
      <c r="U570" s="28"/>
    </row>
    <row r="571">
      <c r="A571" s="189"/>
      <c r="B571" s="22"/>
      <c r="C571" s="22"/>
      <c r="D571" s="22"/>
      <c r="E571" s="22"/>
      <c r="F571" s="22"/>
      <c r="G571" s="22"/>
      <c r="H571" s="22"/>
      <c r="I571" s="266"/>
      <c r="J571" s="272"/>
      <c r="K571" s="272"/>
      <c r="L571" s="272"/>
      <c r="M571" s="273"/>
      <c r="N571" s="273"/>
      <c r="O571" s="273"/>
      <c r="P571" s="27"/>
      <c r="Q571" s="27"/>
      <c r="R571" s="27"/>
      <c r="S571" s="22"/>
      <c r="T571" s="22"/>
      <c r="U571" s="28"/>
    </row>
    <row r="572">
      <c r="A572" s="189"/>
      <c r="B572" s="22"/>
      <c r="C572" s="22"/>
      <c r="D572" s="22"/>
      <c r="E572" s="22"/>
      <c r="F572" s="22"/>
      <c r="G572" s="22"/>
      <c r="H572" s="22"/>
      <c r="I572" s="266"/>
      <c r="J572" s="272"/>
      <c r="K572" s="272"/>
      <c r="L572" s="272"/>
      <c r="M572" s="273"/>
      <c r="N572" s="273"/>
      <c r="O572" s="273"/>
      <c r="P572" s="27"/>
      <c r="Q572" s="27"/>
      <c r="R572" s="27"/>
      <c r="S572" s="22"/>
      <c r="T572" s="22"/>
      <c r="U572" s="28"/>
    </row>
    <row r="573">
      <c r="A573" s="189"/>
      <c r="B573" s="22"/>
      <c r="C573" s="22"/>
      <c r="D573" s="22"/>
      <c r="E573" s="22"/>
      <c r="F573" s="22"/>
      <c r="G573" s="22"/>
      <c r="H573" s="22"/>
      <c r="I573" s="266"/>
      <c r="J573" s="272"/>
      <c r="K573" s="272"/>
      <c r="L573" s="272"/>
      <c r="M573" s="273"/>
      <c r="N573" s="273"/>
      <c r="O573" s="273"/>
      <c r="P573" s="27"/>
      <c r="Q573" s="27"/>
      <c r="R573" s="27"/>
      <c r="S573" s="22"/>
      <c r="T573" s="22"/>
      <c r="U573" s="28"/>
    </row>
    <row r="574">
      <c r="A574" s="189"/>
      <c r="B574" s="22"/>
      <c r="C574" s="22"/>
      <c r="D574" s="22"/>
      <c r="E574" s="22"/>
      <c r="F574" s="22"/>
      <c r="G574" s="22"/>
      <c r="H574" s="22"/>
      <c r="I574" s="266"/>
      <c r="J574" s="272"/>
      <c r="K574" s="272"/>
      <c r="L574" s="272"/>
      <c r="M574" s="273"/>
      <c r="N574" s="273"/>
      <c r="O574" s="273"/>
      <c r="P574" s="27"/>
      <c r="Q574" s="27"/>
      <c r="R574" s="27"/>
      <c r="S574" s="22"/>
      <c r="T574" s="22"/>
      <c r="U574" s="28"/>
    </row>
    <row r="575">
      <c r="A575" s="189"/>
      <c r="B575" s="22"/>
      <c r="C575" s="22"/>
      <c r="D575" s="22"/>
      <c r="E575" s="22"/>
      <c r="F575" s="22"/>
      <c r="G575" s="22"/>
      <c r="H575" s="22"/>
      <c r="I575" s="266"/>
      <c r="J575" s="272"/>
      <c r="K575" s="272"/>
      <c r="L575" s="272"/>
      <c r="M575" s="273"/>
      <c r="N575" s="273"/>
      <c r="O575" s="273"/>
      <c r="P575" s="27"/>
      <c r="Q575" s="27"/>
      <c r="R575" s="27"/>
      <c r="S575" s="22"/>
      <c r="T575" s="22"/>
      <c r="U575" s="28"/>
    </row>
    <row r="576">
      <c r="A576" s="189"/>
      <c r="B576" s="22"/>
      <c r="C576" s="22"/>
      <c r="D576" s="22"/>
      <c r="E576" s="22"/>
      <c r="F576" s="22"/>
      <c r="G576" s="22"/>
      <c r="H576" s="22"/>
      <c r="I576" s="266"/>
      <c r="J576" s="272"/>
      <c r="K576" s="272"/>
      <c r="L576" s="272"/>
      <c r="M576" s="273"/>
      <c r="N576" s="273"/>
      <c r="O576" s="273"/>
      <c r="P576" s="27"/>
      <c r="Q576" s="27"/>
      <c r="R576" s="27"/>
      <c r="S576" s="22"/>
      <c r="T576" s="22"/>
      <c r="U576" s="28"/>
    </row>
    <row r="577">
      <c r="A577" s="189"/>
      <c r="B577" s="22"/>
      <c r="C577" s="22"/>
      <c r="D577" s="22"/>
      <c r="E577" s="22"/>
      <c r="F577" s="22"/>
      <c r="G577" s="22"/>
      <c r="H577" s="22"/>
      <c r="I577" s="266"/>
      <c r="J577" s="272"/>
      <c r="K577" s="272"/>
      <c r="L577" s="272"/>
      <c r="M577" s="273"/>
      <c r="N577" s="273"/>
      <c r="O577" s="273"/>
      <c r="P577" s="27"/>
      <c r="Q577" s="27"/>
      <c r="R577" s="27"/>
      <c r="S577" s="22"/>
      <c r="T577" s="22"/>
      <c r="U577" s="28"/>
    </row>
    <row r="578">
      <c r="A578" s="189"/>
      <c r="B578" s="22"/>
      <c r="C578" s="22"/>
      <c r="D578" s="22"/>
      <c r="E578" s="22"/>
      <c r="F578" s="22"/>
      <c r="G578" s="22"/>
      <c r="H578" s="22"/>
      <c r="I578" s="266"/>
      <c r="J578" s="272"/>
      <c r="K578" s="272"/>
      <c r="L578" s="272"/>
      <c r="M578" s="273"/>
      <c r="N578" s="273"/>
      <c r="O578" s="273"/>
      <c r="P578" s="27"/>
      <c r="Q578" s="27"/>
      <c r="R578" s="27"/>
      <c r="S578" s="22"/>
      <c r="T578" s="22"/>
      <c r="U578" s="28"/>
    </row>
    <row r="579">
      <c r="A579" s="189"/>
      <c r="B579" s="22"/>
      <c r="C579" s="22"/>
      <c r="D579" s="22"/>
      <c r="E579" s="22"/>
      <c r="F579" s="22"/>
      <c r="G579" s="22"/>
      <c r="H579" s="22"/>
      <c r="I579" s="266"/>
      <c r="J579" s="272"/>
      <c r="K579" s="272"/>
      <c r="L579" s="272"/>
      <c r="M579" s="273"/>
      <c r="N579" s="273"/>
      <c r="O579" s="273"/>
      <c r="P579" s="27"/>
      <c r="Q579" s="27"/>
      <c r="R579" s="27"/>
      <c r="S579" s="22"/>
      <c r="T579" s="22"/>
      <c r="U579" s="28"/>
    </row>
    <row r="580">
      <c r="A580" s="189"/>
      <c r="B580" s="22"/>
      <c r="C580" s="22"/>
      <c r="D580" s="22"/>
      <c r="E580" s="22"/>
      <c r="F580" s="22"/>
      <c r="G580" s="22"/>
      <c r="H580" s="22"/>
      <c r="I580" s="266"/>
      <c r="J580" s="272"/>
      <c r="K580" s="272"/>
      <c r="L580" s="272"/>
      <c r="M580" s="273"/>
      <c r="N580" s="273"/>
      <c r="O580" s="273"/>
      <c r="P580" s="27"/>
      <c r="Q580" s="27"/>
      <c r="R580" s="27"/>
      <c r="S580" s="22"/>
      <c r="T580" s="22"/>
      <c r="U580" s="28"/>
    </row>
    <row r="581">
      <c r="A581" s="189"/>
      <c r="B581" s="22"/>
      <c r="C581" s="22"/>
      <c r="D581" s="22"/>
      <c r="E581" s="22"/>
      <c r="F581" s="22"/>
      <c r="G581" s="22"/>
      <c r="H581" s="22"/>
      <c r="I581" s="266"/>
      <c r="J581" s="272"/>
      <c r="K581" s="272"/>
      <c r="L581" s="272"/>
      <c r="M581" s="273"/>
      <c r="N581" s="273"/>
      <c r="O581" s="273"/>
      <c r="P581" s="27"/>
      <c r="Q581" s="27"/>
      <c r="R581" s="27"/>
      <c r="S581" s="22"/>
      <c r="T581" s="22"/>
      <c r="U581" s="28"/>
    </row>
    <row r="582">
      <c r="A582" s="189"/>
      <c r="B582" s="22"/>
      <c r="C582" s="22"/>
      <c r="D582" s="22"/>
      <c r="E582" s="22"/>
      <c r="F582" s="22"/>
      <c r="G582" s="22"/>
      <c r="H582" s="22"/>
      <c r="I582" s="266"/>
      <c r="J582" s="272"/>
      <c r="K582" s="272"/>
      <c r="L582" s="272"/>
      <c r="M582" s="273"/>
      <c r="N582" s="273"/>
      <c r="O582" s="273"/>
      <c r="P582" s="27"/>
      <c r="Q582" s="27"/>
      <c r="R582" s="27"/>
      <c r="S582" s="22"/>
      <c r="T582" s="22"/>
      <c r="U582" s="28"/>
    </row>
    <row r="583">
      <c r="A583" s="189"/>
      <c r="B583" s="22"/>
      <c r="C583" s="22"/>
      <c r="D583" s="22"/>
      <c r="E583" s="22"/>
      <c r="F583" s="22"/>
      <c r="G583" s="22"/>
      <c r="H583" s="22"/>
      <c r="I583" s="266"/>
      <c r="J583" s="272"/>
      <c r="K583" s="272"/>
      <c r="L583" s="272"/>
      <c r="M583" s="273"/>
      <c r="N583" s="273"/>
      <c r="O583" s="273"/>
      <c r="P583" s="27"/>
      <c r="Q583" s="27"/>
      <c r="R583" s="27"/>
      <c r="S583" s="22"/>
      <c r="T583" s="22"/>
      <c r="U583" s="28"/>
    </row>
    <row r="584">
      <c r="A584" s="189"/>
      <c r="B584" s="22"/>
      <c r="C584" s="22"/>
      <c r="D584" s="22"/>
      <c r="E584" s="22"/>
      <c r="F584" s="22"/>
      <c r="G584" s="22"/>
      <c r="H584" s="22"/>
      <c r="I584" s="266"/>
      <c r="J584" s="272"/>
      <c r="K584" s="272"/>
      <c r="L584" s="272"/>
      <c r="M584" s="273"/>
      <c r="N584" s="273"/>
      <c r="O584" s="273"/>
      <c r="P584" s="27"/>
      <c r="Q584" s="27"/>
      <c r="R584" s="27"/>
      <c r="S584" s="22"/>
      <c r="T584" s="22"/>
      <c r="U584" s="28"/>
    </row>
    <row r="585">
      <c r="A585" s="189"/>
      <c r="B585" s="22"/>
      <c r="C585" s="22"/>
      <c r="D585" s="22"/>
      <c r="E585" s="22"/>
      <c r="F585" s="22"/>
      <c r="G585" s="22"/>
      <c r="H585" s="22"/>
      <c r="I585" s="266"/>
      <c r="J585" s="272"/>
      <c r="K585" s="272"/>
      <c r="L585" s="272"/>
      <c r="M585" s="273"/>
      <c r="N585" s="273"/>
      <c r="O585" s="273"/>
      <c r="P585" s="27"/>
      <c r="Q585" s="27"/>
      <c r="R585" s="27"/>
      <c r="S585" s="22"/>
      <c r="T585" s="22"/>
      <c r="U585" s="28"/>
    </row>
    <row r="586">
      <c r="A586" s="189"/>
      <c r="B586" s="22"/>
      <c r="C586" s="22"/>
      <c r="D586" s="22"/>
      <c r="E586" s="22"/>
      <c r="F586" s="22"/>
      <c r="G586" s="22"/>
      <c r="H586" s="22"/>
      <c r="I586" s="266"/>
      <c r="J586" s="272"/>
      <c r="K586" s="272"/>
      <c r="L586" s="272"/>
      <c r="M586" s="273"/>
      <c r="N586" s="273"/>
      <c r="O586" s="273"/>
      <c r="P586" s="27"/>
      <c r="Q586" s="27"/>
      <c r="R586" s="27"/>
      <c r="S586" s="22"/>
      <c r="T586" s="22"/>
      <c r="U586" s="28"/>
    </row>
    <row r="587">
      <c r="A587" s="189"/>
      <c r="B587" s="22"/>
      <c r="C587" s="22"/>
      <c r="D587" s="22"/>
      <c r="E587" s="22"/>
      <c r="F587" s="22"/>
      <c r="G587" s="22"/>
      <c r="H587" s="22"/>
      <c r="I587" s="266"/>
      <c r="J587" s="272"/>
      <c r="K587" s="272"/>
      <c r="L587" s="272"/>
      <c r="M587" s="273"/>
      <c r="N587" s="273"/>
      <c r="O587" s="273"/>
      <c r="P587" s="27"/>
      <c r="Q587" s="27"/>
      <c r="R587" s="27"/>
      <c r="S587" s="22"/>
      <c r="T587" s="22"/>
      <c r="U587" s="28"/>
    </row>
    <row r="588">
      <c r="A588" s="189"/>
      <c r="B588" s="22"/>
      <c r="C588" s="22"/>
      <c r="D588" s="22"/>
      <c r="E588" s="22"/>
      <c r="F588" s="22"/>
      <c r="G588" s="22"/>
      <c r="H588" s="22"/>
      <c r="I588" s="266"/>
      <c r="J588" s="272"/>
      <c r="K588" s="272"/>
      <c r="L588" s="272"/>
      <c r="M588" s="273"/>
      <c r="N588" s="273"/>
      <c r="O588" s="273"/>
      <c r="P588" s="27"/>
      <c r="Q588" s="27"/>
      <c r="R588" s="27"/>
      <c r="S588" s="22"/>
      <c r="T588" s="22"/>
      <c r="U588" s="28"/>
    </row>
    <row r="589">
      <c r="A589" s="189"/>
      <c r="B589" s="22"/>
      <c r="C589" s="22"/>
      <c r="D589" s="22"/>
      <c r="E589" s="22"/>
      <c r="F589" s="22"/>
      <c r="G589" s="22"/>
      <c r="H589" s="22"/>
      <c r="I589" s="266"/>
      <c r="J589" s="272"/>
      <c r="K589" s="272"/>
      <c r="L589" s="272"/>
      <c r="M589" s="273"/>
      <c r="N589" s="273"/>
      <c r="O589" s="273"/>
      <c r="P589" s="27"/>
      <c r="Q589" s="27"/>
      <c r="R589" s="27"/>
      <c r="S589" s="22"/>
      <c r="T589" s="22"/>
      <c r="U589" s="28"/>
    </row>
    <row r="590">
      <c r="A590" s="189"/>
      <c r="B590" s="22"/>
      <c r="C590" s="22"/>
      <c r="D590" s="22"/>
      <c r="E590" s="22"/>
      <c r="F590" s="22"/>
      <c r="G590" s="22"/>
      <c r="H590" s="22"/>
      <c r="I590" s="266"/>
      <c r="J590" s="272"/>
      <c r="K590" s="272"/>
      <c r="L590" s="272"/>
      <c r="M590" s="273"/>
      <c r="N590" s="273"/>
      <c r="O590" s="273"/>
      <c r="P590" s="27"/>
      <c r="Q590" s="27"/>
      <c r="R590" s="27"/>
      <c r="S590" s="22"/>
      <c r="T590" s="22"/>
      <c r="U590" s="28"/>
    </row>
    <row r="591">
      <c r="A591" s="189"/>
      <c r="B591" s="22"/>
      <c r="C591" s="22"/>
      <c r="D591" s="22"/>
      <c r="E591" s="22"/>
      <c r="F591" s="22"/>
      <c r="G591" s="22"/>
      <c r="H591" s="22"/>
      <c r="I591" s="266"/>
      <c r="J591" s="272"/>
      <c r="K591" s="272"/>
      <c r="L591" s="272"/>
      <c r="M591" s="273"/>
      <c r="N591" s="273"/>
      <c r="O591" s="273"/>
      <c r="P591" s="27"/>
      <c r="Q591" s="27"/>
      <c r="R591" s="27"/>
      <c r="S591" s="22"/>
      <c r="T591" s="22"/>
      <c r="U591" s="28"/>
    </row>
    <row r="592">
      <c r="A592" s="189"/>
      <c r="B592" s="22"/>
      <c r="C592" s="22"/>
      <c r="D592" s="22"/>
      <c r="E592" s="22"/>
      <c r="F592" s="22"/>
      <c r="G592" s="22"/>
      <c r="H592" s="22"/>
      <c r="I592" s="266"/>
      <c r="J592" s="272"/>
      <c r="K592" s="272"/>
      <c r="L592" s="272"/>
      <c r="M592" s="273"/>
      <c r="N592" s="273"/>
      <c r="O592" s="273"/>
      <c r="P592" s="27"/>
      <c r="Q592" s="27"/>
      <c r="R592" s="27"/>
      <c r="S592" s="22"/>
      <c r="T592" s="22"/>
      <c r="U592" s="28"/>
    </row>
    <row r="593">
      <c r="A593" s="189"/>
      <c r="B593" s="22"/>
      <c r="C593" s="22"/>
      <c r="D593" s="22"/>
      <c r="E593" s="22"/>
      <c r="F593" s="22"/>
      <c r="G593" s="22"/>
      <c r="H593" s="22"/>
      <c r="I593" s="266"/>
      <c r="J593" s="272"/>
      <c r="K593" s="272"/>
      <c r="L593" s="272"/>
      <c r="M593" s="273"/>
      <c r="N593" s="273"/>
      <c r="O593" s="273"/>
      <c r="P593" s="27"/>
      <c r="Q593" s="27"/>
      <c r="R593" s="27"/>
      <c r="S593" s="22"/>
      <c r="T593" s="22"/>
      <c r="U593" s="28"/>
    </row>
    <row r="594">
      <c r="A594" s="189"/>
      <c r="B594" s="22"/>
      <c r="C594" s="22"/>
      <c r="D594" s="22"/>
      <c r="E594" s="22"/>
      <c r="F594" s="22"/>
      <c r="G594" s="22"/>
      <c r="H594" s="22"/>
      <c r="I594" s="266"/>
      <c r="J594" s="272"/>
      <c r="K594" s="272"/>
      <c r="L594" s="272"/>
      <c r="M594" s="273"/>
      <c r="N594" s="273"/>
      <c r="O594" s="273"/>
      <c r="P594" s="27"/>
      <c r="Q594" s="27"/>
      <c r="R594" s="27"/>
      <c r="S594" s="22"/>
      <c r="T594" s="22"/>
      <c r="U594" s="28"/>
    </row>
    <row r="595">
      <c r="A595" s="189"/>
      <c r="B595" s="22"/>
      <c r="C595" s="22"/>
      <c r="D595" s="22"/>
      <c r="E595" s="22"/>
      <c r="F595" s="22"/>
      <c r="G595" s="22"/>
      <c r="H595" s="22"/>
      <c r="I595" s="266"/>
      <c r="J595" s="272"/>
      <c r="K595" s="272"/>
      <c r="L595" s="272"/>
      <c r="M595" s="273"/>
      <c r="N595" s="273"/>
      <c r="O595" s="273"/>
      <c r="P595" s="27"/>
      <c r="Q595" s="27"/>
      <c r="R595" s="27"/>
      <c r="S595" s="22"/>
      <c r="T595" s="22"/>
      <c r="U595" s="28"/>
    </row>
    <row r="596">
      <c r="A596" s="189"/>
      <c r="B596" s="22"/>
      <c r="C596" s="22"/>
      <c r="D596" s="22"/>
      <c r="E596" s="22"/>
      <c r="F596" s="22"/>
      <c r="G596" s="22"/>
      <c r="H596" s="22"/>
      <c r="I596" s="266"/>
      <c r="J596" s="272"/>
      <c r="K596" s="272"/>
      <c r="L596" s="272"/>
      <c r="M596" s="273"/>
      <c r="N596" s="273"/>
      <c r="O596" s="273"/>
      <c r="P596" s="27"/>
      <c r="Q596" s="27"/>
      <c r="R596" s="27"/>
      <c r="S596" s="22"/>
      <c r="T596" s="22"/>
      <c r="U596" s="28"/>
    </row>
    <row r="597">
      <c r="A597" s="189"/>
      <c r="B597" s="22"/>
      <c r="C597" s="22"/>
      <c r="D597" s="22"/>
      <c r="E597" s="22"/>
      <c r="F597" s="22"/>
      <c r="G597" s="22"/>
      <c r="H597" s="22"/>
      <c r="I597" s="266"/>
      <c r="J597" s="272"/>
      <c r="K597" s="272"/>
      <c r="L597" s="272"/>
      <c r="M597" s="273"/>
      <c r="N597" s="273"/>
      <c r="O597" s="273"/>
      <c r="P597" s="27"/>
      <c r="Q597" s="27"/>
      <c r="R597" s="27"/>
      <c r="S597" s="22"/>
      <c r="T597" s="22"/>
      <c r="U597" s="28"/>
    </row>
    <row r="598">
      <c r="A598" s="189"/>
      <c r="B598" s="22"/>
      <c r="C598" s="22"/>
      <c r="D598" s="22"/>
      <c r="E598" s="22"/>
      <c r="F598" s="22"/>
      <c r="G598" s="22"/>
      <c r="H598" s="22"/>
      <c r="I598" s="266"/>
      <c r="J598" s="272"/>
      <c r="K598" s="272"/>
      <c r="L598" s="272"/>
      <c r="M598" s="273"/>
      <c r="N598" s="273"/>
      <c r="O598" s="273"/>
      <c r="P598" s="27"/>
      <c r="Q598" s="27"/>
      <c r="R598" s="27"/>
      <c r="S598" s="22"/>
      <c r="T598" s="22"/>
      <c r="U598" s="28"/>
    </row>
    <row r="599">
      <c r="A599" s="189"/>
      <c r="B599" s="22"/>
      <c r="C599" s="22"/>
      <c r="D599" s="22"/>
      <c r="E599" s="22"/>
      <c r="F599" s="22"/>
      <c r="G599" s="22"/>
      <c r="H599" s="22"/>
      <c r="I599" s="266"/>
      <c r="J599" s="272"/>
      <c r="K599" s="272"/>
      <c r="L599" s="272"/>
      <c r="M599" s="273"/>
      <c r="N599" s="273"/>
      <c r="O599" s="273"/>
      <c r="P599" s="27"/>
      <c r="Q599" s="27"/>
      <c r="R599" s="27"/>
      <c r="S599" s="22"/>
      <c r="T599" s="22"/>
      <c r="U599" s="28"/>
    </row>
    <row r="600">
      <c r="A600" s="189"/>
      <c r="B600" s="22"/>
      <c r="C600" s="22"/>
      <c r="D600" s="22"/>
      <c r="E600" s="22"/>
      <c r="F600" s="22"/>
      <c r="G600" s="22"/>
      <c r="H600" s="22"/>
      <c r="I600" s="266"/>
      <c r="J600" s="272"/>
      <c r="K600" s="272"/>
      <c r="L600" s="272"/>
      <c r="M600" s="273"/>
      <c r="N600" s="273"/>
      <c r="O600" s="273"/>
      <c r="P600" s="27"/>
      <c r="Q600" s="27"/>
      <c r="R600" s="27"/>
      <c r="S600" s="22"/>
      <c r="T600" s="22"/>
      <c r="U600" s="28"/>
    </row>
    <row r="601">
      <c r="A601" s="189"/>
      <c r="B601" s="22"/>
      <c r="C601" s="22"/>
      <c r="D601" s="22"/>
      <c r="E601" s="22"/>
      <c r="F601" s="22"/>
      <c r="G601" s="22"/>
      <c r="H601" s="22"/>
      <c r="I601" s="266"/>
      <c r="J601" s="272"/>
      <c r="K601" s="272"/>
      <c r="L601" s="272"/>
      <c r="M601" s="273"/>
      <c r="N601" s="273"/>
      <c r="O601" s="273"/>
      <c r="P601" s="27"/>
      <c r="Q601" s="27"/>
      <c r="R601" s="27"/>
      <c r="S601" s="22"/>
      <c r="T601" s="22"/>
      <c r="U601" s="28"/>
    </row>
    <row r="602">
      <c r="A602" s="189"/>
      <c r="B602" s="22"/>
      <c r="C602" s="22"/>
      <c r="D602" s="22"/>
      <c r="E602" s="22"/>
      <c r="F602" s="22"/>
      <c r="G602" s="22"/>
      <c r="H602" s="22"/>
      <c r="I602" s="266"/>
      <c r="J602" s="272"/>
      <c r="K602" s="272"/>
      <c r="L602" s="272"/>
      <c r="M602" s="273"/>
      <c r="N602" s="273"/>
      <c r="O602" s="273"/>
      <c r="P602" s="27"/>
      <c r="Q602" s="27"/>
      <c r="R602" s="27"/>
      <c r="S602" s="22"/>
      <c r="T602" s="22"/>
      <c r="U602" s="28"/>
    </row>
    <row r="603">
      <c r="A603" s="189"/>
      <c r="B603" s="22"/>
      <c r="C603" s="22"/>
      <c r="D603" s="22"/>
      <c r="E603" s="22"/>
      <c r="F603" s="22"/>
      <c r="G603" s="22"/>
      <c r="H603" s="22"/>
      <c r="I603" s="266"/>
      <c r="J603" s="272"/>
      <c r="K603" s="272"/>
      <c r="L603" s="272"/>
      <c r="M603" s="273"/>
      <c r="N603" s="273"/>
      <c r="O603" s="273"/>
      <c r="P603" s="27"/>
      <c r="Q603" s="27"/>
      <c r="R603" s="27"/>
      <c r="S603" s="22"/>
      <c r="T603" s="22"/>
      <c r="U603" s="28"/>
    </row>
    <row r="604">
      <c r="A604" s="189"/>
      <c r="B604" s="22"/>
      <c r="C604" s="22"/>
      <c r="D604" s="22"/>
      <c r="E604" s="22"/>
      <c r="F604" s="22"/>
      <c r="G604" s="22"/>
      <c r="H604" s="22"/>
      <c r="I604" s="266"/>
      <c r="J604" s="272"/>
      <c r="K604" s="272"/>
      <c r="L604" s="272"/>
      <c r="M604" s="273"/>
      <c r="N604" s="273"/>
      <c r="O604" s="273"/>
      <c r="P604" s="27"/>
      <c r="Q604" s="27"/>
      <c r="R604" s="27"/>
      <c r="S604" s="22"/>
      <c r="T604" s="22"/>
      <c r="U604" s="28"/>
    </row>
    <row r="605">
      <c r="A605" s="189"/>
      <c r="B605" s="22"/>
      <c r="C605" s="22"/>
      <c r="D605" s="22"/>
      <c r="E605" s="22"/>
      <c r="F605" s="22"/>
      <c r="G605" s="22"/>
      <c r="H605" s="22"/>
      <c r="I605" s="266"/>
      <c r="J605" s="272"/>
      <c r="K605" s="272"/>
      <c r="L605" s="272"/>
      <c r="M605" s="273"/>
      <c r="N605" s="273"/>
      <c r="O605" s="273"/>
      <c r="P605" s="27"/>
      <c r="Q605" s="27"/>
      <c r="R605" s="27"/>
      <c r="S605" s="22"/>
      <c r="T605" s="22"/>
      <c r="U605" s="28"/>
    </row>
    <row r="606">
      <c r="A606" s="189"/>
      <c r="B606" s="22"/>
      <c r="C606" s="22"/>
      <c r="D606" s="22"/>
      <c r="E606" s="22"/>
      <c r="F606" s="22"/>
      <c r="G606" s="22"/>
      <c r="H606" s="22"/>
      <c r="I606" s="266"/>
      <c r="J606" s="272"/>
      <c r="K606" s="272"/>
      <c r="L606" s="272"/>
      <c r="M606" s="273"/>
      <c r="N606" s="273"/>
      <c r="O606" s="273"/>
      <c r="P606" s="27"/>
      <c r="Q606" s="27"/>
      <c r="R606" s="27"/>
      <c r="S606" s="22"/>
      <c r="T606" s="22"/>
      <c r="U606" s="28"/>
    </row>
    <row r="607">
      <c r="A607" s="189"/>
      <c r="B607" s="22"/>
      <c r="C607" s="22"/>
      <c r="D607" s="22"/>
      <c r="E607" s="22"/>
      <c r="F607" s="22"/>
      <c r="G607" s="22"/>
      <c r="H607" s="22"/>
      <c r="I607" s="266"/>
      <c r="J607" s="272"/>
      <c r="K607" s="272"/>
      <c r="L607" s="272"/>
      <c r="M607" s="273"/>
      <c r="N607" s="273"/>
      <c r="O607" s="273"/>
      <c r="P607" s="27"/>
      <c r="Q607" s="27"/>
      <c r="R607" s="27"/>
      <c r="S607" s="22"/>
      <c r="T607" s="22"/>
      <c r="U607" s="28"/>
    </row>
    <row r="608">
      <c r="A608" s="189"/>
      <c r="B608" s="22"/>
      <c r="C608" s="22"/>
      <c r="D608" s="22"/>
      <c r="E608" s="22"/>
      <c r="F608" s="22"/>
      <c r="G608" s="22"/>
      <c r="H608" s="22"/>
      <c r="I608" s="266"/>
      <c r="J608" s="272"/>
      <c r="K608" s="272"/>
      <c r="L608" s="272"/>
      <c r="M608" s="273"/>
      <c r="N608" s="273"/>
      <c r="O608" s="273"/>
      <c r="P608" s="27"/>
      <c r="Q608" s="27"/>
      <c r="R608" s="27"/>
      <c r="S608" s="22"/>
      <c r="T608" s="22"/>
      <c r="U608" s="28"/>
    </row>
    <row r="609">
      <c r="A609" s="189"/>
      <c r="B609" s="22"/>
      <c r="C609" s="22"/>
      <c r="D609" s="22"/>
      <c r="E609" s="22"/>
      <c r="F609" s="22"/>
      <c r="G609" s="22"/>
      <c r="H609" s="22"/>
      <c r="I609" s="266"/>
      <c r="J609" s="272"/>
      <c r="K609" s="272"/>
      <c r="L609" s="272"/>
      <c r="M609" s="273"/>
      <c r="N609" s="273"/>
      <c r="O609" s="273"/>
      <c r="P609" s="27"/>
      <c r="Q609" s="27"/>
      <c r="R609" s="27"/>
      <c r="S609" s="22"/>
      <c r="T609" s="22"/>
      <c r="U609" s="28"/>
    </row>
    <row r="610">
      <c r="A610" s="189"/>
      <c r="B610" s="22"/>
      <c r="C610" s="22"/>
      <c r="D610" s="22"/>
      <c r="E610" s="22"/>
      <c r="F610" s="22"/>
      <c r="G610" s="22"/>
      <c r="H610" s="22"/>
      <c r="I610" s="266"/>
      <c r="J610" s="272"/>
      <c r="K610" s="272"/>
      <c r="L610" s="272"/>
      <c r="M610" s="273"/>
      <c r="N610" s="273"/>
      <c r="O610" s="273"/>
      <c r="P610" s="27"/>
      <c r="Q610" s="27"/>
      <c r="R610" s="27"/>
      <c r="S610" s="22"/>
      <c r="T610" s="22"/>
      <c r="U610" s="28"/>
    </row>
    <row r="611">
      <c r="A611" s="189"/>
      <c r="B611" s="22"/>
      <c r="C611" s="22"/>
      <c r="D611" s="22"/>
      <c r="E611" s="22"/>
      <c r="F611" s="22"/>
      <c r="G611" s="22"/>
      <c r="H611" s="22"/>
      <c r="I611" s="266"/>
      <c r="J611" s="272"/>
      <c r="K611" s="272"/>
      <c r="L611" s="272"/>
      <c r="M611" s="273"/>
      <c r="N611" s="273"/>
      <c r="O611" s="273"/>
      <c r="P611" s="27"/>
      <c r="Q611" s="27"/>
      <c r="R611" s="27"/>
      <c r="S611" s="22"/>
      <c r="T611" s="22"/>
      <c r="U611" s="28"/>
    </row>
    <row r="612">
      <c r="A612" s="189"/>
      <c r="B612" s="22"/>
      <c r="C612" s="22"/>
      <c r="D612" s="22"/>
      <c r="E612" s="22"/>
      <c r="F612" s="22"/>
      <c r="G612" s="22"/>
      <c r="H612" s="22"/>
      <c r="I612" s="266"/>
      <c r="J612" s="272"/>
      <c r="K612" s="272"/>
      <c r="L612" s="272"/>
      <c r="M612" s="273"/>
      <c r="N612" s="273"/>
      <c r="O612" s="273"/>
      <c r="P612" s="27"/>
      <c r="Q612" s="27"/>
      <c r="R612" s="27"/>
      <c r="S612" s="22"/>
      <c r="T612" s="22"/>
      <c r="U612" s="28"/>
    </row>
    <row r="613">
      <c r="A613" s="189"/>
      <c r="B613" s="22"/>
      <c r="C613" s="22"/>
      <c r="D613" s="22"/>
      <c r="E613" s="22"/>
      <c r="F613" s="22"/>
      <c r="G613" s="22"/>
      <c r="H613" s="22"/>
      <c r="I613" s="266"/>
      <c r="J613" s="272"/>
      <c r="K613" s="272"/>
      <c r="L613" s="272"/>
      <c r="M613" s="273"/>
      <c r="N613" s="273"/>
      <c r="O613" s="273"/>
      <c r="P613" s="27"/>
      <c r="Q613" s="27"/>
      <c r="R613" s="27"/>
      <c r="S613" s="22"/>
      <c r="T613" s="22"/>
      <c r="U613" s="28"/>
    </row>
    <row r="614">
      <c r="A614" s="189"/>
      <c r="B614" s="22"/>
      <c r="C614" s="22"/>
      <c r="D614" s="22"/>
      <c r="E614" s="22"/>
      <c r="F614" s="22"/>
      <c r="G614" s="22"/>
      <c r="H614" s="22"/>
      <c r="I614" s="266"/>
      <c r="J614" s="272"/>
      <c r="K614" s="272"/>
      <c r="L614" s="272"/>
      <c r="M614" s="273"/>
      <c r="N614" s="273"/>
      <c r="O614" s="273"/>
      <c r="P614" s="27"/>
      <c r="Q614" s="27"/>
      <c r="R614" s="27"/>
      <c r="S614" s="22"/>
      <c r="T614" s="22"/>
      <c r="U614" s="28"/>
    </row>
    <row r="615">
      <c r="A615" s="189"/>
      <c r="B615" s="22"/>
      <c r="C615" s="22"/>
      <c r="D615" s="22"/>
      <c r="E615" s="22"/>
      <c r="F615" s="22"/>
      <c r="G615" s="22"/>
      <c r="H615" s="22"/>
      <c r="I615" s="266"/>
      <c r="J615" s="272"/>
      <c r="K615" s="272"/>
      <c r="L615" s="272"/>
      <c r="M615" s="273"/>
      <c r="N615" s="273"/>
      <c r="O615" s="273"/>
      <c r="P615" s="27"/>
      <c r="Q615" s="27"/>
      <c r="R615" s="27"/>
      <c r="S615" s="22"/>
      <c r="T615" s="22"/>
      <c r="U615" s="28"/>
    </row>
    <row r="616">
      <c r="A616" s="189"/>
      <c r="B616" s="22"/>
      <c r="C616" s="22"/>
      <c r="D616" s="22"/>
      <c r="E616" s="22"/>
      <c r="F616" s="22"/>
      <c r="G616" s="22"/>
      <c r="H616" s="22"/>
      <c r="I616" s="266"/>
      <c r="J616" s="272"/>
      <c r="K616" s="272"/>
      <c r="L616" s="272"/>
      <c r="M616" s="273"/>
      <c r="N616" s="273"/>
      <c r="O616" s="273"/>
      <c r="P616" s="27"/>
      <c r="Q616" s="27"/>
      <c r="R616" s="27"/>
      <c r="S616" s="22"/>
      <c r="T616" s="22"/>
      <c r="U616" s="28"/>
    </row>
    <row r="617">
      <c r="A617" s="189"/>
      <c r="B617" s="22"/>
      <c r="C617" s="22"/>
      <c r="D617" s="22"/>
      <c r="E617" s="22"/>
      <c r="F617" s="22"/>
      <c r="G617" s="22"/>
      <c r="H617" s="22"/>
      <c r="I617" s="266"/>
      <c r="J617" s="272"/>
      <c r="K617" s="272"/>
      <c r="L617" s="272"/>
      <c r="M617" s="273"/>
      <c r="N617" s="273"/>
      <c r="O617" s="273"/>
      <c r="P617" s="27"/>
      <c r="Q617" s="27"/>
      <c r="R617" s="27"/>
      <c r="S617" s="22"/>
      <c r="T617" s="22"/>
      <c r="U617" s="28"/>
    </row>
    <row r="618">
      <c r="A618" s="189"/>
      <c r="B618" s="22"/>
      <c r="C618" s="22"/>
      <c r="D618" s="22"/>
      <c r="E618" s="22"/>
      <c r="F618" s="22"/>
      <c r="G618" s="22"/>
      <c r="H618" s="22"/>
      <c r="I618" s="266"/>
      <c r="J618" s="272"/>
      <c r="K618" s="272"/>
      <c r="L618" s="272"/>
      <c r="M618" s="273"/>
      <c r="N618" s="273"/>
      <c r="O618" s="273"/>
      <c r="P618" s="27"/>
      <c r="Q618" s="27"/>
      <c r="R618" s="27"/>
      <c r="S618" s="22"/>
      <c r="T618" s="22"/>
      <c r="U618" s="28"/>
    </row>
    <row r="619">
      <c r="A619" s="189"/>
      <c r="B619" s="22"/>
      <c r="C619" s="22"/>
      <c r="D619" s="22"/>
      <c r="E619" s="22"/>
      <c r="F619" s="22"/>
      <c r="G619" s="22"/>
      <c r="H619" s="22"/>
      <c r="I619" s="266"/>
      <c r="J619" s="272"/>
      <c r="K619" s="272"/>
      <c r="L619" s="272"/>
      <c r="M619" s="273"/>
      <c r="N619" s="273"/>
      <c r="O619" s="273"/>
      <c r="P619" s="27"/>
      <c r="Q619" s="27"/>
      <c r="R619" s="27"/>
      <c r="S619" s="22"/>
      <c r="T619" s="22"/>
      <c r="U619" s="28"/>
    </row>
    <row r="620">
      <c r="A620" s="189"/>
      <c r="B620" s="22"/>
      <c r="C620" s="22"/>
      <c r="D620" s="22"/>
      <c r="E620" s="22"/>
      <c r="F620" s="22"/>
      <c r="G620" s="22"/>
      <c r="H620" s="22"/>
      <c r="I620" s="266"/>
      <c r="J620" s="272"/>
      <c r="K620" s="272"/>
      <c r="L620" s="272"/>
      <c r="M620" s="273"/>
      <c r="N620" s="273"/>
      <c r="O620" s="273"/>
      <c r="P620" s="27"/>
      <c r="Q620" s="27"/>
      <c r="R620" s="27"/>
      <c r="S620" s="22"/>
      <c r="T620" s="22"/>
      <c r="U620" s="28"/>
    </row>
    <row r="621">
      <c r="A621" s="189"/>
      <c r="B621" s="22"/>
      <c r="C621" s="22"/>
      <c r="D621" s="22"/>
      <c r="E621" s="22"/>
      <c r="F621" s="22"/>
      <c r="G621" s="22"/>
      <c r="H621" s="22"/>
      <c r="I621" s="266"/>
      <c r="J621" s="272"/>
      <c r="K621" s="272"/>
      <c r="L621" s="272"/>
      <c r="M621" s="273"/>
      <c r="N621" s="273"/>
      <c r="O621" s="273"/>
      <c r="P621" s="27"/>
      <c r="Q621" s="27"/>
      <c r="R621" s="27"/>
      <c r="S621" s="22"/>
      <c r="T621" s="22"/>
      <c r="U621" s="28"/>
    </row>
    <row r="622">
      <c r="A622" s="189"/>
      <c r="B622" s="22"/>
      <c r="C622" s="22"/>
      <c r="D622" s="22"/>
      <c r="E622" s="22"/>
      <c r="F622" s="22"/>
      <c r="G622" s="22"/>
      <c r="H622" s="22"/>
      <c r="I622" s="266"/>
      <c r="J622" s="272"/>
      <c r="K622" s="272"/>
      <c r="L622" s="272"/>
      <c r="M622" s="273"/>
      <c r="N622" s="273"/>
      <c r="O622" s="273"/>
      <c r="P622" s="27"/>
      <c r="Q622" s="27"/>
      <c r="R622" s="27"/>
      <c r="S622" s="22"/>
      <c r="T622" s="22"/>
      <c r="U622" s="28"/>
    </row>
    <row r="623">
      <c r="A623" s="189"/>
      <c r="B623" s="22"/>
      <c r="C623" s="22"/>
      <c r="D623" s="22"/>
      <c r="E623" s="22"/>
      <c r="F623" s="22"/>
      <c r="G623" s="22"/>
      <c r="H623" s="22"/>
      <c r="I623" s="266"/>
      <c r="J623" s="272"/>
      <c r="K623" s="272"/>
      <c r="L623" s="272"/>
      <c r="M623" s="273"/>
      <c r="N623" s="273"/>
      <c r="O623" s="273"/>
      <c r="P623" s="27"/>
      <c r="Q623" s="27"/>
      <c r="R623" s="27"/>
      <c r="S623" s="22"/>
      <c r="T623" s="22"/>
      <c r="U623" s="28"/>
    </row>
    <row r="624">
      <c r="A624" s="189"/>
      <c r="B624" s="22"/>
      <c r="C624" s="22"/>
      <c r="D624" s="22"/>
      <c r="E624" s="22"/>
      <c r="F624" s="22"/>
      <c r="G624" s="22"/>
      <c r="H624" s="22"/>
      <c r="I624" s="266"/>
      <c r="J624" s="272"/>
      <c r="K624" s="272"/>
      <c r="L624" s="272"/>
      <c r="M624" s="273"/>
      <c r="N624" s="273"/>
      <c r="O624" s="273"/>
      <c r="P624" s="27"/>
      <c r="Q624" s="27"/>
      <c r="R624" s="27"/>
      <c r="S624" s="22"/>
      <c r="T624" s="22"/>
      <c r="U624" s="28"/>
    </row>
    <row r="625">
      <c r="A625" s="189"/>
      <c r="B625" s="22"/>
      <c r="C625" s="22"/>
      <c r="D625" s="22"/>
      <c r="E625" s="22"/>
      <c r="F625" s="22"/>
      <c r="G625" s="22"/>
      <c r="H625" s="22"/>
      <c r="I625" s="266"/>
      <c r="J625" s="272"/>
      <c r="K625" s="272"/>
      <c r="L625" s="272"/>
      <c r="M625" s="273"/>
      <c r="N625" s="273"/>
      <c r="O625" s="273"/>
      <c r="P625" s="27"/>
      <c r="Q625" s="27"/>
      <c r="R625" s="27"/>
      <c r="S625" s="22"/>
      <c r="T625" s="22"/>
      <c r="U625" s="28"/>
    </row>
    <row r="626">
      <c r="A626" s="189"/>
      <c r="B626" s="22"/>
      <c r="C626" s="22"/>
      <c r="D626" s="22"/>
      <c r="E626" s="22"/>
      <c r="F626" s="22"/>
      <c r="G626" s="22"/>
      <c r="H626" s="22"/>
      <c r="I626" s="266"/>
      <c r="J626" s="272"/>
      <c r="K626" s="272"/>
      <c r="L626" s="272"/>
      <c r="M626" s="273"/>
      <c r="N626" s="273"/>
      <c r="O626" s="273"/>
      <c r="P626" s="27"/>
      <c r="Q626" s="27"/>
      <c r="R626" s="27"/>
      <c r="S626" s="22"/>
      <c r="T626" s="22"/>
      <c r="U626" s="28"/>
    </row>
    <row r="627">
      <c r="A627" s="189"/>
      <c r="B627" s="22"/>
      <c r="C627" s="22"/>
      <c r="D627" s="22"/>
      <c r="E627" s="22"/>
      <c r="F627" s="22"/>
      <c r="G627" s="22"/>
      <c r="H627" s="22"/>
      <c r="I627" s="266"/>
      <c r="J627" s="272"/>
      <c r="K627" s="272"/>
      <c r="L627" s="272"/>
      <c r="M627" s="273"/>
      <c r="N627" s="273"/>
      <c r="O627" s="273"/>
      <c r="P627" s="27"/>
      <c r="Q627" s="27"/>
      <c r="R627" s="27"/>
      <c r="S627" s="22"/>
      <c r="T627" s="22"/>
      <c r="U627" s="28"/>
    </row>
    <row r="628">
      <c r="A628" s="189"/>
      <c r="B628" s="22"/>
      <c r="C628" s="22"/>
      <c r="D628" s="22"/>
      <c r="E628" s="22"/>
      <c r="F628" s="22"/>
      <c r="G628" s="22"/>
      <c r="H628" s="22"/>
      <c r="I628" s="266"/>
      <c r="J628" s="272"/>
      <c r="K628" s="272"/>
      <c r="L628" s="272"/>
      <c r="M628" s="273"/>
      <c r="N628" s="273"/>
      <c r="O628" s="273"/>
      <c r="P628" s="27"/>
      <c r="Q628" s="27"/>
      <c r="R628" s="27"/>
      <c r="S628" s="22"/>
      <c r="T628" s="22"/>
      <c r="U628" s="28"/>
    </row>
    <row r="629">
      <c r="A629" s="189"/>
      <c r="B629" s="22"/>
      <c r="C629" s="22"/>
      <c r="D629" s="22"/>
      <c r="E629" s="22"/>
      <c r="F629" s="22"/>
      <c r="G629" s="22"/>
      <c r="H629" s="22"/>
      <c r="I629" s="266"/>
      <c r="J629" s="272"/>
      <c r="K629" s="272"/>
      <c r="L629" s="272"/>
      <c r="M629" s="273"/>
      <c r="N629" s="273"/>
      <c r="O629" s="273"/>
      <c r="P629" s="27"/>
      <c r="Q629" s="27"/>
      <c r="R629" s="27"/>
      <c r="S629" s="22"/>
      <c r="T629" s="22"/>
      <c r="U629" s="28"/>
    </row>
    <row r="630">
      <c r="A630" s="189"/>
      <c r="B630" s="22"/>
      <c r="C630" s="22"/>
      <c r="D630" s="22"/>
      <c r="E630" s="22"/>
      <c r="F630" s="22"/>
      <c r="G630" s="22"/>
      <c r="H630" s="22"/>
      <c r="I630" s="266"/>
      <c r="J630" s="272"/>
      <c r="K630" s="272"/>
      <c r="L630" s="272"/>
      <c r="M630" s="273"/>
      <c r="N630" s="273"/>
      <c r="O630" s="273"/>
      <c r="P630" s="27"/>
      <c r="Q630" s="27"/>
      <c r="R630" s="27"/>
      <c r="S630" s="22"/>
      <c r="T630" s="22"/>
      <c r="U630" s="28"/>
    </row>
    <row r="631">
      <c r="A631" s="189"/>
      <c r="B631" s="22"/>
      <c r="C631" s="22"/>
      <c r="D631" s="22"/>
      <c r="E631" s="22"/>
      <c r="F631" s="22"/>
      <c r="G631" s="22"/>
      <c r="H631" s="22"/>
      <c r="I631" s="266"/>
      <c r="J631" s="272"/>
      <c r="K631" s="272"/>
      <c r="L631" s="272"/>
      <c r="M631" s="273"/>
      <c r="N631" s="273"/>
      <c r="O631" s="273"/>
      <c r="P631" s="27"/>
      <c r="Q631" s="27"/>
      <c r="R631" s="27"/>
      <c r="S631" s="22"/>
      <c r="T631" s="22"/>
      <c r="U631" s="28"/>
    </row>
    <row r="632">
      <c r="A632" s="189"/>
      <c r="B632" s="22"/>
      <c r="C632" s="22"/>
      <c r="D632" s="22"/>
      <c r="E632" s="22"/>
      <c r="F632" s="22"/>
      <c r="G632" s="22"/>
      <c r="H632" s="22"/>
      <c r="I632" s="266"/>
      <c r="J632" s="272"/>
      <c r="K632" s="272"/>
      <c r="L632" s="272"/>
      <c r="M632" s="273"/>
      <c r="N632" s="273"/>
      <c r="O632" s="273"/>
      <c r="P632" s="27"/>
      <c r="Q632" s="27"/>
      <c r="R632" s="27"/>
      <c r="S632" s="22"/>
      <c r="T632" s="22"/>
      <c r="U632" s="28"/>
    </row>
    <row r="633">
      <c r="A633" s="189"/>
      <c r="B633" s="22"/>
      <c r="C633" s="22"/>
      <c r="D633" s="22"/>
      <c r="E633" s="22"/>
      <c r="F633" s="22"/>
      <c r="G633" s="22"/>
      <c r="H633" s="22"/>
      <c r="I633" s="266"/>
      <c r="J633" s="272"/>
      <c r="K633" s="272"/>
      <c r="L633" s="272"/>
      <c r="M633" s="273"/>
      <c r="N633" s="273"/>
      <c r="O633" s="273"/>
      <c r="P633" s="27"/>
      <c r="Q633" s="27"/>
      <c r="R633" s="27"/>
      <c r="S633" s="22"/>
      <c r="T633" s="22"/>
      <c r="U633" s="28"/>
    </row>
    <row r="634">
      <c r="A634" s="189"/>
      <c r="B634" s="22"/>
      <c r="C634" s="22"/>
      <c r="D634" s="22"/>
      <c r="E634" s="22"/>
      <c r="F634" s="22"/>
      <c r="G634" s="22"/>
      <c r="H634" s="22"/>
      <c r="I634" s="266"/>
      <c r="J634" s="272"/>
      <c r="K634" s="272"/>
      <c r="L634" s="272"/>
      <c r="M634" s="273"/>
      <c r="N634" s="273"/>
      <c r="O634" s="273"/>
      <c r="P634" s="27"/>
      <c r="Q634" s="27"/>
      <c r="R634" s="27"/>
      <c r="S634" s="22"/>
      <c r="T634" s="22"/>
      <c r="U634" s="28"/>
    </row>
    <row r="635">
      <c r="A635" s="189"/>
      <c r="B635" s="22"/>
      <c r="C635" s="22"/>
      <c r="D635" s="22"/>
      <c r="E635" s="22"/>
      <c r="F635" s="22"/>
      <c r="G635" s="22"/>
      <c r="H635" s="22"/>
      <c r="I635" s="266"/>
      <c r="J635" s="272"/>
      <c r="K635" s="272"/>
      <c r="L635" s="272"/>
      <c r="M635" s="273"/>
      <c r="N635" s="273"/>
      <c r="O635" s="273"/>
      <c r="P635" s="27"/>
      <c r="Q635" s="27"/>
      <c r="R635" s="27"/>
      <c r="S635" s="22"/>
      <c r="T635" s="22"/>
      <c r="U635" s="28"/>
    </row>
    <row r="636">
      <c r="A636" s="189"/>
      <c r="B636" s="22"/>
      <c r="C636" s="22"/>
      <c r="D636" s="22"/>
      <c r="E636" s="22"/>
      <c r="F636" s="22"/>
      <c r="G636" s="22"/>
      <c r="H636" s="22"/>
      <c r="I636" s="266"/>
      <c r="J636" s="272"/>
      <c r="K636" s="272"/>
      <c r="L636" s="272"/>
      <c r="M636" s="273"/>
      <c r="N636" s="273"/>
      <c r="O636" s="273"/>
      <c r="P636" s="27"/>
      <c r="Q636" s="27"/>
      <c r="R636" s="27"/>
      <c r="S636" s="22"/>
      <c r="T636" s="22"/>
      <c r="U636" s="28"/>
    </row>
    <row r="637">
      <c r="A637" s="189"/>
      <c r="B637" s="22"/>
      <c r="C637" s="22"/>
      <c r="D637" s="22"/>
      <c r="E637" s="22"/>
      <c r="F637" s="22"/>
      <c r="G637" s="22"/>
      <c r="H637" s="22"/>
      <c r="I637" s="266"/>
      <c r="J637" s="272"/>
      <c r="K637" s="272"/>
      <c r="L637" s="272"/>
      <c r="M637" s="273"/>
      <c r="N637" s="273"/>
      <c r="O637" s="273"/>
      <c r="P637" s="27"/>
      <c r="Q637" s="27"/>
      <c r="R637" s="27"/>
      <c r="S637" s="22"/>
      <c r="T637" s="22"/>
      <c r="U637" s="28"/>
    </row>
    <row r="638">
      <c r="A638" s="189"/>
      <c r="B638" s="22"/>
      <c r="C638" s="22"/>
      <c r="D638" s="22"/>
      <c r="E638" s="22"/>
      <c r="F638" s="22"/>
      <c r="G638" s="22"/>
      <c r="H638" s="22"/>
      <c r="I638" s="266"/>
      <c r="J638" s="272"/>
      <c r="K638" s="272"/>
      <c r="L638" s="272"/>
      <c r="M638" s="273"/>
      <c r="N638" s="273"/>
      <c r="O638" s="273"/>
      <c r="P638" s="27"/>
      <c r="Q638" s="27"/>
      <c r="R638" s="27"/>
      <c r="S638" s="22"/>
      <c r="T638" s="22"/>
      <c r="U638" s="28"/>
    </row>
    <row r="639">
      <c r="A639" s="189"/>
      <c r="B639" s="22"/>
      <c r="C639" s="22"/>
      <c r="D639" s="22"/>
      <c r="E639" s="22"/>
      <c r="F639" s="22"/>
      <c r="G639" s="22"/>
      <c r="H639" s="22"/>
      <c r="I639" s="266"/>
      <c r="J639" s="272"/>
      <c r="K639" s="272"/>
      <c r="L639" s="272"/>
      <c r="M639" s="273"/>
      <c r="N639" s="273"/>
      <c r="O639" s="273"/>
      <c r="P639" s="27"/>
      <c r="Q639" s="27"/>
      <c r="R639" s="27"/>
      <c r="S639" s="22"/>
      <c r="T639" s="22"/>
      <c r="U639" s="28"/>
    </row>
    <row r="640">
      <c r="A640" s="189"/>
      <c r="B640" s="22"/>
      <c r="C640" s="22"/>
      <c r="D640" s="22"/>
      <c r="E640" s="22"/>
      <c r="F640" s="22"/>
      <c r="G640" s="22"/>
      <c r="H640" s="22"/>
      <c r="I640" s="266"/>
      <c r="J640" s="272"/>
      <c r="K640" s="272"/>
      <c r="L640" s="272"/>
      <c r="M640" s="273"/>
      <c r="N640" s="273"/>
      <c r="O640" s="273"/>
      <c r="P640" s="27"/>
      <c r="Q640" s="27"/>
      <c r="R640" s="27"/>
      <c r="S640" s="22"/>
      <c r="T640" s="22"/>
      <c r="U640" s="28"/>
    </row>
    <row r="641">
      <c r="A641" s="189"/>
      <c r="B641" s="22"/>
      <c r="C641" s="22"/>
      <c r="D641" s="22"/>
      <c r="E641" s="22"/>
      <c r="F641" s="22"/>
      <c r="G641" s="22"/>
      <c r="H641" s="22"/>
      <c r="I641" s="266"/>
      <c r="J641" s="272"/>
      <c r="K641" s="272"/>
      <c r="L641" s="272"/>
      <c r="M641" s="273"/>
      <c r="N641" s="273"/>
      <c r="O641" s="273"/>
      <c r="P641" s="27"/>
      <c r="Q641" s="27"/>
      <c r="R641" s="27"/>
      <c r="S641" s="22"/>
      <c r="T641" s="22"/>
      <c r="U641" s="28"/>
    </row>
    <row r="642">
      <c r="A642" s="189"/>
      <c r="B642" s="22"/>
      <c r="C642" s="22"/>
      <c r="D642" s="22"/>
      <c r="E642" s="22"/>
      <c r="F642" s="22"/>
      <c r="G642" s="22"/>
      <c r="H642" s="22"/>
      <c r="I642" s="266"/>
      <c r="J642" s="272"/>
      <c r="K642" s="272"/>
      <c r="L642" s="272"/>
      <c r="M642" s="273"/>
      <c r="N642" s="273"/>
      <c r="O642" s="273"/>
      <c r="P642" s="27"/>
      <c r="Q642" s="27"/>
      <c r="R642" s="27"/>
      <c r="S642" s="22"/>
      <c r="T642" s="22"/>
      <c r="U642" s="28"/>
    </row>
    <row r="643">
      <c r="A643" s="189"/>
      <c r="B643" s="22"/>
      <c r="C643" s="22"/>
      <c r="D643" s="22"/>
      <c r="E643" s="22"/>
      <c r="F643" s="22"/>
      <c r="G643" s="22"/>
      <c r="H643" s="22"/>
      <c r="I643" s="266"/>
      <c r="J643" s="272"/>
      <c r="K643" s="272"/>
      <c r="L643" s="272"/>
      <c r="M643" s="273"/>
      <c r="N643" s="273"/>
      <c r="O643" s="273"/>
      <c r="P643" s="27"/>
      <c r="Q643" s="27"/>
      <c r="R643" s="27"/>
      <c r="S643" s="22"/>
      <c r="T643" s="22"/>
      <c r="U643" s="28"/>
    </row>
    <row r="644">
      <c r="A644" s="189"/>
      <c r="B644" s="22"/>
      <c r="C644" s="22"/>
      <c r="D644" s="22"/>
      <c r="E644" s="22"/>
      <c r="F644" s="22"/>
      <c r="G644" s="22"/>
      <c r="H644" s="22"/>
      <c r="I644" s="266"/>
      <c r="J644" s="272"/>
      <c r="K644" s="272"/>
      <c r="L644" s="272"/>
      <c r="M644" s="273"/>
      <c r="N644" s="273"/>
      <c r="O644" s="273"/>
      <c r="P644" s="27"/>
      <c r="Q644" s="27"/>
      <c r="R644" s="27"/>
      <c r="S644" s="22"/>
      <c r="T644" s="22"/>
      <c r="U644" s="28"/>
    </row>
    <row r="645">
      <c r="A645" s="189"/>
      <c r="B645" s="22"/>
      <c r="C645" s="22"/>
      <c r="D645" s="22"/>
      <c r="E645" s="22"/>
      <c r="F645" s="22"/>
      <c r="G645" s="22"/>
      <c r="H645" s="22"/>
      <c r="I645" s="266"/>
      <c r="J645" s="272"/>
      <c r="K645" s="272"/>
      <c r="L645" s="272"/>
      <c r="M645" s="273"/>
      <c r="N645" s="273"/>
      <c r="O645" s="273"/>
      <c r="P645" s="27"/>
      <c r="Q645" s="27"/>
      <c r="R645" s="27"/>
      <c r="S645" s="22"/>
      <c r="T645" s="22"/>
      <c r="U645" s="28"/>
    </row>
    <row r="646">
      <c r="A646" s="189"/>
      <c r="B646" s="22"/>
      <c r="C646" s="22"/>
      <c r="D646" s="22"/>
      <c r="E646" s="22"/>
      <c r="F646" s="22"/>
      <c r="G646" s="22"/>
      <c r="H646" s="22"/>
      <c r="I646" s="266"/>
      <c r="J646" s="272"/>
      <c r="K646" s="272"/>
      <c r="L646" s="272"/>
      <c r="M646" s="273"/>
      <c r="N646" s="273"/>
      <c r="O646" s="273"/>
      <c r="P646" s="27"/>
      <c r="Q646" s="27"/>
      <c r="R646" s="27"/>
      <c r="S646" s="22"/>
      <c r="T646" s="22"/>
      <c r="U646" s="28"/>
    </row>
    <row r="647">
      <c r="A647" s="189"/>
      <c r="B647" s="22"/>
      <c r="C647" s="22"/>
      <c r="D647" s="22"/>
      <c r="E647" s="22"/>
      <c r="F647" s="22"/>
      <c r="G647" s="22"/>
      <c r="H647" s="22"/>
      <c r="I647" s="266"/>
      <c r="J647" s="272"/>
      <c r="K647" s="272"/>
      <c r="L647" s="272"/>
      <c r="M647" s="273"/>
      <c r="N647" s="273"/>
      <c r="O647" s="273"/>
      <c r="P647" s="27"/>
      <c r="Q647" s="27"/>
      <c r="R647" s="27"/>
      <c r="S647" s="22"/>
      <c r="T647" s="22"/>
      <c r="U647" s="28"/>
    </row>
    <row r="648">
      <c r="A648" s="189"/>
      <c r="B648" s="22"/>
      <c r="C648" s="22"/>
      <c r="D648" s="22"/>
      <c r="E648" s="22"/>
      <c r="F648" s="22"/>
      <c r="G648" s="22"/>
      <c r="H648" s="22"/>
      <c r="I648" s="266"/>
      <c r="J648" s="272"/>
      <c r="K648" s="272"/>
      <c r="L648" s="272"/>
      <c r="M648" s="273"/>
      <c r="N648" s="273"/>
      <c r="O648" s="273"/>
      <c r="P648" s="27"/>
      <c r="Q648" s="27"/>
      <c r="R648" s="27"/>
      <c r="S648" s="22"/>
      <c r="T648" s="22"/>
      <c r="U648" s="28"/>
    </row>
    <row r="649">
      <c r="A649" s="189"/>
      <c r="B649" s="22"/>
      <c r="C649" s="22"/>
      <c r="D649" s="22"/>
      <c r="E649" s="22"/>
      <c r="F649" s="22"/>
      <c r="G649" s="22"/>
      <c r="H649" s="22"/>
      <c r="I649" s="266"/>
      <c r="J649" s="272"/>
      <c r="K649" s="272"/>
      <c r="L649" s="272"/>
      <c r="M649" s="273"/>
      <c r="N649" s="273"/>
      <c r="O649" s="273"/>
      <c r="P649" s="27"/>
      <c r="Q649" s="27"/>
      <c r="R649" s="27"/>
      <c r="S649" s="22"/>
      <c r="T649" s="22"/>
      <c r="U649" s="28"/>
    </row>
    <row r="650">
      <c r="A650" s="189"/>
      <c r="B650" s="22"/>
      <c r="C650" s="22"/>
      <c r="D650" s="22"/>
      <c r="E650" s="22"/>
      <c r="F650" s="22"/>
      <c r="G650" s="22"/>
      <c r="H650" s="22"/>
      <c r="I650" s="266"/>
      <c r="J650" s="272"/>
      <c r="K650" s="272"/>
      <c r="L650" s="272"/>
      <c r="M650" s="273"/>
      <c r="N650" s="273"/>
      <c r="O650" s="273"/>
      <c r="P650" s="27"/>
      <c r="Q650" s="27"/>
      <c r="R650" s="27"/>
      <c r="S650" s="22"/>
      <c r="T650" s="22"/>
      <c r="U650" s="28"/>
    </row>
    <row r="651">
      <c r="A651" s="189"/>
      <c r="B651" s="22"/>
      <c r="C651" s="22"/>
      <c r="D651" s="22"/>
      <c r="E651" s="22"/>
      <c r="F651" s="22"/>
      <c r="G651" s="22"/>
      <c r="H651" s="22"/>
      <c r="I651" s="266"/>
      <c r="J651" s="272"/>
      <c r="K651" s="272"/>
      <c r="L651" s="272"/>
      <c r="M651" s="273"/>
      <c r="N651" s="273"/>
      <c r="O651" s="273"/>
      <c r="P651" s="27"/>
      <c r="Q651" s="27"/>
      <c r="R651" s="27"/>
      <c r="S651" s="22"/>
      <c r="T651" s="22"/>
      <c r="U651" s="28"/>
    </row>
    <row r="652">
      <c r="A652" s="189"/>
      <c r="B652" s="22"/>
      <c r="C652" s="22"/>
      <c r="D652" s="22"/>
      <c r="E652" s="22"/>
      <c r="F652" s="22"/>
      <c r="G652" s="22"/>
      <c r="H652" s="22"/>
      <c r="I652" s="266"/>
      <c r="J652" s="272"/>
      <c r="K652" s="272"/>
      <c r="L652" s="272"/>
      <c r="M652" s="273"/>
      <c r="N652" s="273"/>
      <c r="O652" s="273"/>
      <c r="P652" s="27"/>
      <c r="Q652" s="27"/>
      <c r="R652" s="27"/>
      <c r="S652" s="22"/>
      <c r="T652" s="22"/>
      <c r="U652" s="28"/>
    </row>
    <row r="653">
      <c r="A653" s="189"/>
      <c r="B653" s="22"/>
      <c r="C653" s="22"/>
      <c r="D653" s="22"/>
      <c r="E653" s="22"/>
      <c r="F653" s="22"/>
      <c r="G653" s="22"/>
      <c r="H653" s="22"/>
      <c r="I653" s="266"/>
      <c r="J653" s="272"/>
      <c r="K653" s="272"/>
      <c r="L653" s="272"/>
      <c r="M653" s="273"/>
      <c r="N653" s="273"/>
      <c r="O653" s="273"/>
      <c r="P653" s="27"/>
      <c r="Q653" s="27"/>
      <c r="R653" s="27"/>
      <c r="S653" s="22"/>
      <c r="T653" s="22"/>
      <c r="U653" s="28"/>
    </row>
    <row r="654">
      <c r="A654" s="189"/>
      <c r="B654" s="22"/>
      <c r="C654" s="22"/>
      <c r="D654" s="22"/>
      <c r="E654" s="22"/>
      <c r="F654" s="22"/>
      <c r="G654" s="22"/>
      <c r="H654" s="22"/>
      <c r="I654" s="266"/>
      <c r="J654" s="272"/>
      <c r="K654" s="272"/>
      <c r="L654" s="272"/>
      <c r="M654" s="273"/>
      <c r="N654" s="273"/>
      <c r="O654" s="273"/>
      <c r="P654" s="27"/>
      <c r="Q654" s="27"/>
      <c r="R654" s="27"/>
      <c r="S654" s="22"/>
      <c r="T654" s="22"/>
      <c r="U654" s="28"/>
    </row>
    <row r="655">
      <c r="A655" s="189"/>
      <c r="B655" s="22"/>
      <c r="C655" s="22"/>
      <c r="D655" s="22"/>
      <c r="E655" s="22"/>
      <c r="F655" s="22"/>
      <c r="G655" s="22"/>
      <c r="H655" s="22"/>
      <c r="I655" s="266"/>
      <c r="J655" s="272"/>
      <c r="K655" s="272"/>
      <c r="L655" s="272"/>
      <c r="M655" s="273"/>
      <c r="N655" s="273"/>
      <c r="O655" s="273"/>
      <c r="P655" s="27"/>
      <c r="Q655" s="27"/>
      <c r="R655" s="27"/>
      <c r="S655" s="22"/>
      <c r="T655" s="22"/>
      <c r="U655" s="28"/>
    </row>
    <row r="656">
      <c r="A656" s="189"/>
      <c r="B656" s="22"/>
      <c r="C656" s="22"/>
      <c r="D656" s="22"/>
      <c r="E656" s="22"/>
      <c r="F656" s="22"/>
      <c r="G656" s="22"/>
      <c r="H656" s="22"/>
      <c r="I656" s="266"/>
      <c r="J656" s="272"/>
      <c r="K656" s="272"/>
      <c r="L656" s="272"/>
      <c r="M656" s="273"/>
      <c r="N656" s="273"/>
      <c r="O656" s="273"/>
      <c r="P656" s="27"/>
      <c r="Q656" s="27"/>
      <c r="R656" s="27"/>
      <c r="S656" s="22"/>
      <c r="T656" s="22"/>
      <c r="U656" s="28"/>
    </row>
    <row r="657">
      <c r="A657" s="189"/>
      <c r="B657" s="22"/>
      <c r="C657" s="22"/>
      <c r="D657" s="22"/>
      <c r="E657" s="22"/>
      <c r="F657" s="22"/>
      <c r="G657" s="22"/>
      <c r="H657" s="22"/>
      <c r="I657" s="266"/>
      <c r="J657" s="272"/>
      <c r="K657" s="272"/>
      <c r="L657" s="272"/>
      <c r="M657" s="273"/>
      <c r="N657" s="273"/>
      <c r="O657" s="273"/>
      <c r="P657" s="27"/>
      <c r="Q657" s="27"/>
      <c r="R657" s="27"/>
      <c r="S657" s="22"/>
      <c r="T657" s="22"/>
      <c r="U657" s="28"/>
    </row>
    <row r="658">
      <c r="A658" s="189"/>
      <c r="B658" s="22"/>
      <c r="C658" s="22"/>
      <c r="D658" s="22"/>
      <c r="E658" s="22"/>
      <c r="F658" s="22"/>
      <c r="G658" s="22"/>
      <c r="H658" s="22"/>
      <c r="I658" s="266"/>
      <c r="J658" s="272"/>
      <c r="K658" s="272"/>
      <c r="L658" s="272"/>
      <c r="M658" s="273"/>
      <c r="N658" s="273"/>
      <c r="O658" s="273"/>
      <c r="P658" s="27"/>
      <c r="Q658" s="27"/>
      <c r="R658" s="27"/>
      <c r="S658" s="22"/>
      <c r="T658" s="22"/>
      <c r="U658" s="28"/>
    </row>
    <row r="659">
      <c r="A659" s="189"/>
      <c r="B659" s="22"/>
      <c r="C659" s="22"/>
      <c r="D659" s="22"/>
      <c r="E659" s="22"/>
      <c r="F659" s="22"/>
      <c r="G659" s="22"/>
      <c r="H659" s="22"/>
      <c r="I659" s="266"/>
      <c r="J659" s="272"/>
      <c r="K659" s="272"/>
      <c r="L659" s="272"/>
      <c r="M659" s="273"/>
      <c r="N659" s="273"/>
      <c r="O659" s="273"/>
      <c r="P659" s="27"/>
      <c r="Q659" s="27"/>
      <c r="R659" s="27"/>
      <c r="S659" s="22"/>
      <c r="T659" s="22"/>
      <c r="U659" s="28"/>
    </row>
    <row r="660">
      <c r="A660" s="189"/>
      <c r="B660" s="22"/>
      <c r="C660" s="22"/>
      <c r="D660" s="22"/>
      <c r="E660" s="22"/>
      <c r="F660" s="22"/>
      <c r="G660" s="22"/>
      <c r="H660" s="22"/>
      <c r="I660" s="266"/>
      <c r="J660" s="272"/>
      <c r="K660" s="272"/>
      <c r="L660" s="272"/>
      <c r="M660" s="273"/>
      <c r="N660" s="273"/>
      <c r="O660" s="273"/>
      <c r="P660" s="27"/>
      <c r="Q660" s="27"/>
      <c r="R660" s="27"/>
      <c r="S660" s="22"/>
      <c r="T660" s="22"/>
      <c r="U660" s="28"/>
    </row>
    <row r="661">
      <c r="A661" s="189"/>
      <c r="B661" s="22"/>
      <c r="C661" s="22"/>
      <c r="D661" s="22"/>
      <c r="E661" s="22"/>
      <c r="F661" s="22"/>
      <c r="G661" s="22"/>
      <c r="H661" s="22"/>
      <c r="I661" s="266"/>
      <c r="J661" s="272"/>
      <c r="K661" s="272"/>
      <c r="L661" s="272"/>
      <c r="M661" s="273"/>
      <c r="N661" s="273"/>
      <c r="O661" s="273"/>
      <c r="P661" s="27"/>
      <c r="Q661" s="27"/>
      <c r="R661" s="27"/>
      <c r="S661" s="22"/>
      <c r="T661" s="22"/>
      <c r="U661" s="28"/>
    </row>
    <row r="662">
      <c r="A662" s="189"/>
      <c r="B662" s="22"/>
      <c r="C662" s="22"/>
      <c r="D662" s="22"/>
      <c r="E662" s="22"/>
      <c r="F662" s="22"/>
      <c r="G662" s="22"/>
      <c r="H662" s="22"/>
      <c r="I662" s="266"/>
      <c r="J662" s="272"/>
      <c r="K662" s="272"/>
      <c r="L662" s="272"/>
      <c r="M662" s="273"/>
      <c r="N662" s="273"/>
      <c r="O662" s="273"/>
      <c r="P662" s="27"/>
      <c r="Q662" s="27"/>
      <c r="R662" s="27"/>
      <c r="S662" s="22"/>
      <c r="T662" s="22"/>
      <c r="U662" s="28"/>
    </row>
    <row r="663">
      <c r="A663" s="189"/>
      <c r="B663" s="22"/>
      <c r="C663" s="22"/>
      <c r="D663" s="22"/>
      <c r="E663" s="22"/>
      <c r="F663" s="22"/>
      <c r="G663" s="22"/>
      <c r="H663" s="22"/>
      <c r="I663" s="266"/>
      <c r="J663" s="272"/>
      <c r="K663" s="272"/>
      <c r="L663" s="272"/>
      <c r="M663" s="273"/>
      <c r="N663" s="273"/>
      <c r="O663" s="273"/>
      <c r="P663" s="27"/>
      <c r="Q663" s="27"/>
      <c r="R663" s="27"/>
      <c r="S663" s="22"/>
      <c r="T663" s="22"/>
      <c r="U663" s="28"/>
    </row>
    <row r="664">
      <c r="A664" s="189"/>
      <c r="B664" s="22"/>
      <c r="C664" s="22"/>
      <c r="D664" s="22"/>
      <c r="E664" s="22"/>
      <c r="F664" s="22"/>
      <c r="G664" s="22"/>
      <c r="H664" s="22"/>
      <c r="I664" s="266"/>
      <c r="J664" s="272"/>
      <c r="K664" s="272"/>
      <c r="L664" s="272"/>
      <c r="M664" s="273"/>
      <c r="N664" s="273"/>
      <c r="O664" s="273"/>
      <c r="P664" s="27"/>
      <c r="Q664" s="27"/>
      <c r="R664" s="27"/>
      <c r="S664" s="22"/>
      <c r="T664" s="22"/>
      <c r="U664" s="28"/>
    </row>
    <row r="665">
      <c r="A665" s="189"/>
      <c r="B665" s="22"/>
      <c r="C665" s="22"/>
      <c r="D665" s="22"/>
      <c r="E665" s="22"/>
      <c r="F665" s="22"/>
      <c r="G665" s="22"/>
      <c r="H665" s="22"/>
      <c r="I665" s="266"/>
      <c r="J665" s="272"/>
      <c r="K665" s="272"/>
      <c r="L665" s="272"/>
      <c r="M665" s="273"/>
      <c r="N665" s="273"/>
      <c r="O665" s="273"/>
      <c r="P665" s="27"/>
      <c r="Q665" s="27"/>
      <c r="R665" s="27"/>
      <c r="S665" s="22"/>
      <c r="T665" s="22"/>
      <c r="U665" s="28"/>
    </row>
    <row r="666">
      <c r="A666" s="189"/>
      <c r="B666" s="22"/>
      <c r="C666" s="22"/>
      <c r="D666" s="22"/>
      <c r="E666" s="22"/>
      <c r="F666" s="22"/>
      <c r="G666" s="22"/>
      <c r="H666" s="22"/>
      <c r="I666" s="266"/>
      <c r="J666" s="272"/>
      <c r="K666" s="272"/>
      <c r="L666" s="272"/>
      <c r="M666" s="273"/>
      <c r="N666" s="273"/>
      <c r="O666" s="273"/>
      <c r="P666" s="27"/>
      <c r="Q666" s="27"/>
      <c r="R666" s="27"/>
      <c r="S666" s="22"/>
      <c r="T666" s="22"/>
      <c r="U666" s="28"/>
    </row>
    <row r="667">
      <c r="A667" s="189"/>
      <c r="B667" s="22"/>
      <c r="C667" s="22"/>
      <c r="D667" s="22"/>
      <c r="E667" s="22"/>
      <c r="F667" s="22"/>
      <c r="G667" s="22"/>
      <c r="H667" s="22"/>
      <c r="I667" s="266"/>
      <c r="J667" s="272"/>
      <c r="K667" s="272"/>
      <c r="L667" s="272"/>
      <c r="M667" s="273"/>
      <c r="N667" s="273"/>
      <c r="O667" s="273"/>
      <c r="P667" s="27"/>
      <c r="Q667" s="27"/>
      <c r="R667" s="27"/>
      <c r="S667" s="22"/>
      <c r="T667" s="22"/>
      <c r="U667" s="28"/>
    </row>
    <row r="668">
      <c r="A668" s="189"/>
      <c r="B668" s="22"/>
      <c r="C668" s="22"/>
      <c r="D668" s="22"/>
      <c r="E668" s="22"/>
      <c r="F668" s="22"/>
      <c r="G668" s="22"/>
      <c r="H668" s="22"/>
      <c r="I668" s="266"/>
      <c r="J668" s="272"/>
      <c r="K668" s="272"/>
      <c r="L668" s="272"/>
      <c r="M668" s="273"/>
      <c r="N668" s="273"/>
      <c r="O668" s="273"/>
      <c r="P668" s="27"/>
      <c r="Q668" s="27"/>
      <c r="R668" s="27"/>
      <c r="S668" s="22"/>
      <c r="T668" s="22"/>
      <c r="U668" s="28"/>
    </row>
    <row r="669">
      <c r="A669" s="189"/>
      <c r="B669" s="22"/>
      <c r="C669" s="22"/>
      <c r="D669" s="22"/>
      <c r="E669" s="22"/>
      <c r="F669" s="22"/>
      <c r="G669" s="22"/>
      <c r="H669" s="22"/>
      <c r="I669" s="266"/>
      <c r="J669" s="272"/>
      <c r="K669" s="272"/>
      <c r="L669" s="272"/>
      <c r="M669" s="273"/>
      <c r="N669" s="273"/>
      <c r="O669" s="273"/>
      <c r="P669" s="27"/>
      <c r="Q669" s="27"/>
      <c r="R669" s="27"/>
      <c r="S669" s="22"/>
      <c r="T669" s="22"/>
      <c r="U669" s="28"/>
    </row>
    <row r="670">
      <c r="A670" s="189"/>
      <c r="B670" s="22"/>
      <c r="C670" s="22"/>
      <c r="D670" s="22"/>
      <c r="E670" s="22"/>
      <c r="F670" s="22"/>
      <c r="G670" s="22"/>
      <c r="H670" s="22"/>
      <c r="I670" s="266"/>
      <c r="J670" s="272"/>
      <c r="K670" s="272"/>
      <c r="L670" s="272"/>
      <c r="M670" s="273"/>
      <c r="N670" s="273"/>
      <c r="O670" s="273"/>
      <c r="P670" s="27"/>
      <c r="Q670" s="27"/>
      <c r="R670" s="27"/>
      <c r="S670" s="22"/>
      <c r="T670" s="22"/>
      <c r="U670" s="28"/>
    </row>
    <row r="671">
      <c r="A671" s="189"/>
      <c r="B671" s="22"/>
      <c r="C671" s="22"/>
      <c r="D671" s="22"/>
      <c r="E671" s="22"/>
      <c r="F671" s="22"/>
      <c r="G671" s="22"/>
      <c r="H671" s="22"/>
      <c r="I671" s="266"/>
      <c r="J671" s="272"/>
      <c r="K671" s="272"/>
      <c r="L671" s="272"/>
      <c r="M671" s="273"/>
      <c r="N671" s="273"/>
      <c r="O671" s="273"/>
      <c r="P671" s="27"/>
      <c r="Q671" s="27"/>
      <c r="R671" s="27"/>
      <c r="S671" s="22"/>
      <c r="T671" s="22"/>
      <c r="U671" s="28"/>
    </row>
    <row r="672">
      <c r="A672" s="189"/>
      <c r="B672" s="22"/>
      <c r="C672" s="22"/>
      <c r="D672" s="22"/>
      <c r="E672" s="22"/>
      <c r="F672" s="22"/>
      <c r="G672" s="22"/>
      <c r="H672" s="22"/>
      <c r="I672" s="266"/>
      <c r="J672" s="272"/>
      <c r="K672" s="272"/>
      <c r="L672" s="272"/>
      <c r="M672" s="273"/>
      <c r="N672" s="273"/>
      <c r="O672" s="273"/>
      <c r="P672" s="27"/>
      <c r="Q672" s="27"/>
      <c r="R672" s="27"/>
      <c r="S672" s="22"/>
      <c r="T672" s="22"/>
      <c r="U672" s="28"/>
    </row>
    <row r="673">
      <c r="A673" s="189"/>
      <c r="B673" s="22"/>
      <c r="C673" s="22"/>
      <c r="D673" s="22"/>
      <c r="E673" s="22"/>
      <c r="F673" s="22"/>
      <c r="G673" s="22"/>
      <c r="H673" s="22"/>
      <c r="I673" s="266"/>
      <c r="J673" s="272"/>
      <c r="K673" s="272"/>
      <c r="L673" s="272"/>
      <c r="M673" s="273"/>
      <c r="N673" s="273"/>
      <c r="O673" s="273"/>
      <c r="P673" s="27"/>
      <c r="Q673" s="27"/>
      <c r="R673" s="27"/>
      <c r="S673" s="22"/>
      <c r="T673" s="22"/>
      <c r="U673" s="28"/>
    </row>
    <row r="674">
      <c r="A674" s="189"/>
      <c r="B674" s="22"/>
      <c r="C674" s="22"/>
      <c r="D674" s="22"/>
      <c r="E674" s="22"/>
      <c r="F674" s="22"/>
      <c r="G674" s="22"/>
      <c r="H674" s="22"/>
      <c r="I674" s="266"/>
      <c r="J674" s="272"/>
      <c r="K674" s="272"/>
      <c r="L674" s="272"/>
      <c r="M674" s="273"/>
      <c r="N674" s="273"/>
      <c r="O674" s="273"/>
      <c r="P674" s="27"/>
      <c r="Q674" s="27"/>
      <c r="R674" s="27"/>
      <c r="S674" s="22"/>
      <c r="T674" s="22"/>
      <c r="U674" s="28"/>
    </row>
    <row r="675">
      <c r="A675" s="189"/>
      <c r="B675" s="22"/>
      <c r="C675" s="22"/>
      <c r="D675" s="22"/>
      <c r="E675" s="22"/>
      <c r="F675" s="22"/>
      <c r="G675" s="22"/>
      <c r="H675" s="22"/>
      <c r="I675" s="266"/>
      <c r="J675" s="272"/>
      <c r="K675" s="272"/>
      <c r="L675" s="272"/>
      <c r="M675" s="273"/>
      <c r="N675" s="273"/>
      <c r="O675" s="273"/>
      <c r="P675" s="27"/>
      <c r="Q675" s="27"/>
      <c r="R675" s="27"/>
      <c r="S675" s="22"/>
      <c r="T675" s="22"/>
      <c r="U675" s="28"/>
    </row>
    <row r="676">
      <c r="A676" s="189"/>
      <c r="B676" s="22"/>
      <c r="C676" s="22"/>
      <c r="D676" s="22"/>
      <c r="E676" s="22"/>
      <c r="F676" s="22"/>
      <c r="G676" s="22"/>
      <c r="H676" s="22"/>
      <c r="I676" s="266"/>
      <c r="J676" s="272"/>
      <c r="K676" s="272"/>
      <c r="L676" s="272"/>
      <c r="M676" s="273"/>
      <c r="N676" s="273"/>
      <c r="O676" s="273"/>
      <c r="P676" s="27"/>
      <c r="Q676" s="27"/>
      <c r="R676" s="27"/>
      <c r="S676" s="22"/>
      <c r="T676" s="22"/>
      <c r="U676" s="28"/>
    </row>
    <row r="677">
      <c r="A677" s="189"/>
      <c r="B677" s="22"/>
      <c r="C677" s="22"/>
      <c r="D677" s="22"/>
      <c r="E677" s="22"/>
      <c r="F677" s="22"/>
      <c r="G677" s="22"/>
      <c r="H677" s="22"/>
      <c r="I677" s="266"/>
      <c r="J677" s="272"/>
      <c r="K677" s="272"/>
      <c r="L677" s="272"/>
      <c r="M677" s="273"/>
      <c r="N677" s="273"/>
      <c r="O677" s="273"/>
      <c r="P677" s="27"/>
      <c r="Q677" s="27"/>
      <c r="R677" s="27"/>
      <c r="S677" s="22"/>
      <c r="T677" s="22"/>
      <c r="U677" s="28"/>
    </row>
    <row r="678">
      <c r="A678" s="189"/>
      <c r="B678" s="22"/>
      <c r="C678" s="22"/>
      <c r="D678" s="22"/>
      <c r="E678" s="22"/>
      <c r="F678" s="22"/>
      <c r="G678" s="22"/>
      <c r="H678" s="22"/>
      <c r="I678" s="266"/>
      <c r="J678" s="272"/>
      <c r="K678" s="272"/>
      <c r="L678" s="272"/>
      <c r="M678" s="273"/>
      <c r="N678" s="273"/>
      <c r="O678" s="273"/>
      <c r="P678" s="27"/>
      <c r="Q678" s="27"/>
      <c r="R678" s="27"/>
      <c r="S678" s="22"/>
      <c r="T678" s="22"/>
      <c r="U678" s="28"/>
    </row>
    <row r="679">
      <c r="A679" s="189"/>
      <c r="B679" s="22"/>
      <c r="C679" s="22"/>
      <c r="D679" s="22"/>
      <c r="E679" s="22"/>
      <c r="F679" s="22"/>
      <c r="G679" s="22"/>
      <c r="H679" s="22"/>
      <c r="I679" s="266"/>
      <c r="J679" s="272"/>
      <c r="K679" s="272"/>
      <c r="L679" s="272"/>
      <c r="M679" s="273"/>
      <c r="N679" s="273"/>
      <c r="O679" s="273"/>
      <c r="P679" s="27"/>
      <c r="Q679" s="27"/>
      <c r="R679" s="27"/>
      <c r="S679" s="22"/>
      <c r="T679" s="22"/>
      <c r="U679" s="28"/>
    </row>
    <row r="680">
      <c r="A680" s="189"/>
      <c r="B680" s="22"/>
      <c r="C680" s="22"/>
      <c r="D680" s="22"/>
      <c r="E680" s="22"/>
      <c r="F680" s="22"/>
      <c r="G680" s="22"/>
      <c r="H680" s="22"/>
      <c r="I680" s="266"/>
      <c r="J680" s="272"/>
      <c r="K680" s="272"/>
      <c r="L680" s="272"/>
      <c r="M680" s="273"/>
      <c r="N680" s="273"/>
      <c r="O680" s="273"/>
      <c r="P680" s="27"/>
      <c r="Q680" s="27"/>
      <c r="R680" s="27"/>
      <c r="S680" s="22"/>
      <c r="T680" s="22"/>
      <c r="U680" s="28"/>
    </row>
    <row r="681">
      <c r="A681" s="189"/>
      <c r="B681" s="22"/>
      <c r="C681" s="22"/>
      <c r="D681" s="22"/>
      <c r="E681" s="22"/>
      <c r="F681" s="22"/>
      <c r="G681" s="22"/>
      <c r="H681" s="22"/>
      <c r="I681" s="266"/>
      <c r="J681" s="272"/>
      <c r="K681" s="272"/>
      <c r="L681" s="272"/>
      <c r="M681" s="273"/>
      <c r="N681" s="273"/>
      <c r="O681" s="273"/>
      <c r="P681" s="27"/>
      <c r="Q681" s="27"/>
      <c r="R681" s="27"/>
      <c r="S681" s="22"/>
      <c r="T681" s="22"/>
      <c r="U681" s="28"/>
    </row>
    <row r="682">
      <c r="A682" s="189"/>
      <c r="B682" s="22"/>
      <c r="C682" s="22"/>
      <c r="D682" s="22"/>
      <c r="E682" s="22"/>
      <c r="F682" s="22"/>
      <c r="G682" s="22"/>
      <c r="H682" s="22"/>
      <c r="I682" s="266"/>
      <c r="J682" s="272"/>
      <c r="K682" s="272"/>
      <c r="L682" s="272"/>
      <c r="M682" s="273"/>
      <c r="N682" s="273"/>
      <c r="O682" s="273"/>
      <c r="P682" s="27"/>
      <c r="Q682" s="27"/>
      <c r="R682" s="27"/>
      <c r="S682" s="22"/>
      <c r="T682" s="22"/>
      <c r="U682" s="28"/>
    </row>
    <row r="683">
      <c r="A683" s="189"/>
      <c r="B683" s="22"/>
      <c r="C683" s="22"/>
      <c r="D683" s="22"/>
      <c r="E683" s="22"/>
      <c r="F683" s="22"/>
      <c r="G683" s="22"/>
      <c r="H683" s="22"/>
      <c r="I683" s="266"/>
      <c r="J683" s="272"/>
      <c r="K683" s="272"/>
      <c r="L683" s="272"/>
      <c r="M683" s="273"/>
      <c r="N683" s="273"/>
      <c r="O683" s="273"/>
      <c r="P683" s="27"/>
      <c r="Q683" s="27"/>
      <c r="R683" s="27"/>
      <c r="S683" s="22"/>
      <c r="T683" s="22"/>
      <c r="U683" s="28"/>
    </row>
    <row r="684">
      <c r="A684" s="189"/>
      <c r="B684" s="22"/>
      <c r="C684" s="22"/>
      <c r="D684" s="22"/>
      <c r="E684" s="22"/>
      <c r="F684" s="22"/>
      <c r="G684" s="22"/>
      <c r="H684" s="22"/>
      <c r="I684" s="266"/>
      <c r="J684" s="272"/>
      <c r="K684" s="272"/>
      <c r="L684" s="272"/>
      <c r="M684" s="273"/>
      <c r="N684" s="273"/>
      <c r="O684" s="273"/>
      <c r="P684" s="27"/>
      <c r="Q684" s="27"/>
      <c r="R684" s="27"/>
      <c r="S684" s="22"/>
      <c r="T684" s="22"/>
      <c r="U684" s="28"/>
    </row>
    <row r="685">
      <c r="A685" s="189"/>
      <c r="B685" s="22"/>
      <c r="C685" s="22"/>
      <c r="D685" s="22"/>
      <c r="E685" s="22"/>
      <c r="F685" s="22"/>
      <c r="G685" s="22"/>
      <c r="H685" s="22"/>
      <c r="I685" s="266"/>
      <c r="J685" s="272"/>
      <c r="K685" s="272"/>
      <c r="L685" s="272"/>
      <c r="M685" s="273"/>
      <c r="N685" s="273"/>
      <c r="O685" s="273"/>
      <c r="P685" s="27"/>
      <c r="Q685" s="27"/>
      <c r="R685" s="27"/>
      <c r="S685" s="22"/>
      <c r="T685" s="22"/>
      <c r="U685" s="28"/>
    </row>
    <row r="686">
      <c r="A686" s="189"/>
      <c r="B686" s="22"/>
      <c r="C686" s="22"/>
      <c r="D686" s="22"/>
      <c r="E686" s="22"/>
      <c r="F686" s="22"/>
      <c r="G686" s="22"/>
      <c r="H686" s="22"/>
      <c r="I686" s="266"/>
      <c r="J686" s="272"/>
      <c r="K686" s="272"/>
      <c r="L686" s="272"/>
      <c r="M686" s="273"/>
      <c r="N686" s="273"/>
      <c r="O686" s="273"/>
      <c r="P686" s="27"/>
      <c r="Q686" s="27"/>
      <c r="R686" s="27"/>
      <c r="S686" s="22"/>
      <c r="T686" s="22"/>
      <c r="U686" s="28"/>
    </row>
    <row r="687">
      <c r="A687" s="189"/>
      <c r="B687" s="22"/>
      <c r="C687" s="22"/>
      <c r="D687" s="22"/>
      <c r="E687" s="22"/>
      <c r="F687" s="22"/>
      <c r="G687" s="22"/>
      <c r="H687" s="22"/>
      <c r="I687" s="266"/>
      <c r="J687" s="272"/>
      <c r="K687" s="272"/>
      <c r="L687" s="272"/>
      <c r="M687" s="273"/>
      <c r="N687" s="273"/>
      <c r="O687" s="273"/>
      <c r="P687" s="27"/>
      <c r="Q687" s="27"/>
      <c r="R687" s="27"/>
      <c r="S687" s="22"/>
      <c r="T687" s="22"/>
      <c r="U687" s="28"/>
    </row>
    <row r="688">
      <c r="A688" s="189"/>
      <c r="B688" s="22"/>
      <c r="C688" s="22"/>
      <c r="D688" s="22"/>
      <c r="E688" s="22"/>
      <c r="F688" s="22"/>
      <c r="G688" s="22"/>
      <c r="H688" s="22"/>
      <c r="I688" s="266"/>
      <c r="J688" s="272"/>
      <c r="K688" s="272"/>
      <c r="L688" s="272"/>
      <c r="M688" s="273"/>
      <c r="N688" s="273"/>
      <c r="O688" s="273"/>
      <c r="P688" s="27"/>
      <c r="Q688" s="27"/>
      <c r="R688" s="27"/>
      <c r="S688" s="22"/>
      <c r="T688" s="22"/>
      <c r="U688" s="28"/>
    </row>
    <row r="689">
      <c r="A689" s="189"/>
      <c r="B689" s="22"/>
      <c r="C689" s="22"/>
      <c r="D689" s="22"/>
      <c r="E689" s="22"/>
      <c r="F689" s="22"/>
      <c r="G689" s="22"/>
      <c r="H689" s="22"/>
      <c r="I689" s="266"/>
      <c r="J689" s="272"/>
      <c r="K689" s="272"/>
      <c r="L689" s="272"/>
      <c r="M689" s="273"/>
      <c r="N689" s="273"/>
      <c r="O689" s="273"/>
      <c r="P689" s="27"/>
      <c r="Q689" s="27"/>
      <c r="R689" s="27"/>
      <c r="S689" s="22"/>
      <c r="T689" s="22"/>
      <c r="U689" s="28"/>
    </row>
    <row r="690">
      <c r="A690" s="189"/>
      <c r="B690" s="22"/>
      <c r="C690" s="22"/>
      <c r="D690" s="22"/>
      <c r="E690" s="22"/>
      <c r="F690" s="22"/>
      <c r="G690" s="22"/>
      <c r="H690" s="22"/>
      <c r="I690" s="266"/>
      <c r="J690" s="272"/>
      <c r="K690" s="272"/>
      <c r="L690" s="272"/>
      <c r="M690" s="273"/>
      <c r="N690" s="273"/>
      <c r="O690" s="273"/>
      <c r="P690" s="27"/>
      <c r="Q690" s="27"/>
      <c r="R690" s="27"/>
      <c r="S690" s="22"/>
      <c r="T690" s="22"/>
      <c r="U690" s="28"/>
    </row>
    <row r="691">
      <c r="A691" s="189"/>
      <c r="B691" s="22"/>
      <c r="C691" s="22"/>
      <c r="D691" s="22"/>
      <c r="E691" s="22"/>
      <c r="F691" s="22"/>
      <c r="G691" s="22"/>
      <c r="H691" s="22"/>
      <c r="I691" s="266"/>
      <c r="J691" s="272"/>
      <c r="K691" s="272"/>
      <c r="L691" s="272"/>
      <c r="M691" s="273"/>
      <c r="N691" s="273"/>
      <c r="O691" s="273"/>
      <c r="P691" s="27"/>
      <c r="Q691" s="27"/>
      <c r="R691" s="27"/>
      <c r="S691" s="22"/>
      <c r="T691" s="22"/>
      <c r="U691" s="28"/>
    </row>
    <row r="692">
      <c r="A692" s="189"/>
      <c r="B692" s="22"/>
      <c r="C692" s="22"/>
      <c r="D692" s="22"/>
      <c r="E692" s="22"/>
      <c r="F692" s="22"/>
      <c r="G692" s="22"/>
      <c r="H692" s="22"/>
      <c r="I692" s="266"/>
      <c r="J692" s="272"/>
      <c r="K692" s="272"/>
      <c r="L692" s="272"/>
      <c r="M692" s="273"/>
      <c r="N692" s="273"/>
      <c r="O692" s="273"/>
      <c r="P692" s="27"/>
      <c r="Q692" s="27"/>
      <c r="R692" s="27"/>
      <c r="S692" s="22"/>
      <c r="T692" s="22"/>
      <c r="U692" s="28"/>
    </row>
    <row r="693">
      <c r="A693" s="189"/>
      <c r="B693" s="22"/>
      <c r="C693" s="22"/>
      <c r="D693" s="22"/>
      <c r="E693" s="22"/>
      <c r="F693" s="22"/>
      <c r="G693" s="22"/>
      <c r="H693" s="22"/>
      <c r="I693" s="266"/>
      <c r="J693" s="272"/>
      <c r="K693" s="272"/>
      <c r="L693" s="272"/>
      <c r="M693" s="273"/>
      <c r="N693" s="273"/>
      <c r="O693" s="273"/>
      <c r="P693" s="27"/>
      <c r="Q693" s="27"/>
      <c r="R693" s="27"/>
      <c r="S693" s="22"/>
      <c r="T693" s="22"/>
      <c r="U693" s="28"/>
    </row>
    <row r="694">
      <c r="A694" s="189"/>
      <c r="B694" s="22"/>
      <c r="C694" s="22"/>
      <c r="D694" s="22"/>
      <c r="E694" s="22"/>
      <c r="F694" s="22"/>
      <c r="G694" s="22"/>
      <c r="H694" s="22"/>
      <c r="I694" s="266"/>
      <c r="J694" s="272"/>
      <c r="K694" s="272"/>
      <c r="L694" s="272"/>
      <c r="M694" s="273"/>
      <c r="N694" s="273"/>
      <c r="O694" s="273"/>
      <c r="P694" s="27"/>
      <c r="Q694" s="27"/>
      <c r="R694" s="27"/>
      <c r="S694" s="22"/>
      <c r="T694" s="22"/>
      <c r="U694" s="28"/>
    </row>
    <row r="695">
      <c r="A695" s="189"/>
      <c r="B695" s="22"/>
      <c r="C695" s="22"/>
      <c r="D695" s="22"/>
      <c r="E695" s="22"/>
      <c r="F695" s="22"/>
      <c r="G695" s="22"/>
      <c r="H695" s="22"/>
      <c r="I695" s="266"/>
      <c r="J695" s="272"/>
      <c r="K695" s="272"/>
      <c r="L695" s="272"/>
      <c r="M695" s="273"/>
      <c r="N695" s="273"/>
      <c r="O695" s="273"/>
      <c r="P695" s="27"/>
      <c r="Q695" s="27"/>
      <c r="R695" s="27"/>
      <c r="S695" s="22"/>
      <c r="T695" s="22"/>
      <c r="U695" s="28"/>
    </row>
    <row r="696">
      <c r="A696" s="189"/>
      <c r="B696" s="22"/>
      <c r="C696" s="22"/>
      <c r="D696" s="22"/>
      <c r="E696" s="22"/>
      <c r="F696" s="22"/>
      <c r="G696" s="22"/>
      <c r="H696" s="22"/>
      <c r="I696" s="266"/>
      <c r="J696" s="272"/>
      <c r="K696" s="272"/>
      <c r="L696" s="272"/>
      <c r="M696" s="273"/>
      <c r="N696" s="273"/>
      <c r="O696" s="273"/>
      <c r="P696" s="27"/>
      <c r="Q696" s="27"/>
      <c r="R696" s="27"/>
      <c r="S696" s="22"/>
      <c r="T696" s="22"/>
      <c r="U696" s="28"/>
    </row>
    <row r="697">
      <c r="A697" s="189"/>
      <c r="B697" s="22"/>
      <c r="C697" s="22"/>
      <c r="D697" s="22"/>
      <c r="E697" s="22"/>
      <c r="F697" s="22"/>
      <c r="G697" s="22"/>
      <c r="H697" s="22"/>
      <c r="I697" s="266"/>
      <c r="J697" s="272"/>
      <c r="K697" s="272"/>
      <c r="L697" s="272"/>
      <c r="M697" s="273"/>
      <c r="N697" s="273"/>
      <c r="O697" s="273"/>
      <c r="P697" s="27"/>
      <c r="Q697" s="27"/>
      <c r="R697" s="27"/>
      <c r="S697" s="22"/>
      <c r="T697" s="22"/>
      <c r="U697" s="28"/>
    </row>
    <row r="698">
      <c r="A698" s="189"/>
      <c r="B698" s="22"/>
      <c r="C698" s="22"/>
      <c r="D698" s="22"/>
      <c r="E698" s="22"/>
      <c r="F698" s="22"/>
      <c r="G698" s="22"/>
      <c r="H698" s="22"/>
      <c r="I698" s="266"/>
      <c r="J698" s="272"/>
      <c r="K698" s="272"/>
      <c r="L698" s="272"/>
      <c r="M698" s="273"/>
      <c r="N698" s="273"/>
      <c r="O698" s="273"/>
      <c r="P698" s="27"/>
      <c r="Q698" s="27"/>
      <c r="R698" s="27"/>
      <c r="S698" s="22"/>
      <c r="T698" s="22"/>
      <c r="U698" s="28"/>
    </row>
    <row r="699">
      <c r="A699" s="189"/>
      <c r="B699" s="22"/>
      <c r="C699" s="22"/>
      <c r="D699" s="22"/>
      <c r="E699" s="22"/>
      <c r="F699" s="22"/>
      <c r="G699" s="22"/>
      <c r="H699" s="22"/>
      <c r="I699" s="266"/>
      <c r="J699" s="272"/>
      <c r="K699" s="272"/>
      <c r="L699" s="272"/>
      <c r="M699" s="273"/>
      <c r="N699" s="273"/>
      <c r="O699" s="273"/>
      <c r="P699" s="27"/>
      <c r="Q699" s="27"/>
      <c r="R699" s="27"/>
      <c r="S699" s="22"/>
      <c r="T699" s="22"/>
      <c r="U699" s="28"/>
    </row>
    <row r="700">
      <c r="A700" s="189"/>
      <c r="B700" s="22"/>
      <c r="C700" s="22"/>
      <c r="D700" s="22"/>
      <c r="E700" s="22"/>
      <c r="F700" s="22"/>
      <c r="G700" s="22"/>
      <c r="H700" s="22"/>
      <c r="I700" s="266"/>
      <c r="J700" s="272"/>
      <c r="K700" s="272"/>
      <c r="L700" s="272"/>
      <c r="M700" s="273"/>
      <c r="N700" s="273"/>
      <c r="O700" s="273"/>
      <c r="P700" s="27"/>
      <c r="Q700" s="27"/>
      <c r="R700" s="27"/>
      <c r="S700" s="22"/>
      <c r="T700" s="22"/>
      <c r="U700" s="28"/>
    </row>
    <row r="701">
      <c r="A701" s="189"/>
      <c r="B701" s="22"/>
      <c r="C701" s="22"/>
      <c r="D701" s="22"/>
      <c r="E701" s="22"/>
      <c r="F701" s="22"/>
      <c r="G701" s="22"/>
      <c r="H701" s="22"/>
      <c r="I701" s="266"/>
      <c r="J701" s="272"/>
      <c r="K701" s="272"/>
      <c r="L701" s="272"/>
      <c r="M701" s="273"/>
      <c r="N701" s="273"/>
      <c r="O701" s="273"/>
      <c r="P701" s="27"/>
      <c r="Q701" s="27"/>
      <c r="R701" s="27"/>
      <c r="S701" s="22"/>
      <c r="T701" s="22"/>
      <c r="U701" s="28"/>
    </row>
    <row r="702">
      <c r="A702" s="189"/>
      <c r="B702" s="22"/>
      <c r="C702" s="22"/>
      <c r="D702" s="22"/>
      <c r="E702" s="22"/>
      <c r="F702" s="22"/>
      <c r="G702" s="22"/>
      <c r="H702" s="22"/>
      <c r="I702" s="266"/>
      <c r="J702" s="272"/>
      <c r="K702" s="272"/>
      <c r="L702" s="272"/>
      <c r="M702" s="273"/>
      <c r="N702" s="273"/>
      <c r="O702" s="273"/>
      <c r="P702" s="27"/>
      <c r="Q702" s="27"/>
      <c r="R702" s="27"/>
      <c r="S702" s="22"/>
      <c r="T702" s="22"/>
      <c r="U702" s="28"/>
    </row>
    <row r="703">
      <c r="A703" s="189"/>
      <c r="B703" s="22"/>
      <c r="C703" s="22"/>
      <c r="D703" s="22"/>
      <c r="E703" s="22"/>
      <c r="F703" s="22"/>
      <c r="G703" s="22"/>
      <c r="H703" s="22"/>
      <c r="I703" s="266"/>
      <c r="J703" s="272"/>
      <c r="K703" s="272"/>
      <c r="L703" s="272"/>
      <c r="M703" s="273"/>
      <c r="N703" s="273"/>
      <c r="O703" s="273"/>
      <c r="P703" s="27"/>
      <c r="Q703" s="27"/>
      <c r="R703" s="27"/>
      <c r="S703" s="22"/>
      <c r="T703" s="22"/>
      <c r="U703" s="28"/>
    </row>
    <row r="704">
      <c r="A704" s="189"/>
      <c r="B704" s="22"/>
      <c r="C704" s="22"/>
      <c r="D704" s="22"/>
      <c r="E704" s="22"/>
      <c r="F704" s="22"/>
      <c r="G704" s="22"/>
      <c r="H704" s="22"/>
      <c r="I704" s="266"/>
      <c r="J704" s="272"/>
      <c r="K704" s="272"/>
      <c r="L704" s="272"/>
      <c r="M704" s="273"/>
      <c r="N704" s="273"/>
      <c r="O704" s="273"/>
      <c r="P704" s="27"/>
      <c r="Q704" s="27"/>
      <c r="R704" s="27"/>
      <c r="S704" s="22"/>
      <c r="T704" s="22"/>
      <c r="U704" s="28"/>
    </row>
    <row r="705">
      <c r="A705" s="189"/>
      <c r="B705" s="22"/>
      <c r="C705" s="22"/>
      <c r="D705" s="22"/>
      <c r="E705" s="22"/>
      <c r="F705" s="22"/>
      <c r="G705" s="22"/>
      <c r="H705" s="22"/>
      <c r="I705" s="266"/>
      <c r="J705" s="272"/>
      <c r="K705" s="272"/>
      <c r="L705" s="272"/>
      <c r="M705" s="273"/>
      <c r="N705" s="273"/>
      <c r="O705" s="273"/>
      <c r="P705" s="27"/>
      <c r="Q705" s="27"/>
      <c r="R705" s="27"/>
      <c r="S705" s="22"/>
      <c r="T705" s="22"/>
      <c r="U705" s="28"/>
    </row>
    <row r="706">
      <c r="A706" s="189"/>
      <c r="B706" s="22"/>
      <c r="C706" s="22"/>
      <c r="D706" s="22"/>
      <c r="E706" s="22"/>
      <c r="F706" s="22"/>
      <c r="G706" s="22"/>
      <c r="H706" s="22"/>
      <c r="I706" s="266"/>
      <c r="J706" s="272"/>
      <c r="K706" s="272"/>
      <c r="L706" s="272"/>
      <c r="M706" s="273"/>
      <c r="N706" s="273"/>
      <c r="O706" s="273"/>
      <c r="P706" s="27"/>
      <c r="Q706" s="27"/>
      <c r="R706" s="27"/>
      <c r="S706" s="22"/>
      <c r="T706" s="22"/>
      <c r="U706" s="28"/>
    </row>
    <row r="707">
      <c r="A707" s="189"/>
      <c r="B707" s="22"/>
      <c r="C707" s="22"/>
      <c r="D707" s="22"/>
      <c r="E707" s="22"/>
      <c r="F707" s="22"/>
      <c r="G707" s="22"/>
      <c r="H707" s="22"/>
      <c r="I707" s="266"/>
      <c r="J707" s="272"/>
      <c r="K707" s="272"/>
      <c r="L707" s="272"/>
      <c r="M707" s="273"/>
      <c r="N707" s="273"/>
      <c r="O707" s="273"/>
      <c r="P707" s="27"/>
      <c r="Q707" s="27"/>
      <c r="R707" s="27"/>
      <c r="S707" s="22"/>
      <c r="T707" s="22"/>
      <c r="U707" s="28"/>
    </row>
    <row r="708">
      <c r="A708" s="189"/>
      <c r="B708" s="22"/>
      <c r="C708" s="22"/>
      <c r="D708" s="22"/>
      <c r="E708" s="22"/>
      <c r="F708" s="22"/>
      <c r="G708" s="22"/>
      <c r="H708" s="22"/>
      <c r="I708" s="266"/>
      <c r="J708" s="272"/>
      <c r="K708" s="272"/>
      <c r="L708" s="272"/>
      <c r="M708" s="273"/>
      <c r="N708" s="273"/>
      <c r="O708" s="273"/>
      <c r="P708" s="27"/>
      <c r="Q708" s="27"/>
      <c r="R708" s="27"/>
      <c r="S708" s="22"/>
      <c r="T708" s="22"/>
      <c r="U708" s="28"/>
    </row>
    <row r="709">
      <c r="A709" s="189"/>
      <c r="B709" s="22"/>
      <c r="C709" s="22"/>
      <c r="D709" s="22"/>
      <c r="E709" s="22"/>
      <c r="F709" s="22"/>
      <c r="G709" s="22"/>
      <c r="H709" s="22"/>
      <c r="I709" s="266"/>
      <c r="J709" s="272"/>
      <c r="K709" s="272"/>
      <c r="L709" s="272"/>
      <c r="M709" s="273"/>
      <c r="N709" s="273"/>
      <c r="O709" s="273"/>
      <c r="P709" s="27"/>
      <c r="Q709" s="27"/>
      <c r="R709" s="27"/>
      <c r="S709" s="22"/>
      <c r="T709" s="22"/>
      <c r="U709" s="28"/>
    </row>
    <row r="710">
      <c r="A710" s="189"/>
      <c r="B710" s="22"/>
      <c r="C710" s="22"/>
      <c r="D710" s="22"/>
      <c r="E710" s="22"/>
      <c r="F710" s="22"/>
      <c r="G710" s="22"/>
      <c r="H710" s="22"/>
      <c r="I710" s="266"/>
      <c r="J710" s="272"/>
      <c r="K710" s="272"/>
      <c r="L710" s="272"/>
      <c r="M710" s="273"/>
      <c r="N710" s="273"/>
      <c r="O710" s="273"/>
      <c r="P710" s="27"/>
      <c r="Q710" s="27"/>
      <c r="R710" s="27"/>
      <c r="S710" s="22"/>
      <c r="T710" s="22"/>
      <c r="U710" s="28"/>
    </row>
    <row r="711">
      <c r="A711" s="189"/>
      <c r="B711" s="22"/>
      <c r="C711" s="22"/>
      <c r="D711" s="22"/>
      <c r="E711" s="22"/>
      <c r="F711" s="22"/>
      <c r="G711" s="22"/>
      <c r="H711" s="22"/>
      <c r="I711" s="266"/>
      <c r="J711" s="272"/>
      <c r="K711" s="272"/>
      <c r="L711" s="272"/>
      <c r="M711" s="273"/>
      <c r="N711" s="273"/>
      <c r="O711" s="273"/>
      <c r="P711" s="27"/>
      <c r="Q711" s="27"/>
      <c r="R711" s="27"/>
      <c r="S711" s="22"/>
      <c r="T711" s="22"/>
      <c r="U711" s="28"/>
    </row>
    <row r="712">
      <c r="A712" s="189"/>
      <c r="B712" s="22"/>
      <c r="C712" s="22"/>
      <c r="D712" s="22"/>
      <c r="E712" s="22"/>
      <c r="F712" s="22"/>
      <c r="G712" s="22"/>
      <c r="H712" s="22"/>
      <c r="I712" s="266"/>
      <c r="J712" s="272"/>
      <c r="K712" s="272"/>
      <c r="L712" s="272"/>
      <c r="M712" s="273"/>
      <c r="N712" s="273"/>
      <c r="O712" s="273"/>
      <c r="P712" s="27"/>
      <c r="Q712" s="27"/>
      <c r="R712" s="27"/>
      <c r="S712" s="22"/>
      <c r="T712" s="22"/>
      <c r="U712" s="28"/>
    </row>
    <row r="713">
      <c r="A713" s="189"/>
      <c r="B713" s="22"/>
      <c r="C713" s="22"/>
      <c r="D713" s="22"/>
      <c r="E713" s="22"/>
      <c r="F713" s="22"/>
      <c r="G713" s="22"/>
      <c r="H713" s="22"/>
      <c r="I713" s="266"/>
      <c r="J713" s="272"/>
      <c r="K713" s="272"/>
      <c r="L713" s="272"/>
      <c r="M713" s="273"/>
      <c r="N713" s="273"/>
      <c r="O713" s="273"/>
      <c r="P713" s="27"/>
      <c r="Q713" s="27"/>
      <c r="R713" s="27"/>
      <c r="S713" s="22"/>
      <c r="T713" s="22"/>
      <c r="U713" s="28"/>
    </row>
    <row r="714">
      <c r="A714" s="189"/>
      <c r="B714" s="22"/>
      <c r="C714" s="22"/>
      <c r="D714" s="22"/>
      <c r="E714" s="22"/>
      <c r="F714" s="22"/>
      <c r="G714" s="22"/>
      <c r="H714" s="22"/>
      <c r="I714" s="266"/>
      <c r="J714" s="272"/>
      <c r="K714" s="272"/>
      <c r="L714" s="272"/>
      <c r="M714" s="273"/>
      <c r="N714" s="273"/>
      <c r="O714" s="273"/>
      <c r="P714" s="27"/>
      <c r="Q714" s="27"/>
      <c r="R714" s="27"/>
      <c r="S714" s="22"/>
      <c r="T714" s="22"/>
      <c r="U714" s="28"/>
    </row>
    <row r="715">
      <c r="A715" s="189"/>
      <c r="B715" s="22"/>
      <c r="C715" s="22"/>
      <c r="D715" s="22"/>
      <c r="E715" s="22"/>
      <c r="F715" s="22"/>
      <c r="G715" s="22"/>
      <c r="H715" s="22"/>
      <c r="I715" s="266"/>
      <c r="J715" s="272"/>
      <c r="K715" s="272"/>
      <c r="L715" s="272"/>
      <c r="M715" s="273"/>
      <c r="N715" s="273"/>
      <c r="O715" s="273"/>
      <c r="P715" s="27"/>
      <c r="Q715" s="27"/>
      <c r="R715" s="27"/>
      <c r="S715" s="22"/>
      <c r="T715" s="22"/>
      <c r="U715" s="28"/>
    </row>
    <row r="716">
      <c r="A716" s="189"/>
      <c r="B716" s="22"/>
      <c r="C716" s="22"/>
      <c r="D716" s="22"/>
      <c r="E716" s="22"/>
      <c r="F716" s="22"/>
      <c r="G716" s="22"/>
      <c r="H716" s="22"/>
      <c r="I716" s="266"/>
      <c r="J716" s="272"/>
      <c r="K716" s="272"/>
      <c r="L716" s="272"/>
      <c r="M716" s="273"/>
      <c r="N716" s="273"/>
      <c r="O716" s="273"/>
      <c r="P716" s="27"/>
      <c r="Q716" s="27"/>
      <c r="R716" s="27"/>
      <c r="S716" s="22"/>
      <c r="T716" s="22"/>
      <c r="U716" s="28"/>
    </row>
    <row r="717">
      <c r="A717" s="189"/>
      <c r="B717" s="22"/>
      <c r="C717" s="22"/>
      <c r="D717" s="22"/>
      <c r="E717" s="22"/>
      <c r="F717" s="22"/>
      <c r="G717" s="22"/>
      <c r="H717" s="22"/>
      <c r="I717" s="266"/>
      <c r="J717" s="272"/>
      <c r="K717" s="272"/>
      <c r="L717" s="272"/>
      <c r="M717" s="273"/>
      <c r="N717" s="273"/>
      <c r="O717" s="273"/>
      <c r="P717" s="27"/>
      <c r="Q717" s="27"/>
      <c r="R717" s="27"/>
      <c r="S717" s="22"/>
      <c r="T717" s="22"/>
      <c r="U717" s="28"/>
    </row>
    <row r="718">
      <c r="A718" s="189"/>
      <c r="B718" s="22"/>
      <c r="C718" s="22"/>
      <c r="D718" s="22"/>
      <c r="E718" s="22"/>
      <c r="F718" s="22"/>
      <c r="G718" s="22"/>
      <c r="H718" s="22"/>
      <c r="I718" s="266"/>
      <c r="J718" s="272"/>
      <c r="K718" s="272"/>
      <c r="L718" s="272"/>
      <c r="M718" s="273"/>
      <c r="N718" s="273"/>
      <c r="O718" s="273"/>
      <c r="P718" s="27"/>
      <c r="Q718" s="27"/>
      <c r="R718" s="27"/>
      <c r="S718" s="22"/>
      <c r="T718" s="22"/>
      <c r="U718" s="28"/>
    </row>
    <row r="719">
      <c r="A719" s="189"/>
      <c r="B719" s="22"/>
      <c r="C719" s="22"/>
      <c r="D719" s="22"/>
      <c r="E719" s="22"/>
      <c r="F719" s="22"/>
      <c r="G719" s="22"/>
      <c r="H719" s="22"/>
      <c r="I719" s="266"/>
      <c r="J719" s="272"/>
      <c r="K719" s="272"/>
      <c r="L719" s="272"/>
      <c r="M719" s="273"/>
      <c r="N719" s="273"/>
      <c r="O719" s="273"/>
      <c r="P719" s="27"/>
      <c r="Q719" s="27"/>
      <c r="R719" s="27"/>
      <c r="S719" s="22"/>
      <c r="T719" s="22"/>
      <c r="U719" s="28"/>
    </row>
    <row r="720">
      <c r="A720" s="189"/>
      <c r="B720" s="22"/>
      <c r="C720" s="22"/>
      <c r="D720" s="22"/>
      <c r="E720" s="22"/>
      <c r="F720" s="22"/>
      <c r="G720" s="22"/>
      <c r="H720" s="22"/>
      <c r="I720" s="266"/>
      <c r="J720" s="272"/>
      <c r="K720" s="272"/>
      <c r="L720" s="272"/>
      <c r="M720" s="273"/>
      <c r="N720" s="273"/>
      <c r="O720" s="273"/>
      <c r="P720" s="27"/>
      <c r="Q720" s="27"/>
      <c r="R720" s="27"/>
      <c r="S720" s="22"/>
      <c r="T720" s="22"/>
      <c r="U720" s="28"/>
    </row>
    <row r="721">
      <c r="A721" s="189"/>
      <c r="B721" s="22"/>
      <c r="C721" s="22"/>
      <c r="D721" s="22"/>
      <c r="E721" s="22"/>
      <c r="F721" s="22"/>
      <c r="G721" s="22"/>
      <c r="H721" s="22"/>
      <c r="I721" s="266"/>
      <c r="J721" s="272"/>
      <c r="K721" s="272"/>
      <c r="L721" s="272"/>
      <c r="M721" s="273"/>
      <c r="N721" s="273"/>
      <c r="O721" s="273"/>
      <c r="P721" s="27"/>
      <c r="Q721" s="27"/>
      <c r="R721" s="27"/>
      <c r="S721" s="22"/>
      <c r="T721" s="22"/>
      <c r="U721" s="28"/>
    </row>
    <row r="722">
      <c r="A722" s="189"/>
      <c r="B722" s="22"/>
      <c r="C722" s="22"/>
      <c r="D722" s="22"/>
      <c r="E722" s="22"/>
      <c r="F722" s="22"/>
      <c r="G722" s="22"/>
      <c r="H722" s="22"/>
      <c r="I722" s="266"/>
      <c r="J722" s="272"/>
      <c r="K722" s="272"/>
      <c r="L722" s="272"/>
      <c r="M722" s="273"/>
      <c r="N722" s="273"/>
      <c r="O722" s="273"/>
      <c r="P722" s="27"/>
      <c r="Q722" s="27"/>
      <c r="R722" s="27"/>
      <c r="S722" s="22"/>
      <c r="T722" s="22"/>
      <c r="U722" s="28"/>
    </row>
    <row r="723">
      <c r="A723" s="189"/>
      <c r="B723" s="22"/>
      <c r="C723" s="22"/>
      <c r="D723" s="22"/>
      <c r="E723" s="22"/>
      <c r="F723" s="22"/>
      <c r="G723" s="22"/>
      <c r="H723" s="22"/>
      <c r="I723" s="266"/>
      <c r="J723" s="272"/>
      <c r="K723" s="272"/>
      <c r="L723" s="272"/>
      <c r="M723" s="273"/>
      <c r="N723" s="273"/>
      <c r="O723" s="273"/>
      <c r="P723" s="27"/>
      <c r="Q723" s="27"/>
      <c r="R723" s="27"/>
      <c r="S723" s="22"/>
      <c r="T723" s="22"/>
      <c r="U723" s="28"/>
    </row>
    <row r="724">
      <c r="A724" s="189"/>
      <c r="B724" s="22"/>
      <c r="C724" s="22"/>
      <c r="D724" s="22"/>
      <c r="E724" s="22"/>
      <c r="F724" s="22"/>
      <c r="G724" s="22"/>
      <c r="H724" s="22"/>
      <c r="I724" s="266"/>
      <c r="J724" s="272"/>
      <c r="K724" s="272"/>
      <c r="L724" s="272"/>
      <c r="M724" s="273"/>
      <c r="N724" s="273"/>
      <c r="O724" s="273"/>
      <c r="P724" s="27"/>
      <c r="Q724" s="27"/>
      <c r="R724" s="27"/>
      <c r="S724" s="22"/>
      <c r="T724" s="22"/>
      <c r="U724" s="28"/>
    </row>
    <row r="725">
      <c r="A725" s="189"/>
      <c r="B725" s="22"/>
      <c r="C725" s="22"/>
      <c r="D725" s="22"/>
      <c r="E725" s="22"/>
      <c r="F725" s="22"/>
      <c r="G725" s="22"/>
      <c r="H725" s="22"/>
      <c r="I725" s="266"/>
      <c r="J725" s="272"/>
      <c r="K725" s="272"/>
      <c r="L725" s="272"/>
      <c r="M725" s="273"/>
      <c r="N725" s="273"/>
      <c r="O725" s="273"/>
      <c r="P725" s="27"/>
      <c r="Q725" s="27"/>
      <c r="R725" s="27"/>
      <c r="S725" s="22"/>
      <c r="T725" s="22"/>
      <c r="U725" s="28"/>
    </row>
    <row r="726">
      <c r="A726" s="189"/>
      <c r="B726" s="22"/>
      <c r="C726" s="22"/>
      <c r="D726" s="22"/>
      <c r="E726" s="22"/>
      <c r="F726" s="22"/>
      <c r="G726" s="22"/>
      <c r="H726" s="22"/>
      <c r="I726" s="266"/>
      <c r="J726" s="272"/>
      <c r="K726" s="272"/>
      <c r="L726" s="272"/>
      <c r="M726" s="273"/>
      <c r="N726" s="273"/>
      <c r="O726" s="273"/>
      <c r="P726" s="27"/>
      <c r="Q726" s="27"/>
      <c r="R726" s="27"/>
      <c r="S726" s="22"/>
      <c r="T726" s="22"/>
      <c r="U726" s="28"/>
    </row>
    <row r="727">
      <c r="A727" s="189"/>
      <c r="B727" s="22"/>
      <c r="C727" s="22"/>
      <c r="D727" s="22"/>
      <c r="E727" s="22"/>
      <c r="F727" s="22"/>
      <c r="G727" s="22"/>
      <c r="H727" s="22"/>
      <c r="I727" s="266"/>
      <c r="J727" s="272"/>
      <c r="K727" s="272"/>
      <c r="L727" s="272"/>
      <c r="M727" s="273"/>
      <c r="N727" s="273"/>
      <c r="O727" s="273"/>
      <c r="P727" s="27"/>
      <c r="Q727" s="27"/>
      <c r="R727" s="27"/>
      <c r="S727" s="22"/>
      <c r="T727" s="22"/>
      <c r="U727" s="28"/>
    </row>
    <row r="728">
      <c r="A728" s="189"/>
      <c r="B728" s="22"/>
      <c r="C728" s="22"/>
      <c r="D728" s="22"/>
      <c r="E728" s="22"/>
      <c r="F728" s="22"/>
      <c r="G728" s="22"/>
      <c r="H728" s="22"/>
      <c r="I728" s="266"/>
      <c r="J728" s="272"/>
      <c r="K728" s="272"/>
      <c r="L728" s="272"/>
      <c r="M728" s="273"/>
      <c r="N728" s="273"/>
      <c r="O728" s="273"/>
      <c r="P728" s="27"/>
      <c r="Q728" s="27"/>
      <c r="R728" s="27"/>
      <c r="S728" s="22"/>
      <c r="T728" s="22"/>
      <c r="U728" s="28"/>
    </row>
    <row r="729">
      <c r="A729" s="189"/>
      <c r="B729" s="22"/>
      <c r="C729" s="22"/>
      <c r="D729" s="22"/>
      <c r="E729" s="22"/>
      <c r="F729" s="22"/>
      <c r="G729" s="22"/>
      <c r="H729" s="22"/>
      <c r="I729" s="266"/>
      <c r="J729" s="272"/>
      <c r="K729" s="272"/>
      <c r="L729" s="272"/>
      <c r="M729" s="273"/>
      <c r="N729" s="273"/>
      <c r="O729" s="273"/>
      <c r="P729" s="27"/>
      <c r="Q729" s="27"/>
      <c r="R729" s="27"/>
      <c r="S729" s="22"/>
      <c r="T729" s="22"/>
      <c r="U729" s="28"/>
    </row>
    <row r="730">
      <c r="A730" s="189"/>
      <c r="B730" s="22"/>
      <c r="C730" s="22"/>
      <c r="D730" s="22"/>
      <c r="E730" s="22"/>
      <c r="F730" s="22"/>
      <c r="G730" s="22"/>
      <c r="H730" s="22"/>
      <c r="I730" s="266"/>
      <c r="J730" s="272"/>
      <c r="K730" s="272"/>
      <c r="L730" s="272"/>
      <c r="M730" s="273"/>
      <c r="N730" s="273"/>
      <c r="O730" s="273"/>
      <c r="P730" s="27"/>
      <c r="Q730" s="27"/>
      <c r="R730" s="27"/>
      <c r="S730" s="22"/>
      <c r="T730" s="22"/>
      <c r="U730" s="28"/>
    </row>
    <row r="731">
      <c r="A731" s="189"/>
      <c r="B731" s="22"/>
      <c r="C731" s="22"/>
      <c r="D731" s="22"/>
      <c r="E731" s="22"/>
      <c r="F731" s="22"/>
      <c r="G731" s="22"/>
      <c r="H731" s="22"/>
      <c r="I731" s="266"/>
      <c r="J731" s="272"/>
      <c r="K731" s="272"/>
      <c r="L731" s="272"/>
      <c r="M731" s="273"/>
      <c r="N731" s="273"/>
      <c r="O731" s="273"/>
      <c r="P731" s="27"/>
      <c r="Q731" s="27"/>
      <c r="R731" s="27"/>
      <c r="S731" s="22"/>
      <c r="T731" s="22"/>
      <c r="U731" s="28"/>
    </row>
    <row r="732">
      <c r="A732" s="189"/>
      <c r="B732" s="22"/>
      <c r="C732" s="22"/>
      <c r="D732" s="22"/>
      <c r="E732" s="22"/>
      <c r="F732" s="22"/>
      <c r="G732" s="22"/>
      <c r="H732" s="22"/>
      <c r="I732" s="266"/>
      <c r="J732" s="272"/>
      <c r="K732" s="272"/>
      <c r="L732" s="272"/>
      <c r="M732" s="273"/>
      <c r="N732" s="273"/>
      <c r="O732" s="273"/>
      <c r="P732" s="27"/>
      <c r="Q732" s="27"/>
      <c r="R732" s="27"/>
      <c r="S732" s="22"/>
      <c r="T732" s="22"/>
      <c r="U732" s="28"/>
    </row>
    <row r="733">
      <c r="A733" s="189"/>
      <c r="B733" s="22"/>
      <c r="C733" s="22"/>
      <c r="D733" s="22"/>
      <c r="E733" s="22"/>
      <c r="F733" s="22"/>
      <c r="G733" s="22"/>
      <c r="H733" s="22"/>
      <c r="I733" s="266"/>
      <c r="J733" s="272"/>
      <c r="K733" s="272"/>
      <c r="L733" s="272"/>
      <c r="M733" s="273"/>
      <c r="N733" s="273"/>
      <c r="O733" s="273"/>
      <c r="P733" s="27"/>
      <c r="Q733" s="27"/>
      <c r="R733" s="27"/>
      <c r="S733" s="22"/>
      <c r="T733" s="22"/>
      <c r="U733" s="28"/>
    </row>
    <row r="734">
      <c r="A734" s="189"/>
      <c r="B734" s="22"/>
      <c r="C734" s="22"/>
      <c r="D734" s="22"/>
      <c r="E734" s="22"/>
      <c r="F734" s="22"/>
      <c r="G734" s="22"/>
      <c r="H734" s="22"/>
      <c r="I734" s="266"/>
      <c r="J734" s="272"/>
      <c r="K734" s="272"/>
      <c r="L734" s="272"/>
      <c r="M734" s="273"/>
      <c r="N734" s="273"/>
      <c r="O734" s="273"/>
      <c r="P734" s="27"/>
      <c r="Q734" s="27"/>
      <c r="R734" s="27"/>
      <c r="S734" s="22"/>
      <c r="T734" s="22"/>
      <c r="U734" s="28"/>
    </row>
    <row r="735">
      <c r="A735" s="189"/>
      <c r="B735" s="22"/>
      <c r="C735" s="22"/>
      <c r="D735" s="22"/>
      <c r="E735" s="22"/>
      <c r="F735" s="22"/>
      <c r="G735" s="22"/>
      <c r="H735" s="22"/>
      <c r="I735" s="266"/>
      <c r="J735" s="272"/>
      <c r="K735" s="272"/>
      <c r="L735" s="272"/>
      <c r="M735" s="273"/>
      <c r="N735" s="273"/>
      <c r="O735" s="273"/>
      <c r="P735" s="27"/>
      <c r="Q735" s="27"/>
      <c r="R735" s="27"/>
      <c r="S735" s="22"/>
      <c r="T735" s="22"/>
      <c r="U735" s="28"/>
    </row>
    <row r="736">
      <c r="A736" s="189"/>
      <c r="B736" s="22"/>
      <c r="C736" s="22"/>
      <c r="D736" s="22"/>
      <c r="E736" s="22"/>
      <c r="F736" s="22"/>
      <c r="G736" s="22"/>
      <c r="H736" s="22"/>
      <c r="I736" s="266"/>
      <c r="J736" s="272"/>
      <c r="K736" s="272"/>
      <c r="L736" s="272"/>
      <c r="M736" s="273"/>
      <c r="N736" s="273"/>
      <c r="O736" s="273"/>
      <c r="P736" s="27"/>
      <c r="Q736" s="27"/>
      <c r="R736" s="27"/>
      <c r="S736" s="22"/>
      <c r="T736" s="22"/>
      <c r="U736" s="28"/>
    </row>
    <row r="737">
      <c r="A737" s="189"/>
      <c r="B737" s="22"/>
      <c r="C737" s="22"/>
      <c r="D737" s="22"/>
      <c r="E737" s="22"/>
      <c r="F737" s="22"/>
      <c r="G737" s="22"/>
      <c r="H737" s="22"/>
      <c r="I737" s="266"/>
      <c r="J737" s="272"/>
      <c r="K737" s="272"/>
      <c r="L737" s="272"/>
      <c r="M737" s="273"/>
      <c r="N737" s="273"/>
      <c r="O737" s="273"/>
      <c r="P737" s="27"/>
      <c r="Q737" s="27"/>
      <c r="R737" s="27"/>
      <c r="S737" s="22"/>
      <c r="T737" s="22"/>
      <c r="U737" s="28"/>
    </row>
    <row r="738">
      <c r="A738" s="189"/>
      <c r="B738" s="22"/>
      <c r="C738" s="22"/>
      <c r="D738" s="22"/>
      <c r="E738" s="22"/>
      <c r="F738" s="22"/>
      <c r="G738" s="22"/>
      <c r="H738" s="22"/>
      <c r="I738" s="266"/>
      <c r="J738" s="272"/>
      <c r="K738" s="272"/>
      <c r="L738" s="272"/>
      <c r="M738" s="273"/>
      <c r="N738" s="273"/>
      <c r="O738" s="273"/>
      <c r="P738" s="27"/>
      <c r="Q738" s="27"/>
      <c r="R738" s="27"/>
      <c r="S738" s="22"/>
      <c r="T738" s="22"/>
      <c r="U738" s="28"/>
    </row>
    <row r="739">
      <c r="A739" s="189"/>
      <c r="B739" s="22"/>
      <c r="C739" s="22"/>
      <c r="D739" s="22"/>
      <c r="E739" s="22"/>
      <c r="F739" s="22"/>
      <c r="G739" s="22"/>
      <c r="H739" s="22"/>
      <c r="I739" s="266"/>
      <c r="J739" s="272"/>
      <c r="K739" s="272"/>
      <c r="L739" s="272"/>
      <c r="M739" s="273"/>
      <c r="N739" s="273"/>
      <c r="O739" s="273"/>
      <c r="P739" s="27"/>
      <c r="Q739" s="27"/>
      <c r="R739" s="27"/>
      <c r="S739" s="22"/>
      <c r="T739" s="22"/>
      <c r="U739" s="28"/>
    </row>
    <row r="740">
      <c r="A740" s="189"/>
      <c r="B740" s="22"/>
      <c r="C740" s="22"/>
      <c r="D740" s="22"/>
      <c r="E740" s="22"/>
      <c r="F740" s="22"/>
      <c r="G740" s="22"/>
      <c r="H740" s="22"/>
      <c r="I740" s="266"/>
      <c r="J740" s="272"/>
      <c r="K740" s="272"/>
      <c r="L740" s="272"/>
      <c r="M740" s="273"/>
      <c r="N740" s="273"/>
      <c r="O740" s="273"/>
      <c r="P740" s="27"/>
      <c r="Q740" s="27"/>
      <c r="R740" s="27"/>
      <c r="S740" s="22"/>
      <c r="T740" s="22"/>
      <c r="U740" s="28"/>
    </row>
    <row r="741">
      <c r="A741" s="189"/>
      <c r="B741" s="22"/>
      <c r="C741" s="22"/>
      <c r="D741" s="22"/>
      <c r="E741" s="22"/>
      <c r="F741" s="22"/>
      <c r="G741" s="22"/>
      <c r="H741" s="22"/>
      <c r="I741" s="266"/>
      <c r="J741" s="272"/>
      <c r="K741" s="272"/>
      <c r="L741" s="272"/>
      <c r="M741" s="273"/>
      <c r="N741" s="273"/>
      <c r="O741" s="273"/>
      <c r="P741" s="27"/>
      <c r="Q741" s="27"/>
      <c r="R741" s="27"/>
      <c r="S741" s="22"/>
      <c r="T741" s="22"/>
      <c r="U741" s="28"/>
    </row>
    <row r="742">
      <c r="A742" s="189"/>
      <c r="B742" s="22"/>
      <c r="C742" s="22"/>
      <c r="D742" s="22"/>
      <c r="E742" s="22"/>
      <c r="F742" s="22"/>
      <c r="G742" s="22"/>
      <c r="H742" s="22"/>
      <c r="I742" s="266"/>
      <c r="J742" s="272"/>
      <c r="K742" s="272"/>
      <c r="L742" s="272"/>
      <c r="M742" s="273"/>
      <c r="N742" s="273"/>
      <c r="O742" s="273"/>
      <c r="P742" s="27"/>
      <c r="Q742" s="27"/>
      <c r="R742" s="27"/>
      <c r="S742" s="22"/>
      <c r="T742" s="22"/>
      <c r="U742" s="28"/>
    </row>
    <row r="743">
      <c r="A743" s="189"/>
      <c r="B743" s="22"/>
      <c r="C743" s="22"/>
      <c r="D743" s="22"/>
      <c r="E743" s="22"/>
      <c r="F743" s="22"/>
      <c r="G743" s="22"/>
      <c r="H743" s="22"/>
      <c r="I743" s="266"/>
      <c r="J743" s="272"/>
      <c r="K743" s="272"/>
      <c r="L743" s="272"/>
      <c r="M743" s="273"/>
      <c r="N743" s="273"/>
      <c r="O743" s="273"/>
      <c r="P743" s="27"/>
      <c r="Q743" s="27"/>
      <c r="R743" s="27"/>
      <c r="S743" s="22"/>
      <c r="T743" s="22"/>
      <c r="U743" s="28"/>
    </row>
    <row r="744">
      <c r="A744" s="189"/>
      <c r="B744" s="22"/>
      <c r="C744" s="22"/>
      <c r="D744" s="22"/>
      <c r="E744" s="22"/>
      <c r="F744" s="22"/>
      <c r="G744" s="22"/>
      <c r="H744" s="22"/>
      <c r="I744" s="266"/>
      <c r="J744" s="272"/>
      <c r="K744" s="272"/>
      <c r="L744" s="272"/>
      <c r="M744" s="273"/>
      <c r="N744" s="273"/>
      <c r="O744" s="273"/>
      <c r="P744" s="27"/>
      <c r="Q744" s="27"/>
      <c r="R744" s="27"/>
      <c r="S744" s="22"/>
      <c r="T744" s="22"/>
      <c r="U744" s="28"/>
    </row>
    <row r="745">
      <c r="A745" s="189"/>
      <c r="B745" s="22"/>
      <c r="C745" s="22"/>
      <c r="D745" s="22"/>
      <c r="E745" s="22"/>
      <c r="F745" s="22"/>
      <c r="G745" s="22"/>
      <c r="H745" s="22"/>
      <c r="I745" s="266"/>
      <c r="J745" s="272"/>
      <c r="K745" s="272"/>
      <c r="L745" s="272"/>
      <c r="M745" s="273"/>
      <c r="N745" s="273"/>
      <c r="O745" s="273"/>
      <c r="P745" s="27"/>
      <c r="Q745" s="27"/>
      <c r="R745" s="27"/>
      <c r="S745" s="22"/>
      <c r="T745" s="22"/>
      <c r="U745" s="28"/>
    </row>
    <row r="746">
      <c r="A746" s="189"/>
      <c r="B746" s="22"/>
      <c r="C746" s="22"/>
      <c r="D746" s="22"/>
      <c r="E746" s="22"/>
      <c r="F746" s="22"/>
      <c r="G746" s="22"/>
      <c r="H746" s="22"/>
      <c r="I746" s="266"/>
      <c r="J746" s="272"/>
      <c r="K746" s="272"/>
      <c r="L746" s="272"/>
      <c r="M746" s="273"/>
      <c r="N746" s="273"/>
      <c r="O746" s="273"/>
      <c r="P746" s="27"/>
      <c r="Q746" s="27"/>
      <c r="R746" s="27"/>
      <c r="S746" s="22"/>
      <c r="T746" s="22"/>
      <c r="U746" s="28"/>
    </row>
    <row r="747">
      <c r="A747" s="189"/>
      <c r="B747" s="22"/>
      <c r="C747" s="22"/>
      <c r="D747" s="22"/>
      <c r="E747" s="22"/>
      <c r="F747" s="22"/>
      <c r="G747" s="22"/>
      <c r="H747" s="22"/>
      <c r="I747" s="266"/>
      <c r="J747" s="272"/>
      <c r="K747" s="272"/>
      <c r="L747" s="272"/>
      <c r="M747" s="273"/>
      <c r="N747" s="273"/>
      <c r="O747" s="273"/>
      <c r="P747" s="27"/>
      <c r="Q747" s="27"/>
      <c r="R747" s="27"/>
      <c r="S747" s="22"/>
      <c r="T747" s="22"/>
      <c r="U747" s="28"/>
    </row>
    <row r="748">
      <c r="A748" s="189"/>
      <c r="B748" s="22"/>
      <c r="C748" s="22"/>
      <c r="D748" s="22"/>
      <c r="E748" s="22"/>
      <c r="F748" s="22"/>
      <c r="G748" s="22"/>
      <c r="H748" s="22"/>
      <c r="I748" s="266"/>
      <c r="J748" s="272"/>
      <c r="K748" s="272"/>
      <c r="L748" s="272"/>
      <c r="M748" s="273"/>
      <c r="N748" s="273"/>
      <c r="O748" s="273"/>
      <c r="P748" s="27"/>
      <c r="Q748" s="27"/>
      <c r="R748" s="27"/>
      <c r="S748" s="22"/>
      <c r="T748" s="22"/>
      <c r="U748" s="28"/>
    </row>
    <row r="749">
      <c r="A749" s="189"/>
      <c r="B749" s="22"/>
      <c r="C749" s="22"/>
      <c r="D749" s="22"/>
      <c r="E749" s="22"/>
      <c r="F749" s="22"/>
      <c r="G749" s="22"/>
      <c r="H749" s="22"/>
      <c r="I749" s="266"/>
      <c r="J749" s="272"/>
      <c r="K749" s="272"/>
      <c r="L749" s="272"/>
      <c r="M749" s="273"/>
      <c r="N749" s="273"/>
      <c r="O749" s="273"/>
      <c r="P749" s="27"/>
      <c r="Q749" s="27"/>
      <c r="R749" s="27"/>
      <c r="S749" s="22"/>
      <c r="T749" s="22"/>
      <c r="U749" s="28"/>
    </row>
    <row r="750">
      <c r="A750" s="189"/>
      <c r="B750" s="22"/>
      <c r="C750" s="22"/>
      <c r="D750" s="22"/>
      <c r="E750" s="22"/>
      <c r="F750" s="22"/>
      <c r="G750" s="22"/>
      <c r="H750" s="22"/>
      <c r="I750" s="266"/>
      <c r="J750" s="272"/>
      <c r="K750" s="272"/>
      <c r="L750" s="272"/>
      <c r="M750" s="273"/>
      <c r="N750" s="273"/>
      <c r="O750" s="273"/>
      <c r="P750" s="27"/>
      <c r="Q750" s="27"/>
      <c r="R750" s="27"/>
      <c r="S750" s="22"/>
      <c r="T750" s="22"/>
      <c r="U750" s="28"/>
    </row>
    <row r="751">
      <c r="A751" s="189"/>
      <c r="B751" s="22"/>
      <c r="C751" s="22"/>
      <c r="D751" s="22"/>
      <c r="E751" s="22"/>
      <c r="F751" s="22"/>
      <c r="G751" s="22"/>
      <c r="H751" s="22"/>
      <c r="I751" s="266"/>
      <c r="J751" s="272"/>
      <c r="K751" s="272"/>
      <c r="L751" s="272"/>
      <c r="M751" s="273"/>
      <c r="N751" s="273"/>
      <c r="O751" s="273"/>
      <c r="P751" s="27"/>
      <c r="Q751" s="27"/>
      <c r="R751" s="27"/>
      <c r="S751" s="22"/>
      <c r="T751" s="22"/>
      <c r="U751" s="28"/>
    </row>
    <row r="752">
      <c r="A752" s="189"/>
      <c r="B752" s="22"/>
      <c r="C752" s="22"/>
      <c r="D752" s="22"/>
      <c r="E752" s="22"/>
      <c r="F752" s="22"/>
      <c r="G752" s="22"/>
      <c r="H752" s="22"/>
      <c r="I752" s="266"/>
      <c r="J752" s="272"/>
      <c r="K752" s="272"/>
      <c r="L752" s="272"/>
      <c r="M752" s="273"/>
      <c r="N752" s="273"/>
      <c r="O752" s="273"/>
      <c r="P752" s="27"/>
      <c r="Q752" s="27"/>
      <c r="R752" s="27"/>
      <c r="S752" s="22"/>
      <c r="T752" s="22"/>
      <c r="U752" s="28"/>
    </row>
    <row r="753">
      <c r="A753" s="189"/>
      <c r="B753" s="22"/>
      <c r="C753" s="22"/>
      <c r="D753" s="22"/>
      <c r="E753" s="22"/>
      <c r="F753" s="22"/>
      <c r="G753" s="22"/>
      <c r="H753" s="22"/>
      <c r="I753" s="266"/>
      <c r="J753" s="272"/>
      <c r="K753" s="272"/>
      <c r="L753" s="272"/>
      <c r="M753" s="273"/>
      <c r="N753" s="273"/>
      <c r="O753" s="273"/>
      <c r="P753" s="27"/>
      <c r="Q753" s="27"/>
      <c r="R753" s="27"/>
      <c r="S753" s="22"/>
      <c r="T753" s="22"/>
      <c r="U753" s="28"/>
    </row>
    <row r="754">
      <c r="A754" s="189"/>
      <c r="B754" s="22"/>
      <c r="C754" s="22"/>
      <c r="D754" s="22"/>
      <c r="E754" s="22"/>
      <c r="F754" s="22"/>
      <c r="G754" s="22"/>
      <c r="H754" s="22"/>
      <c r="I754" s="266"/>
      <c r="J754" s="272"/>
      <c r="K754" s="272"/>
      <c r="L754" s="272"/>
      <c r="M754" s="273"/>
      <c r="N754" s="273"/>
      <c r="O754" s="273"/>
      <c r="P754" s="27"/>
      <c r="Q754" s="27"/>
      <c r="R754" s="27"/>
      <c r="S754" s="22"/>
      <c r="T754" s="22"/>
      <c r="U754" s="28"/>
    </row>
    <row r="755">
      <c r="A755" s="189"/>
      <c r="B755" s="22"/>
      <c r="C755" s="22"/>
      <c r="D755" s="22"/>
      <c r="E755" s="22"/>
      <c r="F755" s="22"/>
      <c r="G755" s="22"/>
      <c r="H755" s="22"/>
      <c r="I755" s="266"/>
      <c r="J755" s="272"/>
      <c r="K755" s="272"/>
      <c r="L755" s="272"/>
      <c r="M755" s="273"/>
      <c r="N755" s="273"/>
      <c r="O755" s="273"/>
      <c r="P755" s="27"/>
      <c r="Q755" s="27"/>
      <c r="R755" s="27"/>
      <c r="S755" s="22"/>
      <c r="T755" s="22"/>
      <c r="U755" s="28"/>
    </row>
    <row r="756">
      <c r="A756" s="189"/>
      <c r="B756" s="22"/>
      <c r="C756" s="22"/>
      <c r="D756" s="22"/>
      <c r="E756" s="22"/>
      <c r="F756" s="22"/>
      <c r="G756" s="22"/>
      <c r="H756" s="22"/>
      <c r="I756" s="266"/>
      <c r="J756" s="272"/>
      <c r="K756" s="272"/>
      <c r="L756" s="272"/>
      <c r="M756" s="273"/>
      <c r="N756" s="273"/>
      <c r="O756" s="273"/>
      <c r="P756" s="27"/>
      <c r="Q756" s="27"/>
      <c r="R756" s="27"/>
      <c r="S756" s="22"/>
      <c r="T756" s="22"/>
      <c r="U756" s="28"/>
    </row>
    <row r="757">
      <c r="A757" s="189"/>
      <c r="B757" s="22"/>
      <c r="C757" s="22"/>
      <c r="D757" s="22"/>
      <c r="E757" s="22"/>
      <c r="F757" s="22"/>
      <c r="G757" s="22"/>
      <c r="H757" s="22"/>
      <c r="I757" s="266"/>
      <c r="J757" s="272"/>
      <c r="K757" s="272"/>
      <c r="L757" s="272"/>
      <c r="M757" s="273"/>
      <c r="N757" s="273"/>
      <c r="O757" s="273"/>
      <c r="P757" s="27"/>
      <c r="Q757" s="27"/>
      <c r="R757" s="27"/>
      <c r="S757" s="22"/>
      <c r="T757" s="22"/>
      <c r="U757" s="28"/>
    </row>
    <row r="758">
      <c r="A758" s="189"/>
      <c r="B758" s="22"/>
      <c r="C758" s="22"/>
      <c r="D758" s="22"/>
      <c r="E758" s="22"/>
      <c r="F758" s="22"/>
      <c r="G758" s="22"/>
      <c r="H758" s="22"/>
      <c r="I758" s="266"/>
      <c r="J758" s="272"/>
      <c r="K758" s="272"/>
      <c r="L758" s="272"/>
      <c r="M758" s="273"/>
      <c r="N758" s="273"/>
      <c r="O758" s="273"/>
      <c r="P758" s="27"/>
      <c r="Q758" s="27"/>
      <c r="R758" s="27"/>
      <c r="S758" s="22"/>
      <c r="T758" s="22"/>
      <c r="U758" s="28"/>
    </row>
    <row r="759">
      <c r="A759" s="189"/>
      <c r="B759" s="22"/>
      <c r="C759" s="22"/>
      <c r="D759" s="22"/>
      <c r="E759" s="22"/>
      <c r="F759" s="22"/>
      <c r="G759" s="22"/>
      <c r="H759" s="22"/>
      <c r="I759" s="266"/>
      <c r="J759" s="272"/>
      <c r="K759" s="272"/>
      <c r="L759" s="272"/>
      <c r="M759" s="273"/>
      <c r="N759" s="273"/>
      <c r="O759" s="273"/>
      <c r="P759" s="27"/>
      <c r="Q759" s="27"/>
      <c r="R759" s="27"/>
      <c r="S759" s="22"/>
      <c r="T759" s="22"/>
      <c r="U759" s="28"/>
    </row>
    <row r="760">
      <c r="A760" s="189"/>
      <c r="B760" s="22"/>
      <c r="C760" s="22"/>
      <c r="D760" s="22"/>
      <c r="E760" s="22"/>
      <c r="F760" s="22"/>
      <c r="G760" s="22"/>
      <c r="H760" s="22"/>
      <c r="I760" s="266"/>
      <c r="J760" s="272"/>
      <c r="K760" s="272"/>
      <c r="L760" s="272"/>
      <c r="M760" s="273"/>
      <c r="N760" s="273"/>
      <c r="O760" s="273"/>
      <c r="P760" s="27"/>
      <c r="Q760" s="27"/>
      <c r="R760" s="27"/>
      <c r="S760" s="22"/>
      <c r="T760" s="22"/>
      <c r="U760" s="28"/>
    </row>
    <row r="761">
      <c r="A761" s="189"/>
      <c r="B761" s="22"/>
      <c r="C761" s="22"/>
      <c r="D761" s="22"/>
      <c r="E761" s="22"/>
      <c r="F761" s="22"/>
      <c r="G761" s="22"/>
      <c r="H761" s="22"/>
      <c r="I761" s="266"/>
      <c r="J761" s="272"/>
      <c r="K761" s="272"/>
      <c r="L761" s="272"/>
      <c r="M761" s="273"/>
      <c r="N761" s="273"/>
      <c r="O761" s="273"/>
      <c r="P761" s="27"/>
      <c r="Q761" s="27"/>
      <c r="R761" s="27"/>
      <c r="S761" s="22"/>
      <c r="T761" s="22"/>
      <c r="U761" s="28"/>
    </row>
    <row r="762">
      <c r="A762" s="189"/>
      <c r="B762" s="22"/>
      <c r="C762" s="22"/>
      <c r="D762" s="22"/>
      <c r="E762" s="22"/>
      <c r="F762" s="22"/>
      <c r="G762" s="22"/>
      <c r="H762" s="22"/>
      <c r="I762" s="266"/>
      <c r="J762" s="272"/>
      <c r="K762" s="272"/>
      <c r="L762" s="272"/>
      <c r="M762" s="273"/>
      <c r="N762" s="273"/>
      <c r="O762" s="273"/>
      <c r="P762" s="27"/>
      <c r="Q762" s="27"/>
      <c r="R762" s="27"/>
      <c r="S762" s="22"/>
      <c r="T762" s="22"/>
      <c r="U762" s="28"/>
    </row>
    <row r="763">
      <c r="A763" s="189"/>
      <c r="B763" s="22"/>
      <c r="C763" s="22"/>
      <c r="D763" s="22"/>
      <c r="E763" s="22"/>
      <c r="F763" s="22"/>
      <c r="G763" s="22"/>
      <c r="H763" s="22"/>
      <c r="I763" s="266"/>
      <c r="J763" s="272"/>
      <c r="K763" s="272"/>
      <c r="L763" s="272"/>
      <c r="M763" s="273"/>
      <c r="N763" s="273"/>
      <c r="O763" s="273"/>
      <c r="P763" s="27"/>
      <c r="Q763" s="27"/>
      <c r="R763" s="27"/>
      <c r="S763" s="22"/>
      <c r="T763" s="22"/>
      <c r="U763" s="28"/>
    </row>
    <row r="764">
      <c r="A764" s="189"/>
      <c r="B764" s="22"/>
      <c r="C764" s="22"/>
      <c r="D764" s="22"/>
      <c r="E764" s="22"/>
      <c r="F764" s="22"/>
      <c r="G764" s="22"/>
      <c r="H764" s="22"/>
      <c r="I764" s="266"/>
      <c r="J764" s="272"/>
      <c r="K764" s="272"/>
      <c r="L764" s="272"/>
      <c r="M764" s="273"/>
      <c r="N764" s="273"/>
      <c r="O764" s="273"/>
      <c r="P764" s="27"/>
      <c r="Q764" s="27"/>
      <c r="R764" s="27"/>
      <c r="S764" s="22"/>
      <c r="T764" s="22"/>
      <c r="U764" s="28"/>
    </row>
    <row r="765">
      <c r="A765" s="189"/>
      <c r="B765" s="22"/>
      <c r="C765" s="22"/>
      <c r="D765" s="22"/>
      <c r="E765" s="22"/>
      <c r="F765" s="22"/>
      <c r="G765" s="22"/>
      <c r="H765" s="22"/>
      <c r="I765" s="266"/>
      <c r="J765" s="272"/>
      <c r="K765" s="272"/>
      <c r="L765" s="272"/>
      <c r="M765" s="273"/>
      <c r="N765" s="273"/>
      <c r="O765" s="273"/>
      <c r="P765" s="27"/>
      <c r="Q765" s="27"/>
      <c r="R765" s="27"/>
      <c r="S765" s="22"/>
      <c r="T765" s="22"/>
      <c r="U765" s="28"/>
    </row>
    <row r="766">
      <c r="A766" s="189"/>
      <c r="B766" s="22"/>
      <c r="C766" s="22"/>
      <c r="D766" s="22"/>
      <c r="E766" s="22"/>
      <c r="F766" s="22"/>
      <c r="G766" s="22"/>
      <c r="H766" s="22"/>
      <c r="I766" s="266"/>
      <c r="J766" s="272"/>
      <c r="K766" s="272"/>
      <c r="L766" s="272"/>
      <c r="M766" s="273"/>
      <c r="N766" s="273"/>
      <c r="O766" s="273"/>
      <c r="P766" s="27"/>
      <c r="Q766" s="27"/>
      <c r="R766" s="27"/>
      <c r="S766" s="22"/>
      <c r="T766" s="22"/>
      <c r="U766" s="28"/>
    </row>
    <row r="767">
      <c r="A767" s="189"/>
      <c r="B767" s="22"/>
      <c r="C767" s="22"/>
      <c r="D767" s="22"/>
      <c r="E767" s="22"/>
      <c r="F767" s="22"/>
      <c r="G767" s="22"/>
      <c r="H767" s="22"/>
      <c r="I767" s="266"/>
      <c r="J767" s="272"/>
      <c r="K767" s="272"/>
      <c r="L767" s="272"/>
      <c r="M767" s="273"/>
      <c r="N767" s="273"/>
      <c r="O767" s="273"/>
      <c r="P767" s="27"/>
      <c r="Q767" s="27"/>
      <c r="R767" s="27"/>
      <c r="S767" s="22"/>
      <c r="T767" s="22"/>
      <c r="U767" s="28"/>
    </row>
    <row r="768">
      <c r="A768" s="189"/>
      <c r="B768" s="22"/>
      <c r="C768" s="22"/>
      <c r="D768" s="22"/>
      <c r="E768" s="22"/>
      <c r="F768" s="22"/>
      <c r="G768" s="22"/>
      <c r="H768" s="22"/>
      <c r="I768" s="266"/>
      <c r="J768" s="272"/>
      <c r="K768" s="272"/>
      <c r="L768" s="272"/>
      <c r="M768" s="273"/>
      <c r="N768" s="273"/>
      <c r="O768" s="273"/>
      <c r="P768" s="27"/>
      <c r="Q768" s="27"/>
      <c r="R768" s="27"/>
      <c r="S768" s="22"/>
      <c r="T768" s="22"/>
      <c r="U768" s="28"/>
    </row>
    <row r="769">
      <c r="A769" s="189"/>
      <c r="B769" s="22"/>
      <c r="C769" s="22"/>
      <c r="D769" s="22"/>
      <c r="E769" s="22"/>
      <c r="F769" s="22"/>
      <c r="G769" s="22"/>
      <c r="H769" s="22"/>
      <c r="I769" s="266"/>
      <c r="J769" s="272"/>
      <c r="K769" s="272"/>
      <c r="L769" s="272"/>
      <c r="M769" s="273"/>
      <c r="N769" s="273"/>
      <c r="O769" s="273"/>
      <c r="P769" s="27"/>
      <c r="Q769" s="27"/>
      <c r="R769" s="27"/>
      <c r="S769" s="22"/>
      <c r="T769" s="22"/>
      <c r="U769" s="28"/>
    </row>
    <row r="770">
      <c r="A770" s="189"/>
      <c r="B770" s="22"/>
      <c r="C770" s="22"/>
      <c r="D770" s="22"/>
      <c r="E770" s="22"/>
      <c r="F770" s="22"/>
      <c r="G770" s="22"/>
      <c r="H770" s="22"/>
      <c r="I770" s="266"/>
      <c r="J770" s="272"/>
      <c r="K770" s="272"/>
      <c r="L770" s="272"/>
      <c r="M770" s="273"/>
      <c r="N770" s="273"/>
      <c r="O770" s="273"/>
      <c r="P770" s="27"/>
      <c r="Q770" s="27"/>
      <c r="R770" s="27"/>
      <c r="S770" s="22"/>
      <c r="T770" s="22"/>
      <c r="U770" s="28"/>
    </row>
    <row r="771">
      <c r="A771" s="189"/>
      <c r="B771" s="22"/>
      <c r="C771" s="22"/>
      <c r="D771" s="22"/>
      <c r="E771" s="22"/>
      <c r="F771" s="22"/>
      <c r="G771" s="22"/>
      <c r="H771" s="22"/>
      <c r="I771" s="266"/>
      <c r="J771" s="272"/>
      <c r="K771" s="272"/>
      <c r="L771" s="272"/>
      <c r="M771" s="273"/>
      <c r="N771" s="273"/>
      <c r="O771" s="273"/>
      <c r="P771" s="27"/>
      <c r="Q771" s="27"/>
      <c r="R771" s="27"/>
      <c r="S771" s="22"/>
      <c r="T771" s="22"/>
      <c r="U771" s="28"/>
    </row>
    <row r="772">
      <c r="A772" s="189"/>
      <c r="B772" s="22"/>
      <c r="C772" s="22"/>
      <c r="D772" s="22"/>
      <c r="E772" s="22"/>
      <c r="F772" s="22"/>
      <c r="G772" s="22"/>
      <c r="H772" s="22"/>
      <c r="I772" s="266"/>
      <c r="J772" s="272"/>
      <c r="K772" s="272"/>
      <c r="L772" s="272"/>
      <c r="M772" s="273"/>
      <c r="N772" s="273"/>
      <c r="O772" s="273"/>
      <c r="P772" s="27"/>
      <c r="Q772" s="27"/>
      <c r="R772" s="27"/>
      <c r="S772" s="22"/>
      <c r="T772" s="22"/>
      <c r="U772" s="28"/>
    </row>
    <row r="773">
      <c r="A773" s="189"/>
      <c r="B773" s="22"/>
      <c r="C773" s="22"/>
      <c r="D773" s="22"/>
      <c r="E773" s="22"/>
      <c r="F773" s="22"/>
      <c r="G773" s="22"/>
      <c r="H773" s="22"/>
      <c r="I773" s="266"/>
      <c r="J773" s="272"/>
      <c r="K773" s="272"/>
      <c r="L773" s="272"/>
      <c r="M773" s="273"/>
      <c r="N773" s="273"/>
      <c r="O773" s="273"/>
      <c r="P773" s="27"/>
      <c r="Q773" s="27"/>
      <c r="R773" s="27"/>
      <c r="S773" s="22"/>
      <c r="T773" s="22"/>
      <c r="U773" s="28"/>
    </row>
    <row r="774">
      <c r="A774" s="189"/>
      <c r="B774" s="22"/>
      <c r="C774" s="22"/>
      <c r="D774" s="22"/>
      <c r="E774" s="22"/>
      <c r="F774" s="22"/>
      <c r="G774" s="22"/>
      <c r="H774" s="22"/>
      <c r="I774" s="266"/>
      <c r="J774" s="272"/>
      <c r="K774" s="272"/>
      <c r="L774" s="272"/>
      <c r="M774" s="273"/>
      <c r="N774" s="273"/>
      <c r="O774" s="273"/>
      <c r="P774" s="27"/>
      <c r="Q774" s="27"/>
      <c r="R774" s="27"/>
      <c r="S774" s="22"/>
      <c r="T774" s="22"/>
      <c r="U774" s="28"/>
    </row>
    <row r="775">
      <c r="A775" s="189"/>
      <c r="B775" s="22"/>
      <c r="C775" s="22"/>
      <c r="D775" s="22"/>
      <c r="E775" s="22"/>
      <c r="F775" s="22"/>
      <c r="G775" s="22"/>
      <c r="H775" s="22"/>
      <c r="I775" s="266"/>
      <c r="J775" s="272"/>
      <c r="K775" s="272"/>
      <c r="L775" s="272"/>
      <c r="M775" s="273"/>
      <c r="N775" s="273"/>
      <c r="O775" s="273"/>
      <c r="P775" s="27"/>
      <c r="Q775" s="27"/>
      <c r="R775" s="27"/>
      <c r="S775" s="22"/>
      <c r="T775" s="22"/>
      <c r="U775" s="28"/>
    </row>
    <row r="776">
      <c r="A776" s="189"/>
      <c r="B776" s="22"/>
      <c r="C776" s="22"/>
      <c r="D776" s="22"/>
      <c r="E776" s="22"/>
      <c r="F776" s="22"/>
      <c r="G776" s="22"/>
      <c r="H776" s="22"/>
      <c r="I776" s="266"/>
      <c r="J776" s="272"/>
      <c r="K776" s="272"/>
      <c r="L776" s="272"/>
      <c r="M776" s="273"/>
      <c r="N776" s="273"/>
      <c r="O776" s="273"/>
      <c r="P776" s="27"/>
      <c r="Q776" s="27"/>
      <c r="R776" s="27"/>
      <c r="S776" s="22"/>
      <c r="T776" s="22"/>
      <c r="U776" s="28"/>
    </row>
    <row r="777">
      <c r="A777" s="189"/>
      <c r="B777" s="22"/>
      <c r="C777" s="22"/>
      <c r="D777" s="22"/>
      <c r="E777" s="22"/>
      <c r="F777" s="22"/>
      <c r="G777" s="22"/>
      <c r="H777" s="22"/>
      <c r="I777" s="266"/>
      <c r="J777" s="272"/>
      <c r="K777" s="272"/>
      <c r="L777" s="272"/>
      <c r="M777" s="273"/>
      <c r="N777" s="273"/>
      <c r="O777" s="273"/>
      <c r="P777" s="27"/>
      <c r="Q777" s="27"/>
      <c r="R777" s="27"/>
      <c r="S777" s="22"/>
      <c r="T777" s="22"/>
      <c r="U777" s="28"/>
    </row>
    <row r="778">
      <c r="A778" s="189"/>
      <c r="B778" s="22"/>
      <c r="C778" s="22"/>
      <c r="D778" s="22"/>
      <c r="E778" s="22"/>
      <c r="F778" s="22"/>
      <c r="G778" s="22"/>
      <c r="H778" s="22"/>
      <c r="I778" s="266"/>
      <c r="J778" s="272"/>
      <c r="K778" s="272"/>
      <c r="L778" s="272"/>
      <c r="M778" s="273"/>
      <c r="N778" s="273"/>
      <c r="O778" s="273"/>
      <c r="P778" s="27"/>
      <c r="Q778" s="27"/>
      <c r="R778" s="27"/>
      <c r="S778" s="22"/>
      <c r="T778" s="22"/>
      <c r="U778" s="28"/>
    </row>
    <row r="779">
      <c r="A779" s="189"/>
      <c r="B779" s="22"/>
      <c r="C779" s="22"/>
      <c r="D779" s="22"/>
      <c r="E779" s="22"/>
      <c r="F779" s="22"/>
      <c r="G779" s="22"/>
      <c r="H779" s="22"/>
      <c r="I779" s="266"/>
      <c r="J779" s="272"/>
      <c r="K779" s="272"/>
      <c r="L779" s="272"/>
      <c r="M779" s="273"/>
      <c r="N779" s="273"/>
      <c r="O779" s="273"/>
      <c r="P779" s="27"/>
      <c r="Q779" s="27"/>
      <c r="R779" s="27"/>
      <c r="S779" s="22"/>
      <c r="T779" s="22"/>
      <c r="U779" s="28"/>
    </row>
    <row r="780">
      <c r="A780" s="189"/>
      <c r="B780" s="22"/>
      <c r="C780" s="22"/>
      <c r="D780" s="22"/>
      <c r="E780" s="22"/>
      <c r="F780" s="22"/>
      <c r="G780" s="22"/>
      <c r="H780" s="22"/>
      <c r="I780" s="266"/>
      <c r="J780" s="272"/>
      <c r="K780" s="272"/>
      <c r="L780" s="272"/>
      <c r="M780" s="273"/>
      <c r="N780" s="273"/>
      <c r="O780" s="273"/>
      <c r="P780" s="27"/>
      <c r="Q780" s="27"/>
      <c r="R780" s="27"/>
      <c r="S780" s="22"/>
      <c r="T780" s="22"/>
      <c r="U780" s="28"/>
    </row>
    <row r="781">
      <c r="A781" s="189"/>
      <c r="B781" s="22"/>
      <c r="C781" s="22"/>
      <c r="D781" s="22"/>
      <c r="E781" s="22"/>
      <c r="F781" s="22"/>
      <c r="G781" s="22"/>
      <c r="H781" s="22"/>
      <c r="I781" s="266"/>
      <c r="J781" s="272"/>
      <c r="K781" s="272"/>
      <c r="L781" s="272"/>
      <c r="M781" s="273"/>
      <c r="N781" s="273"/>
      <c r="O781" s="273"/>
      <c r="P781" s="27"/>
      <c r="Q781" s="27"/>
      <c r="R781" s="27"/>
      <c r="S781" s="22"/>
      <c r="T781" s="22"/>
      <c r="U781" s="28"/>
    </row>
    <row r="782">
      <c r="A782" s="189"/>
      <c r="B782" s="22"/>
      <c r="C782" s="22"/>
      <c r="D782" s="22"/>
      <c r="E782" s="22"/>
      <c r="F782" s="22"/>
      <c r="G782" s="22"/>
      <c r="H782" s="22"/>
      <c r="I782" s="266"/>
      <c r="J782" s="272"/>
      <c r="K782" s="272"/>
      <c r="L782" s="272"/>
      <c r="M782" s="273"/>
      <c r="N782" s="273"/>
      <c r="O782" s="273"/>
      <c r="P782" s="27"/>
      <c r="Q782" s="27"/>
      <c r="R782" s="27"/>
      <c r="S782" s="22"/>
      <c r="T782" s="22"/>
      <c r="U782" s="28"/>
    </row>
    <row r="783">
      <c r="A783" s="189"/>
      <c r="B783" s="22"/>
      <c r="C783" s="22"/>
      <c r="D783" s="22"/>
      <c r="E783" s="22"/>
      <c r="F783" s="22"/>
      <c r="G783" s="22"/>
      <c r="H783" s="22"/>
      <c r="I783" s="266"/>
      <c r="J783" s="272"/>
      <c r="K783" s="272"/>
      <c r="L783" s="272"/>
      <c r="M783" s="273"/>
      <c r="N783" s="273"/>
      <c r="O783" s="273"/>
      <c r="P783" s="27"/>
      <c r="Q783" s="27"/>
      <c r="R783" s="27"/>
      <c r="S783" s="22"/>
      <c r="T783" s="22"/>
      <c r="U783" s="28"/>
    </row>
    <row r="784">
      <c r="A784" s="189"/>
      <c r="B784" s="22"/>
      <c r="C784" s="22"/>
      <c r="D784" s="22"/>
      <c r="E784" s="22"/>
      <c r="F784" s="22"/>
      <c r="G784" s="22"/>
      <c r="H784" s="22"/>
      <c r="I784" s="266"/>
      <c r="J784" s="272"/>
      <c r="K784" s="272"/>
      <c r="L784" s="272"/>
      <c r="M784" s="273"/>
      <c r="N784" s="273"/>
      <c r="O784" s="273"/>
      <c r="P784" s="27"/>
      <c r="Q784" s="27"/>
      <c r="R784" s="27"/>
      <c r="S784" s="22"/>
      <c r="T784" s="22"/>
      <c r="U784" s="28"/>
    </row>
    <row r="785">
      <c r="A785" s="189"/>
      <c r="B785" s="22"/>
      <c r="C785" s="22"/>
      <c r="D785" s="22"/>
      <c r="E785" s="22"/>
      <c r="F785" s="22"/>
      <c r="G785" s="22"/>
      <c r="H785" s="22"/>
      <c r="I785" s="266"/>
      <c r="J785" s="272"/>
      <c r="K785" s="272"/>
      <c r="L785" s="272"/>
      <c r="M785" s="273"/>
      <c r="N785" s="273"/>
      <c r="O785" s="273"/>
      <c r="P785" s="27"/>
      <c r="Q785" s="27"/>
      <c r="R785" s="27"/>
      <c r="S785" s="22"/>
      <c r="T785" s="22"/>
      <c r="U785" s="28"/>
    </row>
    <row r="786">
      <c r="A786" s="189"/>
      <c r="B786" s="22"/>
      <c r="C786" s="22"/>
      <c r="D786" s="22"/>
      <c r="E786" s="22"/>
      <c r="F786" s="22"/>
      <c r="G786" s="22"/>
      <c r="H786" s="22"/>
      <c r="I786" s="266"/>
      <c r="J786" s="272"/>
      <c r="K786" s="272"/>
      <c r="L786" s="272"/>
      <c r="M786" s="273"/>
      <c r="N786" s="273"/>
      <c r="O786" s="273"/>
      <c r="P786" s="27"/>
      <c r="Q786" s="27"/>
      <c r="R786" s="27"/>
      <c r="S786" s="22"/>
      <c r="T786" s="22"/>
      <c r="U786" s="28"/>
    </row>
    <row r="787">
      <c r="A787" s="189"/>
      <c r="B787" s="22"/>
      <c r="C787" s="22"/>
      <c r="D787" s="22"/>
      <c r="E787" s="22"/>
      <c r="F787" s="22"/>
      <c r="G787" s="22"/>
      <c r="H787" s="22"/>
      <c r="I787" s="266"/>
      <c r="J787" s="272"/>
      <c r="K787" s="272"/>
      <c r="L787" s="272"/>
      <c r="M787" s="273"/>
      <c r="N787" s="273"/>
      <c r="O787" s="273"/>
      <c r="P787" s="27"/>
      <c r="Q787" s="27"/>
      <c r="R787" s="27"/>
      <c r="S787" s="22"/>
      <c r="T787" s="22"/>
      <c r="U787" s="28"/>
    </row>
    <row r="788">
      <c r="A788" s="189"/>
      <c r="B788" s="22"/>
      <c r="C788" s="22"/>
      <c r="D788" s="22"/>
      <c r="E788" s="22"/>
      <c r="F788" s="22"/>
      <c r="G788" s="22"/>
      <c r="H788" s="22"/>
      <c r="I788" s="266"/>
      <c r="J788" s="272"/>
      <c r="K788" s="272"/>
      <c r="L788" s="272"/>
      <c r="M788" s="273"/>
      <c r="N788" s="273"/>
      <c r="O788" s="273"/>
      <c r="P788" s="27"/>
      <c r="Q788" s="27"/>
      <c r="R788" s="27"/>
      <c r="S788" s="22"/>
      <c r="T788" s="22"/>
      <c r="U788" s="28"/>
    </row>
    <row r="789">
      <c r="A789" s="189"/>
      <c r="B789" s="22"/>
      <c r="C789" s="22"/>
      <c r="D789" s="22"/>
      <c r="E789" s="22"/>
      <c r="F789" s="22"/>
      <c r="G789" s="22"/>
      <c r="H789" s="22"/>
      <c r="I789" s="266"/>
      <c r="J789" s="272"/>
      <c r="K789" s="272"/>
      <c r="L789" s="272"/>
      <c r="M789" s="273"/>
      <c r="N789" s="273"/>
      <c r="O789" s="273"/>
      <c r="P789" s="27"/>
      <c r="Q789" s="27"/>
      <c r="R789" s="27"/>
      <c r="S789" s="22"/>
      <c r="T789" s="22"/>
      <c r="U789" s="28"/>
    </row>
    <row r="790">
      <c r="A790" s="189"/>
      <c r="B790" s="22"/>
      <c r="C790" s="22"/>
      <c r="D790" s="22"/>
      <c r="E790" s="22"/>
      <c r="F790" s="22"/>
      <c r="G790" s="22"/>
      <c r="H790" s="22"/>
      <c r="I790" s="266"/>
      <c r="J790" s="272"/>
      <c r="K790" s="272"/>
      <c r="L790" s="272"/>
      <c r="M790" s="273"/>
      <c r="N790" s="273"/>
      <c r="O790" s="273"/>
      <c r="P790" s="27"/>
      <c r="Q790" s="27"/>
      <c r="R790" s="27"/>
      <c r="S790" s="22"/>
      <c r="T790" s="22"/>
      <c r="U790" s="28"/>
    </row>
    <row r="791">
      <c r="A791" s="189"/>
      <c r="B791" s="22"/>
      <c r="C791" s="22"/>
      <c r="D791" s="22"/>
      <c r="E791" s="22"/>
      <c r="F791" s="22"/>
      <c r="G791" s="22"/>
      <c r="H791" s="22"/>
      <c r="I791" s="266"/>
      <c r="J791" s="272"/>
      <c r="K791" s="272"/>
      <c r="L791" s="272"/>
      <c r="M791" s="273"/>
      <c r="N791" s="273"/>
      <c r="O791" s="273"/>
      <c r="P791" s="27"/>
      <c r="Q791" s="27"/>
      <c r="R791" s="27"/>
      <c r="S791" s="22"/>
      <c r="T791" s="22"/>
      <c r="U791" s="28"/>
    </row>
    <row r="792">
      <c r="A792" s="189"/>
      <c r="B792" s="22"/>
      <c r="C792" s="22"/>
      <c r="D792" s="22"/>
      <c r="E792" s="22"/>
      <c r="F792" s="22"/>
      <c r="G792" s="22"/>
      <c r="H792" s="22"/>
      <c r="I792" s="266"/>
      <c r="J792" s="272"/>
      <c r="K792" s="272"/>
      <c r="L792" s="272"/>
      <c r="M792" s="273"/>
      <c r="N792" s="273"/>
      <c r="O792" s="273"/>
      <c r="P792" s="27"/>
      <c r="Q792" s="27"/>
      <c r="R792" s="27"/>
      <c r="S792" s="22"/>
      <c r="T792" s="22"/>
      <c r="U792" s="28"/>
    </row>
    <row r="793">
      <c r="A793" s="189"/>
      <c r="B793" s="22"/>
      <c r="C793" s="22"/>
      <c r="D793" s="22"/>
      <c r="E793" s="22"/>
      <c r="F793" s="22"/>
      <c r="G793" s="22"/>
      <c r="H793" s="22"/>
      <c r="I793" s="266"/>
      <c r="J793" s="272"/>
      <c r="K793" s="272"/>
      <c r="L793" s="272"/>
      <c r="M793" s="273"/>
      <c r="N793" s="273"/>
      <c r="O793" s="273"/>
      <c r="P793" s="27"/>
      <c r="Q793" s="27"/>
      <c r="R793" s="27"/>
      <c r="S793" s="22"/>
      <c r="T793" s="22"/>
      <c r="U793" s="28"/>
    </row>
    <row r="794">
      <c r="A794" s="189"/>
      <c r="B794" s="22"/>
      <c r="C794" s="22"/>
      <c r="D794" s="22"/>
      <c r="E794" s="22"/>
      <c r="F794" s="22"/>
      <c r="G794" s="22"/>
      <c r="H794" s="22"/>
      <c r="I794" s="266"/>
      <c r="J794" s="272"/>
      <c r="K794" s="272"/>
      <c r="L794" s="272"/>
      <c r="M794" s="273"/>
      <c r="N794" s="273"/>
      <c r="O794" s="273"/>
      <c r="P794" s="27"/>
      <c r="Q794" s="27"/>
      <c r="R794" s="27"/>
      <c r="S794" s="22"/>
      <c r="T794" s="22"/>
      <c r="U794" s="28"/>
    </row>
    <row r="795">
      <c r="A795" s="189"/>
      <c r="B795" s="22"/>
      <c r="C795" s="22"/>
      <c r="D795" s="22"/>
      <c r="E795" s="22"/>
      <c r="F795" s="22"/>
      <c r="G795" s="22"/>
      <c r="H795" s="22"/>
      <c r="I795" s="266"/>
      <c r="J795" s="272"/>
      <c r="K795" s="272"/>
      <c r="L795" s="272"/>
      <c r="M795" s="273"/>
      <c r="N795" s="273"/>
      <c r="O795" s="273"/>
      <c r="P795" s="27"/>
      <c r="Q795" s="27"/>
      <c r="R795" s="27"/>
      <c r="S795" s="22"/>
      <c r="T795" s="22"/>
      <c r="U795" s="28"/>
    </row>
    <row r="796">
      <c r="A796" s="189"/>
      <c r="B796" s="22"/>
      <c r="C796" s="22"/>
      <c r="D796" s="22"/>
      <c r="E796" s="22"/>
      <c r="F796" s="22"/>
      <c r="G796" s="22"/>
      <c r="H796" s="22"/>
      <c r="I796" s="266"/>
      <c r="J796" s="272"/>
      <c r="K796" s="272"/>
      <c r="L796" s="272"/>
      <c r="M796" s="273"/>
      <c r="N796" s="273"/>
      <c r="O796" s="273"/>
      <c r="P796" s="27"/>
      <c r="Q796" s="27"/>
      <c r="R796" s="27"/>
      <c r="S796" s="22"/>
      <c r="T796" s="22"/>
      <c r="U796" s="28"/>
    </row>
    <row r="797">
      <c r="A797" s="189"/>
      <c r="B797" s="22"/>
      <c r="C797" s="22"/>
      <c r="D797" s="22"/>
      <c r="E797" s="22"/>
      <c r="F797" s="22"/>
      <c r="G797" s="22"/>
      <c r="H797" s="22"/>
      <c r="I797" s="266"/>
      <c r="J797" s="272"/>
      <c r="K797" s="272"/>
      <c r="L797" s="272"/>
      <c r="M797" s="273"/>
      <c r="N797" s="273"/>
      <c r="O797" s="273"/>
      <c r="P797" s="27"/>
      <c r="Q797" s="27"/>
      <c r="R797" s="27"/>
      <c r="S797" s="22"/>
      <c r="T797" s="22"/>
      <c r="U797" s="28"/>
    </row>
    <row r="798">
      <c r="A798" s="189"/>
      <c r="B798" s="22"/>
      <c r="C798" s="22"/>
      <c r="D798" s="22"/>
      <c r="E798" s="22"/>
      <c r="F798" s="22"/>
      <c r="G798" s="22"/>
      <c r="H798" s="22"/>
      <c r="I798" s="266"/>
      <c r="J798" s="272"/>
      <c r="K798" s="272"/>
      <c r="L798" s="272"/>
      <c r="M798" s="273"/>
      <c r="N798" s="273"/>
      <c r="O798" s="273"/>
      <c r="P798" s="27"/>
      <c r="Q798" s="27"/>
      <c r="R798" s="27"/>
      <c r="S798" s="22"/>
      <c r="T798" s="22"/>
      <c r="U798" s="28"/>
    </row>
    <row r="799">
      <c r="A799" s="189"/>
      <c r="B799" s="22"/>
      <c r="C799" s="22"/>
      <c r="D799" s="22"/>
      <c r="E799" s="22"/>
      <c r="F799" s="22"/>
      <c r="G799" s="22"/>
      <c r="H799" s="22"/>
      <c r="I799" s="266"/>
      <c r="J799" s="272"/>
      <c r="K799" s="272"/>
      <c r="L799" s="272"/>
      <c r="M799" s="273"/>
      <c r="N799" s="273"/>
      <c r="O799" s="273"/>
      <c r="P799" s="27"/>
      <c r="Q799" s="27"/>
      <c r="R799" s="27"/>
      <c r="S799" s="22"/>
      <c r="T799" s="22"/>
      <c r="U799" s="28"/>
    </row>
    <row r="800">
      <c r="A800" s="189"/>
      <c r="B800" s="22"/>
      <c r="C800" s="22"/>
      <c r="D800" s="22"/>
      <c r="E800" s="22"/>
      <c r="F800" s="22"/>
      <c r="G800" s="22"/>
      <c r="H800" s="22"/>
      <c r="I800" s="266"/>
      <c r="J800" s="272"/>
      <c r="K800" s="272"/>
      <c r="L800" s="272"/>
      <c r="M800" s="273"/>
      <c r="N800" s="273"/>
      <c r="O800" s="273"/>
      <c r="P800" s="27"/>
      <c r="Q800" s="27"/>
      <c r="R800" s="27"/>
      <c r="S800" s="22"/>
      <c r="T800" s="22"/>
      <c r="U800" s="28"/>
    </row>
    <row r="801">
      <c r="A801" s="189"/>
      <c r="B801" s="22"/>
      <c r="C801" s="22"/>
      <c r="D801" s="22"/>
      <c r="E801" s="22"/>
      <c r="F801" s="22"/>
      <c r="G801" s="22"/>
      <c r="H801" s="22"/>
      <c r="I801" s="266"/>
      <c r="J801" s="272"/>
      <c r="K801" s="272"/>
      <c r="L801" s="272"/>
      <c r="M801" s="273"/>
      <c r="N801" s="273"/>
      <c r="O801" s="273"/>
      <c r="P801" s="27"/>
      <c r="Q801" s="27"/>
      <c r="R801" s="27"/>
      <c r="S801" s="22"/>
      <c r="T801" s="22"/>
      <c r="U801" s="28"/>
    </row>
    <row r="802">
      <c r="A802" s="189"/>
      <c r="B802" s="22"/>
      <c r="C802" s="22"/>
      <c r="D802" s="22"/>
      <c r="E802" s="22"/>
      <c r="F802" s="22"/>
      <c r="G802" s="22"/>
      <c r="H802" s="22"/>
      <c r="I802" s="266"/>
      <c r="J802" s="272"/>
      <c r="K802" s="272"/>
      <c r="L802" s="272"/>
      <c r="M802" s="273"/>
      <c r="N802" s="273"/>
      <c r="O802" s="273"/>
      <c r="P802" s="27"/>
      <c r="Q802" s="27"/>
      <c r="R802" s="27"/>
      <c r="S802" s="22"/>
      <c r="T802" s="22"/>
      <c r="U802" s="28"/>
    </row>
    <row r="803">
      <c r="A803" s="189"/>
      <c r="B803" s="22"/>
      <c r="C803" s="22"/>
      <c r="D803" s="22"/>
      <c r="E803" s="22"/>
      <c r="F803" s="22"/>
      <c r="G803" s="22"/>
      <c r="H803" s="22"/>
      <c r="I803" s="266"/>
      <c r="J803" s="272"/>
      <c r="K803" s="272"/>
      <c r="L803" s="272"/>
      <c r="M803" s="273"/>
      <c r="N803" s="273"/>
      <c r="O803" s="273"/>
      <c r="P803" s="27"/>
      <c r="Q803" s="27"/>
      <c r="R803" s="27"/>
      <c r="S803" s="22"/>
      <c r="T803" s="22"/>
      <c r="U803" s="28"/>
    </row>
    <row r="804">
      <c r="A804" s="189"/>
      <c r="B804" s="22"/>
      <c r="C804" s="22"/>
      <c r="D804" s="22"/>
      <c r="E804" s="22"/>
      <c r="F804" s="22"/>
      <c r="G804" s="22"/>
      <c r="H804" s="22"/>
      <c r="I804" s="266"/>
      <c r="J804" s="272"/>
      <c r="K804" s="272"/>
      <c r="L804" s="272"/>
      <c r="M804" s="273"/>
      <c r="N804" s="273"/>
      <c r="O804" s="273"/>
      <c r="P804" s="27"/>
      <c r="Q804" s="27"/>
      <c r="R804" s="27"/>
      <c r="S804" s="22"/>
      <c r="T804" s="22"/>
      <c r="U804" s="28"/>
    </row>
    <row r="805">
      <c r="A805" s="189"/>
      <c r="B805" s="22"/>
      <c r="C805" s="22"/>
      <c r="D805" s="22"/>
      <c r="E805" s="22"/>
      <c r="F805" s="22"/>
      <c r="G805" s="22"/>
      <c r="H805" s="22"/>
      <c r="I805" s="266"/>
      <c r="J805" s="272"/>
      <c r="K805" s="272"/>
      <c r="L805" s="272"/>
      <c r="M805" s="273"/>
      <c r="N805" s="273"/>
      <c r="O805" s="273"/>
      <c r="P805" s="27"/>
      <c r="Q805" s="27"/>
      <c r="R805" s="27"/>
      <c r="S805" s="22"/>
      <c r="T805" s="22"/>
      <c r="U805" s="28"/>
    </row>
    <row r="806">
      <c r="A806" s="189"/>
      <c r="B806" s="22"/>
      <c r="C806" s="22"/>
      <c r="D806" s="22"/>
      <c r="E806" s="22"/>
      <c r="F806" s="22"/>
      <c r="G806" s="22"/>
      <c r="H806" s="22"/>
      <c r="I806" s="266"/>
      <c r="J806" s="272"/>
      <c r="K806" s="272"/>
      <c r="L806" s="272"/>
      <c r="M806" s="273"/>
      <c r="N806" s="273"/>
      <c r="O806" s="273"/>
      <c r="P806" s="27"/>
      <c r="Q806" s="27"/>
      <c r="R806" s="27"/>
      <c r="S806" s="22"/>
      <c r="T806" s="22"/>
      <c r="U806" s="28"/>
    </row>
    <row r="807">
      <c r="A807" s="189"/>
      <c r="B807" s="22"/>
      <c r="C807" s="22"/>
      <c r="D807" s="22"/>
      <c r="E807" s="22"/>
      <c r="F807" s="22"/>
      <c r="G807" s="22"/>
      <c r="H807" s="22"/>
      <c r="I807" s="266"/>
      <c r="J807" s="272"/>
      <c r="K807" s="272"/>
      <c r="L807" s="272"/>
      <c r="M807" s="273"/>
      <c r="N807" s="273"/>
      <c r="O807" s="273"/>
      <c r="P807" s="27"/>
      <c r="Q807" s="27"/>
      <c r="R807" s="27"/>
      <c r="S807" s="22"/>
      <c r="T807" s="22"/>
      <c r="U807" s="28"/>
    </row>
    <row r="808">
      <c r="A808" s="189"/>
      <c r="B808" s="22"/>
      <c r="C808" s="22"/>
      <c r="D808" s="22"/>
      <c r="E808" s="22"/>
      <c r="F808" s="22"/>
      <c r="G808" s="22"/>
      <c r="H808" s="22"/>
      <c r="I808" s="266"/>
      <c r="J808" s="272"/>
      <c r="K808" s="272"/>
      <c r="L808" s="272"/>
      <c r="M808" s="273"/>
      <c r="N808" s="273"/>
      <c r="O808" s="273"/>
      <c r="P808" s="27"/>
      <c r="Q808" s="27"/>
      <c r="R808" s="27"/>
      <c r="S808" s="22"/>
      <c r="T808" s="22"/>
      <c r="U808" s="28"/>
    </row>
    <row r="809">
      <c r="A809" s="189"/>
      <c r="B809" s="22"/>
      <c r="C809" s="22"/>
      <c r="D809" s="22"/>
      <c r="E809" s="22"/>
      <c r="F809" s="22"/>
      <c r="G809" s="22"/>
      <c r="H809" s="22"/>
      <c r="I809" s="266"/>
      <c r="J809" s="272"/>
      <c r="K809" s="272"/>
      <c r="L809" s="272"/>
      <c r="M809" s="273"/>
      <c r="N809" s="273"/>
      <c r="O809" s="273"/>
      <c r="P809" s="27"/>
      <c r="Q809" s="27"/>
      <c r="R809" s="27"/>
      <c r="S809" s="22"/>
      <c r="T809" s="22"/>
      <c r="U809" s="28"/>
    </row>
    <row r="810">
      <c r="A810" s="189"/>
      <c r="B810" s="22"/>
      <c r="C810" s="22"/>
      <c r="D810" s="22"/>
      <c r="E810" s="22"/>
      <c r="F810" s="22"/>
      <c r="G810" s="22"/>
      <c r="H810" s="22"/>
      <c r="I810" s="266"/>
      <c r="J810" s="272"/>
      <c r="K810" s="272"/>
      <c r="L810" s="272"/>
      <c r="M810" s="273"/>
      <c r="N810" s="273"/>
      <c r="O810" s="273"/>
      <c r="P810" s="27"/>
      <c r="Q810" s="27"/>
      <c r="R810" s="27"/>
      <c r="S810" s="22"/>
      <c r="T810" s="22"/>
      <c r="U810" s="28"/>
    </row>
    <row r="811">
      <c r="A811" s="189"/>
      <c r="B811" s="22"/>
      <c r="C811" s="22"/>
      <c r="D811" s="22"/>
      <c r="E811" s="22"/>
      <c r="F811" s="22"/>
      <c r="G811" s="22"/>
      <c r="H811" s="22"/>
      <c r="I811" s="266"/>
      <c r="J811" s="272"/>
      <c r="K811" s="272"/>
      <c r="L811" s="272"/>
      <c r="M811" s="273"/>
      <c r="N811" s="273"/>
      <c r="O811" s="273"/>
      <c r="P811" s="27"/>
      <c r="Q811" s="27"/>
      <c r="R811" s="27"/>
      <c r="S811" s="22"/>
      <c r="T811" s="22"/>
      <c r="U811" s="28"/>
    </row>
    <row r="812">
      <c r="A812" s="189"/>
      <c r="B812" s="22"/>
      <c r="C812" s="22"/>
      <c r="D812" s="22"/>
      <c r="E812" s="22"/>
      <c r="F812" s="22"/>
      <c r="G812" s="22"/>
      <c r="H812" s="22"/>
      <c r="I812" s="266"/>
      <c r="J812" s="272"/>
      <c r="K812" s="272"/>
      <c r="L812" s="272"/>
      <c r="M812" s="273"/>
      <c r="N812" s="273"/>
      <c r="O812" s="273"/>
      <c r="P812" s="27"/>
      <c r="Q812" s="27"/>
      <c r="R812" s="27"/>
      <c r="S812" s="22"/>
      <c r="T812" s="22"/>
      <c r="U812" s="28"/>
    </row>
    <row r="813">
      <c r="A813" s="189"/>
      <c r="B813" s="22"/>
      <c r="C813" s="22"/>
      <c r="D813" s="22"/>
      <c r="E813" s="22"/>
      <c r="F813" s="22"/>
      <c r="G813" s="22"/>
      <c r="H813" s="22"/>
      <c r="I813" s="266"/>
      <c r="J813" s="272"/>
      <c r="K813" s="272"/>
      <c r="L813" s="272"/>
      <c r="M813" s="273"/>
      <c r="N813" s="273"/>
      <c r="O813" s="273"/>
      <c r="P813" s="27"/>
      <c r="Q813" s="27"/>
      <c r="R813" s="27"/>
      <c r="S813" s="22"/>
      <c r="T813" s="22"/>
      <c r="U813" s="28"/>
    </row>
    <row r="814">
      <c r="A814" s="189"/>
      <c r="B814" s="22"/>
      <c r="C814" s="22"/>
      <c r="D814" s="22"/>
      <c r="E814" s="22"/>
      <c r="F814" s="22"/>
      <c r="G814" s="22"/>
      <c r="H814" s="22"/>
      <c r="I814" s="266"/>
      <c r="J814" s="272"/>
      <c r="K814" s="272"/>
      <c r="L814" s="272"/>
      <c r="M814" s="273"/>
      <c r="N814" s="273"/>
      <c r="O814" s="273"/>
      <c r="P814" s="27"/>
      <c r="Q814" s="27"/>
      <c r="R814" s="27"/>
      <c r="S814" s="22"/>
      <c r="T814" s="22"/>
      <c r="U814" s="28"/>
    </row>
    <row r="815">
      <c r="A815" s="189"/>
      <c r="B815" s="22"/>
      <c r="C815" s="22"/>
      <c r="D815" s="22"/>
      <c r="E815" s="22"/>
      <c r="F815" s="22"/>
      <c r="G815" s="22"/>
      <c r="H815" s="22"/>
      <c r="I815" s="266"/>
      <c r="J815" s="272"/>
      <c r="K815" s="272"/>
      <c r="L815" s="272"/>
      <c r="M815" s="273"/>
      <c r="N815" s="273"/>
      <c r="O815" s="273"/>
      <c r="P815" s="27"/>
      <c r="Q815" s="27"/>
      <c r="R815" s="27"/>
      <c r="S815" s="22"/>
      <c r="T815" s="22"/>
      <c r="U815" s="28"/>
    </row>
    <row r="816">
      <c r="A816" s="189"/>
      <c r="B816" s="22"/>
      <c r="C816" s="22"/>
      <c r="D816" s="22"/>
      <c r="E816" s="22"/>
      <c r="F816" s="22"/>
      <c r="G816" s="22"/>
      <c r="H816" s="22"/>
      <c r="I816" s="266"/>
      <c r="J816" s="272"/>
      <c r="K816" s="272"/>
      <c r="L816" s="272"/>
      <c r="M816" s="273"/>
      <c r="N816" s="273"/>
      <c r="O816" s="273"/>
      <c r="P816" s="27"/>
      <c r="Q816" s="27"/>
      <c r="R816" s="27"/>
      <c r="S816" s="22"/>
      <c r="T816" s="22"/>
      <c r="U816" s="28"/>
    </row>
    <row r="817">
      <c r="A817" s="189"/>
      <c r="B817" s="22"/>
      <c r="C817" s="22"/>
      <c r="D817" s="22"/>
      <c r="E817" s="22"/>
      <c r="F817" s="22"/>
      <c r="G817" s="22"/>
      <c r="H817" s="22"/>
      <c r="I817" s="266"/>
      <c r="J817" s="272"/>
      <c r="K817" s="272"/>
      <c r="L817" s="272"/>
      <c r="M817" s="273"/>
      <c r="N817" s="273"/>
      <c r="O817" s="273"/>
      <c r="P817" s="27"/>
      <c r="Q817" s="27"/>
      <c r="R817" s="27"/>
      <c r="S817" s="22"/>
      <c r="T817" s="22"/>
      <c r="U817" s="28"/>
    </row>
    <row r="818">
      <c r="A818" s="189"/>
      <c r="B818" s="22"/>
      <c r="C818" s="22"/>
      <c r="D818" s="22"/>
      <c r="E818" s="22"/>
      <c r="F818" s="22"/>
      <c r="G818" s="22"/>
      <c r="H818" s="22"/>
      <c r="I818" s="266"/>
      <c r="J818" s="272"/>
      <c r="K818" s="272"/>
      <c r="L818" s="272"/>
      <c r="M818" s="273"/>
      <c r="N818" s="273"/>
      <c r="O818" s="273"/>
      <c r="P818" s="27"/>
      <c r="Q818" s="27"/>
      <c r="R818" s="27"/>
      <c r="S818" s="22"/>
      <c r="T818" s="22"/>
      <c r="U818" s="28"/>
    </row>
    <row r="819">
      <c r="A819" s="189"/>
      <c r="B819" s="22"/>
      <c r="C819" s="22"/>
      <c r="D819" s="22"/>
      <c r="E819" s="22"/>
      <c r="F819" s="22"/>
      <c r="G819" s="22"/>
      <c r="H819" s="22"/>
      <c r="I819" s="266"/>
      <c r="J819" s="272"/>
      <c r="K819" s="272"/>
      <c r="L819" s="272"/>
      <c r="M819" s="273"/>
      <c r="N819" s="273"/>
      <c r="O819" s="273"/>
      <c r="P819" s="27"/>
      <c r="Q819" s="27"/>
      <c r="R819" s="27"/>
      <c r="S819" s="22"/>
      <c r="T819" s="22"/>
      <c r="U819" s="28"/>
    </row>
    <row r="820">
      <c r="A820" s="189"/>
      <c r="B820" s="22"/>
      <c r="C820" s="22"/>
      <c r="D820" s="22"/>
      <c r="E820" s="22"/>
      <c r="F820" s="22"/>
      <c r="G820" s="22"/>
      <c r="H820" s="22"/>
      <c r="I820" s="266"/>
      <c r="J820" s="272"/>
      <c r="K820" s="272"/>
      <c r="L820" s="272"/>
      <c r="M820" s="273"/>
      <c r="N820" s="273"/>
      <c r="O820" s="273"/>
      <c r="P820" s="27"/>
      <c r="Q820" s="27"/>
      <c r="R820" s="27"/>
      <c r="S820" s="22"/>
      <c r="T820" s="22"/>
      <c r="U820" s="28"/>
    </row>
    <row r="821">
      <c r="A821" s="189"/>
      <c r="B821" s="22"/>
      <c r="C821" s="22"/>
      <c r="D821" s="22"/>
      <c r="E821" s="22"/>
      <c r="F821" s="22"/>
      <c r="G821" s="22"/>
      <c r="H821" s="22"/>
      <c r="I821" s="266"/>
      <c r="J821" s="272"/>
      <c r="K821" s="272"/>
      <c r="L821" s="272"/>
      <c r="M821" s="273"/>
      <c r="N821" s="273"/>
      <c r="O821" s="273"/>
      <c r="P821" s="27"/>
      <c r="Q821" s="27"/>
      <c r="R821" s="27"/>
      <c r="S821" s="22"/>
      <c r="T821" s="22"/>
      <c r="U821" s="28"/>
    </row>
    <row r="822">
      <c r="A822" s="189"/>
      <c r="B822" s="22"/>
      <c r="C822" s="22"/>
      <c r="D822" s="22"/>
      <c r="E822" s="22"/>
      <c r="F822" s="22"/>
      <c r="G822" s="22"/>
      <c r="H822" s="22"/>
      <c r="I822" s="266"/>
      <c r="J822" s="272"/>
      <c r="K822" s="272"/>
      <c r="L822" s="272"/>
      <c r="M822" s="273"/>
      <c r="N822" s="273"/>
      <c r="O822" s="273"/>
      <c r="P822" s="27"/>
      <c r="Q822" s="27"/>
      <c r="R822" s="27"/>
      <c r="S822" s="22"/>
      <c r="T822" s="22"/>
      <c r="U822" s="28"/>
    </row>
    <row r="823">
      <c r="A823" s="189"/>
      <c r="B823" s="22"/>
      <c r="C823" s="22"/>
      <c r="D823" s="22"/>
      <c r="E823" s="22"/>
      <c r="F823" s="22"/>
      <c r="G823" s="22"/>
      <c r="H823" s="22"/>
      <c r="I823" s="266"/>
      <c r="J823" s="272"/>
      <c r="K823" s="272"/>
      <c r="L823" s="272"/>
      <c r="M823" s="273"/>
      <c r="N823" s="273"/>
      <c r="O823" s="273"/>
      <c r="P823" s="27"/>
      <c r="Q823" s="27"/>
      <c r="R823" s="27"/>
      <c r="S823" s="22"/>
      <c r="T823" s="22"/>
      <c r="U823" s="28"/>
    </row>
    <row r="824">
      <c r="A824" s="189"/>
      <c r="B824" s="22"/>
      <c r="C824" s="22"/>
      <c r="D824" s="22"/>
      <c r="E824" s="22"/>
      <c r="F824" s="22"/>
      <c r="G824" s="22"/>
      <c r="H824" s="22"/>
      <c r="I824" s="266"/>
      <c r="J824" s="272"/>
      <c r="K824" s="272"/>
      <c r="L824" s="272"/>
      <c r="M824" s="273"/>
      <c r="N824" s="273"/>
      <c r="O824" s="273"/>
      <c r="P824" s="27"/>
      <c r="Q824" s="27"/>
      <c r="R824" s="27"/>
      <c r="S824" s="22"/>
      <c r="T824" s="22"/>
      <c r="U824" s="28"/>
    </row>
    <row r="825">
      <c r="A825" s="189"/>
      <c r="B825" s="22"/>
      <c r="C825" s="22"/>
      <c r="D825" s="22"/>
      <c r="E825" s="22"/>
      <c r="F825" s="22"/>
      <c r="G825" s="22"/>
      <c r="H825" s="22"/>
      <c r="I825" s="266"/>
      <c r="J825" s="272"/>
      <c r="K825" s="272"/>
      <c r="L825" s="272"/>
      <c r="M825" s="273"/>
      <c r="N825" s="273"/>
      <c r="O825" s="273"/>
      <c r="P825" s="27"/>
      <c r="Q825" s="27"/>
      <c r="R825" s="27"/>
      <c r="S825" s="22"/>
      <c r="T825" s="22"/>
      <c r="U825" s="28"/>
    </row>
    <row r="826">
      <c r="A826" s="189"/>
      <c r="B826" s="22"/>
      <c r="C826" s="22"/>
      <c r="D826" s="22"/>
      <c r="E826" s="22"/>
      <c r="F826" s="22"/>
      <c r="G826" s="22"/>
      <c r="H826" s="22"/>
      <c r="I826" s="266"/>
      <c r="J826" s="272"/>
      <c r="K826" s="272"/>
      <c r="L826" s="272"/>
      <c r="M826" s="273"/>
      <c r="N826" s="273"/>
      <c r="O826" s="273"/>
      <c r="P826" s="27"/>
      <c r="Q826" s="27"/>
      <c r="R826" s="27"/>
      <c r="S826" s="22"/>
      <c r="T826" s="22"/>
      <c r="U826" s="28"/>
    </row>
    <row r="827">
      <c r="A827" s="189"/>
      <c r="B827" s="22"/>
      <c r="C827" s="22"/>
      <c r="D827" s="22"/>
      <c r="E827" s="22"/>
      <c r="F827" s="22"/>
      <c r="G827" s="22"/>
      <c r="H827" s="22"/>
      <c r="I827" s="266"/>
      <c r="J827" s="272"/>
      <c r="K827" s="272"/>
      <c r="L827" s="272"/>
      <c r="M827" s="273"/>
      <c r="N827" s="273"/>
      <c r="O827" s="273"/>
      <c r="P827" s="27"/>
      <c r="Q827" s="27"/>
      <c r="R827" s="27"/>
      <c r="S827" s="22"/>
      <c r="T827" s="22"/>
      <c r="U827" s="28"/>
    </row>
    <row r="828">
      <c r="A828" s="189"/>
      <c r="B828" s="22"/>
      <c r="C828" s="22"/>
      <c r="D828" s="22"/>
      <c r="E828" s="22"/>
      <c r="F828" s="22"/>
      <c r="G828" s="22"/>
      <c r="H828" s="22"/>
      <c r="I828" s="266"/>
      <c r="J828" s="272"/>
      <c r="K828" s="272"/>
      <c r="L828" s="272"/>
      <c r="M828" s="273"/>
      <c r="N828" s="273"/>
      <c r="O828" s="273"/>
      <c r="P828" s="27"/>
      <c r="Q828" s="27"/>
      <c r="R828" s="27"/>
      <c r="S828" s="22"/>
      <c r="T828" s="22"/>
      <c r="U828" s="28"/>
    </row>
    <row r="829">
      <c r="A829" s="189"/>
      <c r="B829" s="22"/>
      <c r="C829" s="22"/>
      <c r="D829" s="22"/>
      <c r="E829" s="22"/>
      <c r="F829" s="22"/>
      <c r="G829" s="22"/>
      <c r="H829" s="22"/>
      <c r="I829" s="266"/>
      <c r="J829" s="272"/>
      <c r="K829" s="272"/>
      <c r="L829" s="272"/>
      <c r="M829" s="273"/>
      <c r="N829" s="273"/>
      <c r="O829" s="273"/>
      <c r="P829" s="27"/>
      <c r="Q829" s="27"/>
      <c r="R829" s="27"/>
      <c r="S829" s="22"/>
      <c r="T829" s="22"/>
      <c r="U829" s="28"/>
    </row>
    <row r="830">
      <c r="A830" s="189"/>
      <c r="B830" s="22"/>
      <c r="C830" s="22"/>
      <c r="D830" s="22"/>
      <c r="E830" s="22"/>
      <c r="F830" s="22"/>
      <c r="G830" s="22"/>
      <c r="H830" s="22"/>
      <c r="I830" s="266"/>
      <c r="J830" s="272"/>
      <c r="K830" s="272"/>
      <c r="L830" s="272"/>
      <c r="M830" s="273"/>
      <c r="N830" s="273"/>
      <c r="O830" s="273"/>
      <c r="P830" s="27"/>
      <c r="Q830" s="27"/>
      <c r="R830" s="27"/>
      <c r="S830" s="22"/>
      <c r="T830" s="22"/>
      <c r="U830" s="28"/>
    </row>
    <row r="831">
      <c r="A831" s="189"/>
      <c r="B831" s="22"/>
      <c r="C831" s="22"/>
      <c r="D831" s="22"/>
      <c r="E831" s="22"/>
      <c r="F831" s="22"/>
      <c r="G831" s="22"/>
      <c r="H831" s="22"/>
      <c r="I831" s="266"/>
      <c r="J831" s="272"/>
      <c r="K831" s="272"/>
      <c r="L831" s="272"/>
      <c r="M831" s="273"/>
      <c r="N831" s="273"/>
      <c r="O831" s="273"/>
      <c r="P831" s="27"/>
      <c r="Q831" s="27"/>
      <c r="R831" s="27"/>
      <c r="S831" s="22"/>
      <c r="T831" s="22"/>
      <c r="U831" s="28"/>
    </row>
    <row r="832">
      <c r="A832" s="189"/>
      <c r="B832" s="22"/>
      <c r="C832" s="22"/>
      <c r="D832" s="22"/>
      <c r="E832" s="22"/>
      <c r="F832" s="22"/>
      <c r="G832" s="22"/>
      <c r="H832" s="22"/>
      <c r="I832" s="266"/>
      <c r="J832" s="272"/>
      <c r="K832" s="272"/>
      <c r="L832" s="272"/>
      <c r="M832" s="273"/>
      <c r="N832" s="273"/>
      <c r="O832" s="273"/>
      <c r="P832" s="27"/>
      <c r="Q832" s="27"/>
      <c r="R832" s="27"/>
      <c r="S832" s="22"/>
      <c r="T832" s="22"/>
      <c r="U832" s="28"/>
    </row>
    <row r="833">
      <c r="A833" s="189"/>
      <c r="B833" s="22"/>
      <c r="C833" s="22"/>
      <c r="D833" s="22"/>
      <c r="E833" s="22"/>
      <c r="F833" s="22"/>
      <c r="G833" s="22"/>
      <c r="H833" s="22"/>
      <c r="I833" s="266"/>
      <c r="J833" s="272"/>
      <c r="K833" s="272"/>
      <c r="L833" s="272"/>
      <c r="M833" s="273"/>
      <c r="N833" s="273"/>
      <c r="O833" s="273"/>
      <c r="P833" s="27"/>
      <c r="Q833" s="27"/>
      <c r="R833" s="27"/>
      <c r="S833" s="22"/>
      <c r="T833" s="22"/>
      <c r="U833" s="28"/>
    </row>
    <row r="834">
      <c r="A834" s="189"/>
      <c r="B834" s="22"/>
      <c r="C834" s="22"/>
      <c r="D834" s="22"/>
      <c r="E834" s="22"/>
      <c r="F834" s="22"/>
      <c r="G834" s="22"/>
      <c r="H834" s="22"/>
      <c r="I834" s="266"/>
      <c r="J834" s="272"/>
      <c r="K834" s="272"/>
      <c r="L834" s="272"/>
      <c r="M834" s="273"/>
      <c r="N834" s="273"/>
      <c r="O834" s="273"/>
      <c r="P834" s="27"/>
      <c r="Q834" s="27"/>
      <c r="R834" s="27"/>
      <c r="S834" s="22"/>
      <c r="T834" s="22"/>
      <c r="U834" s="28"/>
    </row>
    <row r="835">
      <c r="A835" s="189"/>
      <c r="B835" s="22"/>
      <c r="C835" s="22"/>
      <c r="D835" s="22"/>
      <c r="E835" s="22"/>
      <c r="F835" s="22"/>
      <c r="G835" s="22"/>
      <c r="H835" s="22"/>
      <c r="I835" s="266"/>
      <c r="J835" s="272"/>
      <c r="K835" s="272"/>
      <c r="L835" s="272"/>
      <c r="M835" s="273"/>
      <c r="N835" s="273"/>
      <c r="O835" s="273"/>
      <c r="P835" s="27"/>
      <c r="Q835" s="27"/>
      <c r="R835" s="27"/>
      <c r="S835" s="22"/>
      <c r="T835" s="22"/>
      <c r="U835" s="28"/>
    </row>
    <row r="836">
      <c r="A836" s="189"/>
      <c r="B836" s="22"/>
      <c r="C836" s="22"/>
      <c r="D836" s="22"/>
      <c r="E836" s="22"/>
      <c r="F836" s="22"/>
      <c r="G836" s="22"/>
      <c r="H836" s="22"/>
      <c r="I836" s="266"/>
      <c r="J836" s="272"/>
      <c r="K836" s="272"/>
      <c r="L836" s="272"/>
      <c r="M836" s="273"/>
      <c r="N836" s="273"/>
      <c r="O836" s="273"/>
      <c r="P836" s="27"/>
      <c r="Q836" s="27"/>
      <c r="R836" s="27"/>
      <c r="S836" s="22"/>
      <c r="T836" s="22"/>
      <c r="U836" s="28"/>
    </row>
    <row r="837">
      <c r="A837" s="189"/>
      <c r="B837" s="22"/>
      <c r="C837" s="22"/>
      <c r="D837" s="22"/>
      <c r="E837" s="22"/>
      <c r="F837" s="22"/>
      <c r="G837" s="22"/>
      <c r="H837" s="22"/>
      <c r="I837" s="266"/>
      <c r="J837" s="272"/>
      <c r="K837" s="272"/>
      <c r="L837" s="272"/>
      <c r="M837" s="273"/>
      <c r="N837" s="273"/>
      <c r="O837" s="273"/>
      <c r="P837" s="27"/>
      <c r="Q837" s="27"/>
      <c r="R837" s="27"/>
      <c r="S837" s="22"/>
      <c r="T837" s="22"/>
      <c r="U837" s="28"/>
    </row>
    <row r="838">
      <c r="A838" s="189"/>
      <c r="B838" s="22"/>
      <c r="C838" s="22"/>
      <c r="D838" s="22"/>
      <c r="E838" s="22"/>
      <c r="F838" s="22"/>
      <c r="G838" s="22"/>
      <c r="H838" s="22"/>
      <c r="I838" s="266"/>
      <c r="J838" s="272"/>
      <c r="K838" s="272"/>
      <c r="L838" s="272"/>
      <c r="M838" s="273"/>
      <c r="N838" s="273"/>
      <c r="O838" s="273"/>
      <c r="P838" s="27"/>
      <c r="Q838" s="27"/>
      <c r="R838" s="27"/>
      <c r="S838" s="22"/>
      <c r="T838" s="22"/>
      <c r="U838" s="28"/>
    </row>
    <row r="839">
      <c r="A839" s="189"/>
      <c r="B839" s="22"/>
      <c r="C839" s="22"/>
      <c r="D839" s="22"/>
      <c r="E839" s="22"/>
      <c r="F839" s="22"/>
      <c r="G839" s="22"/>
      <c r="H839" s="22"/>
      <c r="I839" s="266"/>
      <c r="J839" s="272"/>
      <c r="K839" s="272"/>
      <c r="L839" s="272"/>
      <c r="M839" s="273"/>
      <c r="N839" s="273"/>
      <c r="O839" s="273"/>
      <c r="P839" s="27"/>
      <c r="Q839" s="27"/>
      <c r="R839" s="27"/>
      <c r="S839" s="22"/>
      <c r="T839" s="22"/>
      <c r="U839" s="28"/>
    </row>
    <row r="840">
      <c r="A840" s="189"/>
      <c r="B840" s="22"/>
      <c r="C840" s="22"/>
      <c r="D840" s="22"/>
      <c r="E840" s="22"/>
      <c r="F840" s="22"/>
      <c r="G840" s="22"/>
      <c r="H840" s="22"/>
      <c r="I840" s="266"/>
      <c r="J840" s="272"/>
      <c r="K840" s="272"/>
      <c r="L840" s="272"/>
      <c r="M840" s="273"/>
      <c r="N840" s="273"/>
      <c r="O840" s="273"/>
      <c r="P840" s="27"/>
      <c r="Q840" s="27"/>
      <c r="R840" s="27"/>
      <c r="S840" s="22"/>
      <c r="T840" s="22"/>
      <c r="U840" s="28"/>
    </row>
    <row r="841">
      <c r="A841" s="189"/>
      <c r="B841" s="22"/>
      <c r="C841" s="22"/>
      <c r="D841" s="22"/>
      <c r="E841" s="22"/>
      <c r="F841" s="22"/>
      <c r="G841" s="22"/>
      <c r="H841" s="22"/>
      <c r="I841" s="266"/>
      <c r="J841" s="272"/>
      <c r="K841" s="272"/>
      <c r="L841" s="272"/>
      <c r="M841" s="273"/>
      <c r="N841" s="273"/>
      <c r="O841" s="273"/>
      <c r="P841" s="27"/>
      <c r="Q841" s="27"/>
      <c r="R841" s="27"/>
      <c r="S841" s="22"/>
      <c r="T841" s="22"/>
      <c r="U841" s="28"/>
    </row>
    <row r="842">
      <c r="A842" s="189"/>
      <c r="B842" s="22"/>
      <c r="C842" s="22"/>
      <c r="D842" s="22"/>
      <c r="E842" s="22"/>
      <c r="F842" s="22"/>
      <c r="G842" s="22"/>
      <c r="H842" s="22"/>
      <c r="I842" s="266"/>
      <c r="J842" s="272"/>
      <c r="K842" s="272"/>
      <c r="L842" s="272"/>
      <c r="M842" s="273"/>
      <c r="N842" s="273"/>
      <c r="O842" s="273"/>
      <c r="P842" s="27"/>
      <c r="Q842" s="27"/>
      <c r="R842" s="27"/>
      <c r="S842" s="22"/>
      <c r="T842" s="22"/>
      <c r="U842" s="28"/>
    </row>
    <row r="843">
      <c r="A843" s="189"/>
      <c r="B843" s="22"/>
      <c r="C843" s="22"/>
      <c r="D843" s="22"/>
      <c r="E843" s="22"/>
      <c r="F843" s="22"/>
      <c r="G843" s="22"/>
      <c r="H843" s="22"/>
      <c r="I843" s="266"/>
      <c r="J843" s="272"/>
      <c r="K843" s="272"/>
      <c r="L843" s="272"/>
      <c r="M843" s="273"/>
      <c r="N843" s="273"/>
      <c r="O843" s="273"/>
      <c r="P843" s="27"/>
      <c r="Q843" s="27"/>
      <c r="R843" s="27"/>
      <c r="S843" s="22"/>
      <c r="T843" s="22"/>
      <c r="U843" s="28"/>
    </row>
    <row r="844">
      <c r="A844" s="189"/>
      <c r="B844" s="22"/>
      <c r="C844" s="22"/>
      <c r="D844" s="22"/>
      <c r="E844" s="22"/>
      <c r="F844" s="22"/>
      <c r="G844" s="22"/>
      <c r="H844" s="22"/>
      <c r="I844" s="266"/>
      <c r="J844" s="272"/>
      <c r="K844" s="272"/>
      <c r="L844" s="272"/>
      <c r="M844" s="273"/>
      <c r="N844" s="273"/>
      <c r="O844" s="273"/>
      <c r="P844" s="27"/>
      <c r="Q844" s="27"/>
      <c r="R844" s="27"/>
      <c r="S844" s="22"/>
      <c r="T844" s="22"/>
      <c r="U844" s="28"/>
    </row>
    <row r="845">
      <c r="A845" s="189"/>
      <c r="B845" s="22"/>
      <c r="C845" s="22"/>
      <c r="D845" s="22"/>
      <c r="E845" s="22"/>
      <c r="F845" s="22"/>
      <c r="G845" s="22"/>
      <c r="H845" s="22"/>
      <c r="I845" s="266"/>
      <c r="J845" s="272"/>
      <c r="K845" s="272"/>
      <c r="L845" s="272"/>
      <c r="M845" s="273"/>
      <c r="N845" s="273"/>
      <c r="O845" s="273"/>
      <c r="P845" s="27"/>
      <c r="Q845" s="27"/>
      <c r="R845" s="27"/>
      <c r="S845" s="22"/>
      <c r="T845" s="22"/>
      <c r="U845" s="28"/>
    </row>
    <row r="846">
      <c r="A846" s="189"/>
      <c r="B846" s="22"/>
      <c r="C846" s="22"/>
      <c r="D846" s="22"/>
      <c r="E846" s="22"/>
      <c r="F846" s="22"/>
      <c r="G846" s="22"/>
      <c r="H846" s="22"/>
      <c r="I846" s="266"/>
      <c r="J846" s="272"/>
      <c r="K846" s="272"/>
      <c r="L846" s="272"/>
      <c r="M846" s="273"/>
      <c r="N846" s="273"/>
      <c r="O846" s="273"/>
      <c r="P846" s="27"/>
      <c r="Q846" s="27"/>
      <c r="R846" s="27"/>
      <c r="S846" s="22"/>
      <c r="T846" s="22"/>
      <c r="U846" s="28"/>
    </row>
    <row r="847">
      <c r="A847" s="189"/>
      <c r="B847" s="22"/>
      <c r="C847" s="22"/>
      <c r="D847" s="22"/>
      <c r="E847" s="22"/>
      <c r="F847" s="22"/>
      <c r="G847" s="22"/>
      <c r="H847" s="22"/>
      <c r="I847" s="266"/>
      <c r="J847" s="272"/>
      <c r="K847" s="272"/>
      <c r="L847" s="272"/>
      <c r="M847" s="273"/>
      <c r="N847" s="273"/>
      <c r="O847" s="273"/>
      <c r="P847" s="27"/>
      <c r="Q847" s="27"/>
      <c r="R847" s="27"/>
      <c r="S847" s="22"/>
      <c r="T847" s="22"/>
      <c r="U847" s="28"/>
    </row>
    <row r="848">
      <c r="A848" s="189"/>
      <c r="B848" s="22"/>
      <c r="C848" s="22"/>
      <c r="D848" s="22"/>
      <c r="E848" s="22"/>
      <c r="F848" s="22"/>
      <c r="G848" s="22"/>
      <c r="H848" s="22"/>
      <c r="I848" s="266"/>
      <c r="J848" s="272"/>
      <c r="K848" s="272"/>
      <c r="L848" s="272"/>
      <c r="M848" s="273"/>
      <c r="N848" s="273"/>
      <c r="O848" s="273"/>
      <c r="P848" s="27"/>
      <c r="Q848" s="27"/>
      <c r="R848" s="27"/>
      <c r="S848" s="22"/>
      <c r="T848" s="22"/>
      <c r="U848" s="28"/>
    </row>
    <row r="849">
      <c r="A849" s="189"/>
      <c r="B849" s="22"/>
      <c r="C849" s="22"/>
      <c r="D849" s="22"/>
      <c r="E849" s="22"/>
      <c r="F849" s="22"/>
      <c r="G849" s="22"/>
      <c r="H849" s="22"/>
      <c r="I849" s="266"/>
      <c r="J849" s="272"/>
      <c r="K849" s="272"/>
      <c r="L849" s="272"/>
      <c r="M849" s="273"/>
      <c r="N849" s="273"/>
      <c r="O849" s="273"/>
      <c r="P849" s="27"/>
      <c r="Q849" s="27"/>
      <c r="R849" s="27"/>
      <c r="S849" s="22"/>
      <c r="T849" s="22"/>
      <c r="U849" s="28"/>
    </row>
    <row r="850">
      <c r="A850" s="189"/>
      <c r="B850" s="22"/>
      <c r="C850" s="22"/>
      <c r="D850" s="22"/>
      <c r="E850" s="22"/>
      <c r="F850" s="22"/>
      <c r="G850" s="22"/>
      <c r="H850" s="22"/>
      <c r="I850" s="266"/>
      <c r="J850" s="272"/>
      <c r="K850" s="272"/>
      <c r="L850" s="272"/>
      <c r="M850" s="273"/>
      <c r="N850" s="273"/>
      <c r="O850" s="273"/>
      <c r="P850" s="27"/>
      <c r="Q850" s="27"/>
      <c r="R850" s="27"/>
      <c r="S850" s="22"/>
      <c r="T850" s="22"/>
      <c r="U850" s="28"/>
    </row>
    <row r="851">
      <c r="A851" s="189"/>
      <c r="B851" s="22"/>
      <c r="C851" s="22"/>
      <c r="D851" s="22"/>
      <c r="E851" s="22"/>
      <c r="F851" s="22"/>
      <c r="G851" s="22"/>
      <c r="H851" s="22"/>
      <c r="I851" s="266"/>
      <c r="J851" s="272"/>
      <c r="K851" s="272"/>
      <c r="L851" s="272"/>
      <c r="M851" s="273"/>
      <c r="N851" s="273"/>
      <c r="O851" s="273"/>
      <c r="P851" s="27"/>
      <c r="Q851" s="27"/>
      <c r="R851" s="27"/>
      <c r="S851" s="22"/>
      <c r="T851" s="22"/>
      <c r="U851" s="28"/>
    </row>
    <row r="852">
      <c r="A852" s="189"/>
      <c r="B852" s="22"/>
      <c r="C852" s="22"/>
      <c r="D852" s="22"/>
      <c r="E852" s="22"/>
      <c r="F852" s="22"/>
      <c r="G852" s="22"/>
      <c r="H852" s="22"/>
      <c r="I852" s="266"/>
      <c r="J852" s="272"/>
      <c r="K852" s="272"/>
      <c r="L852" s="272"/>
      <c r="M852" s="273"/>
      <c r="N852" s="273"/>
      <c r="O852" s="273"/>
      <c r="P852" s="27"/>
      <c r="Q852" s="27"/>
      <c r="R852" s="27"/>
      <c r="S852" s="22"/>
      <c r="T852" s="22"/>
      <c r="U852" s="28"/>
    </row>
    <row r="853">
      <c r="A853" s="189"/>
      <c r="B853" s="22"/>
      <c r="C853" s="22"/>
      <c r="D853" s="22"/>
      <c r="E853" s="22"/>
      <c r="F853" s="22"/>
      <c r="G853" s="22"/>
      <c r="H853" s="22"/>
      <c r="I853" s="266"/>
      <c r="J853" s="272"/>
      <c r="K853" s="272"/>
      <c r="L853" s="272"/>
      <c r="M853" s="273"/>
      <c r="N853" s="273"/>
      <c r="O853" s="273"/>
      <c r="P853" s="27"/>
      <c r="Q853" s="27"/>
      <c r="R853" s="27"/>
      <c r="S853" s="22"/>
      <c r="T853" s="22"/>
      <c r="U853" s="28"/>
    </row>
    <row r="854">
      <c r="A854" s="189"/>
      <c r="B854" s="22"/>
      <c r="C854" s="22"/>
      <c r="D854" s="22"/>
      <c r="E854" s="22"/>
      <c r="F854" s="22"/>
      <c r="G854" s="22"/>
      <c r="H854" s="22"/>
      <c r="I854" s="266"/>
      <c r="J854" s="272"/>
      <c r="K854" s="272"/>
      <c r="L854" s="272"/>
      <c r="M854" s="273"/>
      <c r="N854" s="273"/>
      <c r="O854" s="273"/>
      <c r="P854" s="27"/>
      <c r="Q854" s="27"/>
      <c r="R854" s="27"/>
      <c r="S854" s="22"/>
      <c r="T854" s="22"/>
      <c r="U854" s="28"/>
    </row>
    <row r="855">
      <c r="A855" s="189"/>
      <c r="B855" s="22"/>
      <c r="C855" s="22"/>
      <c r="D855" s="22"/>
      <c r="E855" s="22"/>
      <c r="F855" s="22"/>
      <c r="G855" s="22"/>
      <c r="H855" s="22"/>
      <c r="I855" s="266"/>
      <c r="J855" s="272"/>
      <c r="K855" s="272"/>
      <c r="L855" s="272"/>
      <c r="M855" s="273"/>
      <c r="N855" s="273"/>
      <c r="O855" s="273"/>
      <c r="P855" s="27"/>
      <c r="Q855" s="27"/>
      <c r="R855" s="27"/>
      <c r="S855" s="22"/>
      <c r="T855" s="22"/>
      <c r="U855" s="28"/>
    </row>
    <row r="856">
      <c r="A856" s="189"/>
      <c r="B856" s="22"/>
      <c r="C856" s="22"/>
      <c r="D856" s="22"/>
      <c r="E856" s="22"/>
      <c r="F856" s="22"/>
      <c r="G856" s="22"/>
      <c r="H856" s="22"/>
      <c r="I856" s="266"/>
      <c r="J856" s="272"/>
      <c r="K856" s="272"/>
      <c r="L856" s="272"/>
      <c r="M856" s="273"/>
      <c r="N856" s="273"/>
      <c r="O856" s="273"/>
      <c r="P856" s="27"/>
      <c r="Q856" s="27"/>
      <c r="R856" s="27"/>
      <c r="S856" s="22"/>
      <c r="T856" s="22"/>
      <c r="U856" s="28"/>
    </row>
    <row r="857">
      <c r="A857" s="189"/>
      <c r="B857" s="22"/>
      <c r="C857" s="22"/>
      <c r="D857" s="22"/>
      <c r="E857" s="22"/>
      <c r="F857" s="22"/>
      <c r="G857" s="22"/>
      <c r="H857" s="22"/>
      <c r="I857" s="266"/>
      <c r="J857" s="272"/>
      <c r="K857" s="272"/>
      <c r="L857" s="272"/>
      <c r="M857" s="273"/>
      <c r="N857" s="273"/>
      <c r="O857" s="273"/>
      <c r="P857" s="27"/>
      <c r="Q857" s="27"/>
      <c r="R857" s="27"/>
      <c r="S857" s="22"/>
      <c r="T857" s="22"/>
      <c r="U857" s="28"/>
    </row>
    <row r="858">
      <c r="A858" s="189"/>
      <c r="B858" s="22"/>
      <c r="C858" s="22"/>
      <c r="D858" s="22"/>
      <c r="E858" s="22"/>
      <c r="F858" s="22"/>
      <c r="G858" s="22"/>
      <c r="H858" s="22"/>
      <c r="I858" s="266"/>
      <c r="J858" s="272"/>
      <c r="K858" s="272"/>
      <c r="L858" s="272"/>
      <c r="M858" s="273"/>
      <c r="N858" s="273"/>
      <c r="O858" s="273"/>
      <c r="P858" s="27"/>
      <c r="Q858" s="27"/>
      <c r="R858" s="27"/>
      <c r="S858" s="22"/>
      <c r="T858" s="22"/>
      <c r="U858" s="28"/>
    </row>
    <row r="859">
      <c r="A859" s="189"/>
      <c r="B859" s="22"/>
      <c r="C859" s="22"/>
      <c r="D859" s="22"/>
      <c r="E859" s="22"/>
      <c r="F859" s="22"/>
      <c r="G859" s="22"/>
      <c r="H859" s="22"/>
      <c r="I859" s="266"/>
      <c r="J859" s="272"/>
      <c r="K859" s="272"/>
      <c r="L859" s="272"/>
      <c r="M859" s="273"/>
      <c r="N859" s="273"/>
      <c r="O859" s="273"/>
      <c r="P859" s="27"/>
      <c r="Q859" s="27"/>
      <c r="R859" s="27"/>
      <c r="S859" s="22"/>
      <c r="T859" s="22"/>
      <c r="U859" s="28"/>
    </row>
    <row r="860">
      <c r="A860" s="189"/>
      <c r="B860" s="22"/>
      <c r="C860" s="22"/>
      <c r="D860" s="22"/>
      <c r="E860" s="22"/>
      <c r="F860" s="22"/>
      <c r="G860" s="22"/>
      <c r="H860" s="22"/>
      <c r="I860" s="266"/>
      <c r="J860" s="272"/>
      <c r="K860" s="272"/>
      <c r="L860" s="272"/>
      <c r="M860" s="273"/>
      <c r="N860" s="273"/>
      <c r="O860" s="273"/>
      <c r="P860" s="27"/>
      <c r="Q860" s="27"/>
      <c r="R860" s="27"/>
      <c r="S860" s="22"/>
      <c r="T860" s="22"/>
      <c r="U860" s="28"/>
    </row>
    <row r="861">
      <c r="A861" s="189"/>
      <c r="B861" s="22"/>
      <c r="C861" s="22"/>
      <c r="D861" s="22"/>
      <c r="E861" s="22"/>
      <c r="F861" s="22"/>
      <c r="G861" s="22"/>
      <c r="H861" s="22"/>
      <c r="I861" s="266"/>
      <c r="J861" s="272"/>
      <c r="K861" s="272"/>
      <c r="L861" s="272"/>
      <c r="M861" s="273"/>
      <c r="N861" s="273"/>
      <c r="O861" s="273"/>
      <c r="P861" s="27"/>
      <c r="Q861" s="27"/>
      <c r="R861" s="27"/>
      <c r="S861" s="22"/>
      <c r="T861" s="22"/>
      <c r="U861" s="28"/>
    </row>
    <row r="862">
      <c r="A862" s="189"/>
      <c r="B862" s="22"/>
      <c r="C862" s="22"/>
      <c r="D862" s="22"/>
      <c r="E862" s="22"/>
      <c r="F862" s="22"/>
      <c r="G862" s="22"/>
      <c r="H862" s="22"/>
      <c r="I862" s="266"/>
      <c r="J862" s="272"/>
      <c r="K862" s="272"/>
      <c r="L862" s="272"/>
      <c r="M862" s="273"/>
      <c r="N862" s="273"/>
      <c r="O862" s="273"/>
      <c r="P862" s="27"/>
      <c r="Q862" s="27"/>
      <c r="R862" s="27"/>
      <c r="S862" s="22"/>
      <c r="T862" s="22"/>
      <c r="U862" s="28"/>
    </row>
    <row r="863">
      <c r="A863" s="189"/>
      <c r="B863" s="22"/>
      <c r="C863" s="22"/>
      <c r="D863" s="22"/>
      <c r="E863" s="22"/>
      <c r="F863" s="22"/>
      <c r="G863" s="22"/>
      <c r="H863" s="22"/>
      <c r="I863" s="266"/>
      <c r="J863" s="272"/>
      <c r="K863" s="272"/>
      <c r="L863" s="272"/>
      <c r="M863" s="273"/>
      <c r="N863" s="273"/>
      <c r="O863" s="273"/>
      <c r="P863" s="27"/>
      <c r="Q863" s="27"/>
      <c r="R863" s="27"/>
      <c r="S863" s="22"/>
      <c r="T863" s="22"/>
      <c r="U863" s="28"/>
    </row>
    <row r="864">
      <c r="A864" s="189"/>
      <c r="B864" s="22"/>
      <c r="C864" s="22"/>
      <c r="D864" s="22"/>
      <c r="E864" s="22"/>
      <c r="F864" s="22"/>
      <c r="G864" s="22"/>
      <c r="H864" s="22"/>
      <c r="I864" s="266"/>
      <c r="J864" s="272"/>
      <c r="K864" s="272"/>
      <c r="L864" s="272"/>
      <c r="M864" s="273"/>
      <c r="N864" s="273"/>
      <c r="O864" s="273"/>
      <c r="P864" s="27"/>
      <c r="Q864" s="27"/>
      <c r="R864" s="27"/>
      <c r="S864" s="22"/>
      <c r="T864" s="22"/>
      <c r="U864" s="28"/>
    </row>
    <row r="865">
      <c r="A865" s="189"/>
      <c r="B865" s="22"/>
      <c r="C865" s="22"/>
      <c r="D865" s="22"/>
      <c r="E865" s="22"/>
      <c r="F865" s="22"/>
      <c r="G865" s="22"/>
      <c r="H865" s="22"/>
      <c r="I865" s="266"/>
      <c r="J865" s="272"/>
      <c r="K865" s="272"/>
      <c r="L865" s="272"/>
      <c r="M865" s="273"/>
      <c r="N865" s="273"/>
      <c r="O865" s="273"/>
      <c r="P865" s="27"/>
      <c r="Q865" s="27"/>
      <c r="R865" s="27"/>
      <c r="S865" s="22"/>
      <c r="T865" s="22"/>
      <c r="U865" s="28"/>
    </row>
    <row r="866">
      <c r="A866" s="189"/>
      <c r="B866" s="22"/>
      <c r="C866" s="22"/>
      <c r="D866" s="22"/>
      <c r="E866" s="22"/>
      <c r="F866" s="22"/>
      <c r="G866" s="22"/>
      <c r="H866" s="22"/>
      <c r="I866" s="266"/>
      <c r="J866" s="272"/>
      <c r="K866" s="272"/>
      <c r="L866" s="272"/>
      <c r="M866" s="273"/>
      <c r="N866" s="273"/>
      <c r="O866" s="273"/>
      <c r="P866" s="27"/>
      <c r="Q866" s="27"/>
      <c r="R866" s="27"/>
      <c r="S866" s="22"/>
      <c r="T866" s="22"/>
      <c r="U866" s="28"/>
    </row>
    <row r="867">
      <c r="A867" s="189"/>
      <c r="B867" s="22"/>
      <c r="C867" s="22"/>
      <c r="D867" s="22"/>
      <c r="E867" s="22"/>
      <c r="F867" s="22"/>
      <c r="G867" s="22"/>
      <c r="H867" s="22"/>
      <c r="I867" s="266"/>
      <c r="J867" s="272"/>
      <c r="K867" s="272"/>
      <c r="L867" s="272"/>
      <c r="M867" s="273"/>
      <c r="N867" s="273"/>
      <c r="O867" s="273"/>
      <c r="P867" s="27"/>
      <c r="Q867" s="27"/>
      <c r="R867" s="27"/>
      <c r="S867" s="22"/>
      <c r="T867" s="22"/>
      <c r="U867" s="28"/>
    </row>
    <row r="868">
      <c r="A868" s="189"/>
      <c r="B868" s="22"/>
      <c r="C868" s="22"/>
      <c r="D868" s="22"/>
      <c r="E868" s="22"/>
      <c r="F868" s="22"/>
      <c r="G868" s="22"/>
      <c r="H868" s="22"/>
      <c r="I868" s="266"/>
      <c r="J868" s="272"/>
      <c r="K868" s="272"/>
      <c r="L868" s="272"/>
      <c r="M868" s="273"/>
      <c r="N868" s="273"/>
      <c r="O868" s="273"/>
      <c r="P868" s="27"/>
      <c r="Q868" s="27"/>
      <c r="R868" s="27"/>
      <c r="S868" s="22"/>
      <c r="T868" s="22"/>
      <c r="U868" s="28"/>
    </row>
    <row r="869">
      <c r="A869" s="189"/>
      <c r="B869" s="22"/>
      <c r="C869" s="22"/>
      <c r="D869" s="22"/>
      <c r="E869" s="22"/>
      <c r="F869" s="22"/>
      <c r="G869" s="22"/>
      <c r="H869" s="22"/>
      <c r="I869" s="266"/>
      <c r="J869" s="272"/>
      <c r="K869" s="272"/>
      <c r="L869" s="272"/>
      <c r="M869" s="273"/>
      <c r="N869" s="273"/>
      <c r="O869" s="273"/>
      <c r="P869" s="27"/>
      <c r="Q869" s="27"/>
      <c r="R869" s="27"/>
      <c r="S869" s="22"/>
      <c r="T869" s="22"/>
      <c r="U869" s="28"/>
    </row>
    <row r="870">
      <c r="A870" s="189"/>
      <c r="B870" s="22"/>
      <c r="C870" s="22"/>
      <c r="D870" s="22"/>
      <c r="E870" s="22"/>
      <c r="F870" s="22"/>
      <c r="G870" s="22"/>
      <c r="H870" s="22"/>
      <c r="I870" s="266"/>
      <c r="J870" s="272"/>
      <c r="K870" s="272"/>
      <c r="L870" s="272"/>
      <c r="M870" s="273"/>
      <c r="N870" s="273"/>
      <c r="O870" s="273"/>
      <c r="P870" s="27"/>
      <c r="Q870" s="27"/>
      <c r="R870" s="27"/>
      <c r="S870" s="22"/>
      <c r="T870" s="22"/>
      <c r="U870" s="28"/>
    </row>
    <row r="871">
      <c r="A871" s="189"/>
      <c r="B871" s="22"/>
      <c r="C871" s="22"/>
      <c r="D871" s="22"/>
      <c r="E871" s="22"/>
      <c r="F871" s="22"/>
      <c r="G871" s="22"/>
      <c r="H871" s="22"/>
      <c r="I871" s="266"/>
      <c r="J871" s="272"/>
      <c r="K871" s="272"/>
      <c r="L871" s="272"/>
      <c r="M871" s="273"/>
      <c r="N871" s="273"/>
      <c r="O871" s="273"/>
      <c r="P871" s="27"/>
      <c r="Q871" s="27"/>
      <c r="R871" s="27"/>
      <c r="S871" s="22"/>
      <c r="T871" s="22"/>
      <c r="U871" s="28"/>
    </row>
    <row r="872">
      <c r="A872" s="189"/>
      <c r="B872" s="22"/>
      <c r="C872" s="22"/>
      <c r="D872" s="22"/>
      <c r="E872" s="22"/>
      <c r="F872" s="22"/>
      <c r="G872" s="22"/>
      <c r="H872" s="22"/>
      <c r="I872" s="266"/>
      <c r="J872" s="272"/>
      <c r="K872" s="272"/>
      <c r="L872" s="272"/>
      <c r="M872" s="273"/>
      <c r="N872" s="273"/>
      <c r="O872" s="273"/>
      <c r="P872" s="27"/>
      <c r="Q872" s="27"/>
      <c r="R872" s="27"/>
      <c r="S872" s="22"/>
      <c r="T872" s="22"/>
      <c r="U872" s="28"/>
    </row>
    <row r="873">
      <c r="A873" s="189"/>
      <c r="B873" s="22"/>
      <c r="C873" s="22"/>
      <c r="D873" s="22"/>
      <c r="E873" s="22"/>
      <c r="F873" s="22"/>
      <c r="G873" s="22"/>
      <c r="H873" s="22"/>
      <c r="I873" s="266"/>
      <c r="J873" s="272"/>
      <c r="K873" s="272"/>
      <c r="L873" s="272"/>
      <c r="M873" s="273"/>
      <c r="N873" s="273"/>
      <c r="O873" s="273"/>
      <c r="P873" s="27"/>
      <c r="Q873" s="27"/>
      <c r="R873" s="27"/>
      <c r="S873" s="22"/>
      <c r="T873" s="22"/>
      <c r="U873" s="28"/>
    </row>
    <row r="874">
      <c r="A874" s="189"/>
      <c r="B874" s="22"/>
      <c r="C874" s="22"/>
      <c r="D874" s="22"/>
      <c r="E874" s="22"/>
      <c r="F874" s="22"/>
      <c r="G874" s="22"/>
      <c r="H874" s="22"/>
      <c r="I874" s="266"/>
      <c r="J874" s="272"/>
      <c r="K874" s="272"/>
      <c r="L874" s="272"/>
      <c r="M874" s="273"/>
      <c r="N874" s="273"/>
      <c r="O874" s="273"/>
      <c r="P874" s="27"/>
      <c r="Q874" s="27"/>
      <c r="R874" s="27"/>
      <c r="S874" s="22"/>
      <c r="T874" s="22"/>
      <c r="U874" s="28"/>
    </row>
    <row r="875">
      <c r="A875" s="189"/>
      <c r="B875" s="22"/>
      <c r="C875" s="22"/>
      <c r="D875" s="22"/>
      <c r="E875" s="22"/>
      <c r="F875" s="22"/>
      <c r="G875" s="22"/>
      <c r="H875" s="22"/>
      <c r="I875" s="266"/>
      <c r="J875" s="272"/>
      <c r="K875" s="272"/>
      <c r="L875" s="272"/>
      <c r="M875" s="273"/>
      <c r="N875" s="273"/>
      <c r="O875" s="273"/>
      <c r="P875" s="27"/>
      <c r="Q875" s="27"/>
      <c r="R875" s="27"/>
      <c r="S875" s="22"/>
      <c r="T875" s="22"/>
      <c r="U875" s="28"/>
    </row>
    <row r="876">
      <c r="A876" s="189"/>
      <c r="B876" s="22"/>
      <c r="C876" s="22"/>
      <c r="D876" s="22"/>
      <c r="E876" s="22"/>
      <c r="F876" s="22"/>
      <c r="G876" s="22"/>
      <c r="H876" s="22"/>
      <c r="I876" s="266"/>
      <c r="J876" s="272"/>
      <c r="K876" s="272"/>
      <c r="L876" s="272"/>
      <c r="M876" s="273"/>
      <c r="N876" s="273"/>
      <c r="O876" s="273"/>
      <c r="P876" s="27"/>
      <c r="Q876" s="27"/>
      <c r="R876" s="27"/>
      <c r="S876" s="22"/>
      <c r="T876" s="22"/>
      <c r="U876" s="28"/>
    </row>
    <row r="877">
      <c r="A877" s="189"/>
      <c r="B877" s="22"/>
      <c r="C877" s="22"/>
      <c r="D877" s="22"/>
      <c r="E877" s="22"/>
      <c r="F877" s="22"/>
      <c r="G877" s="22"/>
      <c r="H877" s="22"/>
      <c r="I877" s="266"/>
      <c r="J877" s="272"/>
      <c r="K877" s="272"/>
      <c r="L877" s="272"/>
      <c r="M877" s="273"/>
      <c r="N877" s="273"/>
      <c r="O877" s="273"/>
      <c r="P877" s="27"/>
      <c r="Q877" s="27"/>
      <c r="R877" s="27"/>
      <c r="S877" s="22"/>
      <c r="T877" s="22"/>
      <c r="U877" s="28"/>
    </row>
    <row r="878">
      <c r="A878" s="189"/>
      <c r="B878" s="22"/>
      <c r="C878" s="22"/>
      <c r="D878" s="22"/>
      <c r="E878" s="22"/>
      <c r="F878" s="22"/>
      <c r="G878" s="22"/>
      <c r="H878" s="22"/>
      <c r="I878" s="266"/>
      <c r="J878" s="272"/>
      <c r="K878" s="272"/>
      <c r="L878" s="272"/>
      <c r="M878" s="273"/>
      <c r="N878" s="273"/>
      <c r="O878" s="273"/>
      <c r="P878" s="27"/>
      <c r="Q878" s="27"/>
      <c r="R878" s="27"/>
      <c r="S878" s="22"/>
      <c r="T878" s="22"/>
      <c r="U878" s="28"/>
    </row>
    <row r="879">
      <c r="A879" s="189"/>
      <c r="B879" s="22"/>
      <c r="C879" s="22"/>
      <c r="D879" s="22"/>
      <c r="E879" s="22"/>
      <c r="F879" s="22"/>
      <c r="G879" s="22"/>
      <c r="H879" s="22"/>
      <c r="I879" s="266"/>
      <c r="J879" s="272"/>
      <c r="K879" s="272"/>
      <c r="L879" s="272"/>
      <c r="M879" s="273"/>
      <c r="N879" s="273"/>
      <c r="O879" s="273"/>
      <c r="P879" s="27"/>
      <c r="Q879" s="27"/>
      <c r="R879" s="27"/>
      <c r="S879" s="22"/>
      <c r="T879" s="22"/>
      <c r="U879" s="28"/>
    </row>
    <row r="880">
      <c r="A880" s="189"/>
      <c r="B880" s="22"/>
      <c r="C880" s="22"/>
      <c r="D880" s="22"/>
      <c r="E880" s="22"/>
      <c r="F880" s="22"/>
      <c r="G880" s="22"/>
      <c r="H880" s="22"/>
      <c r="I880" s="266"/>
      <c r="J880" s="272"/>
      <c r="K880" s="272"/>
      <c r="L880" s="272"/>
      <c r="M880" s="273"/>
      <c r="N880" s="273"/>
      <c r="O880" s="273"/>
      <c r="P880" s="27"/>
      <c r="Q880" s="27"/>
      <c r="R880" s="27"/>
      <c r="S880" s="22"/>
      <c r="T880" s="22"/>
      <c r="U880" s="28"/>
    </row>
    <row r="881">
      <c r="A881" s="189"/>
      <c r="B881" s="22"/>
      <c r="C881" s="22"/>
      <c r="D881" s="22"/>
      <c r="E881" s="22"/>
      <c r="F881" s="22"/>
      <c r="G881" s="22"/>
      <c r="H881" s="22"/>
      <c r="I881" s="266"/>
      <c r="J881" s="272"/>
      <c r="K881" s="272"/>
      <c r="L881" s="272"/>
      <c r="M881" s="273"/>
      <c r="N881" s="273"/>
      <c r="O881" s="273"/>
      <c r="P881" s="27"/>
      <c r="Q881" s="27"/>
      <c r="R881" s="27"/>
      <c r="S881" s="22"/>
      <c r="T881" s="22"/>
      <c r="U881" s="28"/>
    </row>
    <row r="882">
      <c r="A882" s="189"/>
      <c r="B882" s="22"/>
      <c r="C882" s="22"/>
      <c r="D882" s="22"/>
      <c r="E882" s="22"/>
      <c r="F882" s="22"/>
      <c r="G882" s="22"/>
      <c r="H882" s="22"/>
      <c r="I882" s="266"/>
      <c r="J882" s="272"/>
      <c r="K882" s="272"/>
      <c r="L882" s="272"/>
      <c r="M882" s="273"/>
      <c r="N882" s="273"/>
      <c r="O882" s="273"/>
      <c r="P882" s="27"/>
      <c r="Q882" s="27"/>
      <c r="R882" s="27"/>
      <c r="S882" s="22"/>
      <c r="T882" s="22"/>
      <c r="U882" s="28"/>
    </row>
    <row r="883">
      <c r="A883" s="189"/>
      <c r="B883" s="22"/>
      <c r="C883" s="22"/>
      <c r="D883" s="22"/>
      <c r="E883" s="22"/>
      <c r="F883" s="22"/>
      <c r="G883" s="22"/>
      <c r="H883" s="22"/>
      <c r="I883" s="266"/>
      <c r="J883" s="272"/>
      <c r="K883" s="272"/>
      <c r="L883" s="272"/>
      <c r="M883" s="273"/>
      <c r="N883" s="273"/>
      <c r="O883" s="273"/>
      <c r="P883" s="27"/>
      <c r="Q883" s="27"/>
      <c r="R883" s="27"/>
      <c r="S883" s="22"/>
      <c r="T883" s="22"/>
      <c r="U883" s="28"/>
    </row>
    <row r="884">
      <c r="A884" s="189"/>
      <c r="B884" s="22"/>
      <c r="C884" s="22"/>
      <c r="D884" s="22"/>
      <c r="E884" s="22"/>
      <c r="F884" s="22"/>
      <c r="G884" s="22"/>
      <c r="H884" s="22"/>
      <c r="I884" s="266"/>
      <c r="J884" s="272"/>
      <c r="K884" s="272"/>
      <c r="L884" s="272"/>
      <c r="M884" s="273"/>
      <c r="N884" s="273"/>
      <c r="O884" s="273"/>
      <c r="P884" s="27"/>
      <c r="Q884" s="27"/>
      <c r="R884" s="27"/>
      <c r="S884" s="22"/>
      <c r="T884" s="22"/>
      <c r="U884" s="28"/>
    </row>
    <row r="885">
      <c r="A885" s="189"/>
      <c r="B885" s="22"/>
      <c r="C885" s="22"/>
      <c r="D885" s="22"/>
      <c r="E885" s="22"/>
      <c r="F885" s="22"/>
      <c r="G885" s="22"/>
      <c r="H885" s="22"/>
      <c r="I885" s="266"/>
      <c r="J885" s="272"/>
      <c r="K885" s="272"/>
      <c r="L885" s="272"/>
      <c r="M885" s="273"/>
      <c r="N885" s="273"/>
      <c r="O885" s="273"/>
      <c r="P885" s="27"/>
      <c r="Q885" s="27"/>
      <c r="R885" s="27"/>
      <c r="S885" s="22"/>
      <c r="T885" s="22"/>
      <c r="U885" s="28"/>
    </row>
    <row r="886">
      <c r="A886" s="189"/>
      <c r="B886" s="22"/>
      <c r="C886" s="22"/>
      <c r="D886" s="22"/>
      <c r="E886" s="22"/>
      <c r="F886" s="22"/>
      <c r="G886" s="22"/>
      <c r="H886" s="22"/>
      <c r="I886" s="266"/>
      <c r="J886" s="272"/>
      <c r="K886" s="272"/>
      <c r="L886" s="272"/>
      <c r="M886" s="273"/>
      <c r="N886" s="273"/>
      <c r="O886" s="273"/>
      <c r="P886" s="27"/>
      <c r="Q886" s="27"/>
      <c r="R886" s="27"/>
      <c r="S886" s="22"/>
      <c r="T886" s="22"/>
      <c r="U886" s="28"/>
    </row>
    <row r="887">
      <c r="A887" s="189"/>
      <c r="B887" s="22"/>
      <c r="C887" s="22"/>
      <c r="D887" s="22"/>
      <c r="E887" s="22"/>
      <c r="F887" s="22"/>
      <c r="G887" s="22"/>
      <c r="H887" s="22"/>
      <c r="I887" s="266"/>
      <c r="J887" s="272"/>
      <c r="K887" s="272"/>
      <c r="L887" s="272"/>
      <c r="M887" s="273"/>
      <c r="N887" s="273"/>
      <c r="O887" s="273"/>
      <c r="P887" s="27"/>
      <c r="Q887" s="27"/>
      <c r="R887" s="27"/>
      <c r="S887" s="22"/>
      <c r="T887" s="22"/>
      <c r="U887" s="28"/>
    </row>
    <row r="888">
      <c r="A888" s="189"/>
      <c r="B888" s="22"/>
      <c r="C888" s="22"/>
      <c r="D888" s="22"/>
      <c r="E888" s="22"/>
      <c r="F888" s="22"/>
      <c r="G888" s="22"/>
      <c r="H888" s="22"/>
      <c r="I888" s="266"/>
      <c r="J888" s="272"/>
      <c r="K888" s="272"/>
      <c r="L888" s="272"/>
      <c r="M888" s="273"/>
      <c r="N888" s="273"/>
      <c r="O888" s="273"/>
      <c r="P888" s="27"/>
      <c r="Q888" s="27"/>
      <c r="R888" s="27"/>
      <c r="S888" s="22"/>
      <c r="T888" s="22"/>
      <c r="U888" s="28"/>
    </row>
    <row r="889">
      <c r="A889" s="189"/>
      <c r="B889" s="22"/>
      <c r="C889" s="22"/>
      <c r="D889" s="22"/>
      <c r="E889" s="22"/>
      <c r="F889" s="22"/>
      <c r="G889" s="22"/>
      <c r="H889" s="22"/>
      <c r="I889" s="266"/>
      <c r="J889" s="272"/>
      <c r="K889" s="272"/>
      <c r="L889" s="272"/>
      <c r="M889" s="273"/>
      <c r="N889" s="273"/>
      <c r="O889" s="273"/>
      <c r="P889" s="27"/>
      <c r="Q889" s="27"/>
      <c r="R889" s="27"/>
      <c r="S889" s="22"/>
      <c r="T889" s="22"/>
      <c r="U889" s="28"/>
    </row>
    <row r="890">
      <c r="A890" s="189"/>
      <c r="B890" s="22"/>
      <c r="C890" s="22"/>
      <c r="D890" s="22"/>
      <c r="E890" s="22"/>
      <c r="F890" s="22"/>
      <c r="G890" s="22"/>
      <c r="H890" s="22"/>
      <c r="I890" s="266"/>
      <c r="J890" s="272"/>
      <c r="K890" s="272"/>
      <c r="L890" s="272"/>
      <c r="M890" s="273"/>
      <c r="N890" s="273"/>
      <c r="O890" s="273"/>
      <c r="P890" s="27"/>
      <c r="Q890" s="27"/>
      <c r="R890" s="27"/>
      <c r="S890" s="22"/>
      <c r="T890" s="22"/>
      <c r="U890" s="28"/>
    </row>
    <row r="891">
      <c r="A891" s="189"/>
      <c r="B891" s="22"/>
      <c r="C891" s="22"/>
      <c r="D891" s="22"/>
      <c r="E891" s="22"/>
      <c r="F891" s="22"/>
      <c r="G891" s="22"/>
      <c r="H891" s="22"/>
      <c r="I891" s="266"/>
      <c r="J891" s="272"/>
      <c r="K891" s="272"/>
      <c r="L891" s="272"/>
      <c r="M891" s="273"/>
      <c r="N891" s="273"/>
      <c r="O891" s="273"/>
      <c r="P891" s="27"/>
      <c r="Q891" s="27"/>
      <c r="R891" s="27"/>
      <c r="S891" s="22"/>
      <c r="T891" s="22"/>
      <c r="U891" s="28"/>
    </row>
    <row r="892">
      <c r="A892" s="189"/>
      <c r="B892" s="22"/>
      <c r="C892" s="22"/>
      <c r="D892" s="22"/>
      <c r="E892" s="22"/>
      <c r="F892" s="22"/>
      <c r="G892" s="22"/>
      <c r="H892" s="22"/>
      <c r="I892" s="266"/>
      <c r="J892" s="272"/>
      <c r="K892" s="272"/>
      <c r="L892" s="272"/>
      <c r="M892" s="273"/>
      <c r="N892" s="273"/>
      <c r="O892" s="273"/>
      <c r="P892" s="27"/>
      <c r="Q892" s="27"/>
      <c r="R892" s="27"/>
      <c r="S892" s="22"/>
      <c r="T892" s="22"/>
      <c r="U892" s="28"/>
    </row>
    <row r="893">
      <c r="A893" s="189"/>
      <c r="B893" s="22"/>
      <c r="C893" s="22"/>
      <c r="D893" s="22"/>
      <c r="E893" s="22"/>
      <c r="F893" s="22"/>
      <c r="G893" s="22"/>
      <c r="H893" s="22"/>
      <c r="I893" s="266"/>
      <c r="J893" s="272"/>
      <c r="K893" s="272"/>
      <c r="L893" s="272"/>
      <c r="M893" s="273"/>
      <c r="N893" s="273"/>
      <c r="O893" s="273"/>
      <c r="P893" s="27"/>
      <c r="Q893" s="27"/>
      <c r="R893" s="27"/>
      <c r="S893" s="22"/>
      <c r="T893" s="22"/>
      <c r="U893" s="28"/>
    </row>
    <row r="894">
      <c r="A894" s="189"/>
      <c r="B894" s="22"/>
      <c r="C894" s="22"/>
      <c r="D894" s="22"/>
      <c r="E894" s="22"/>
      <c r="F894" s="22"/>
      <c r="G894" s="22"/>
      <c r="H894" s="22"/>
      <c r="I894" s="266"/>
      <c r="J894" s="272"/>
      <c r="K894" s="272"/>
      <c r="L894" s="272"/>
      <c r="M894" s="273"/>
      <c r="N894" s="273"/>
      <c r="O894" s="273"/>
      <c r="P894" s="27"/>
      <c r="Q894" s="27"/>
      <c r="R894" s="27"/>
      <c r="S894" s="22"/>
      <c r="T894" s="22"/>
      <c r="U894" s="28"/>
    </row>
    <row r="895">
      <c r="A895" s="189"/>
      <c r="B895" s="22"/>
      <c r="C895" s="22"/>
      <c r="D895" s="22"/>
      <c r="E895" s="22"/>
      <c r="F895" s="22"/>
      <c r="G895" s="22"/>
      <c r="H895" s="22"/>
      <c r="I895" s="266"/>
      <c r="J895" s="272"/>
      <c r="K895" s="272"/>
      <c r="L895" s="272"/>
      <c r="M895" s="273"/>
      <c r="N895" s="273"/>
      <c r="O895" s="273"/>
      <c r="P895" s="27"/>
      <c r="Q895" s="27"/>
      <c r="R895" s="27"/>
      <c r="S895" s="22"/>
      <c r="T895" s="22"/>
      <c r="U895" s="28"/>
    </row>
    <row r="896">
      <c r="A896" s="189"/>
      <c r="B896" s="22"/>
      <c r="C896" s="22"/>
      <c r="D896" s="22"/>
      <c r="E896" s="22"/>
      <c r="F896" s="22"/>
      <c r="G896" s="22"/>
      <c r="H896" s="22"/>
      <c r="I896" s="266"/>
      <c r="J896" s="272"/>
      <c r="K896" s="272"/>
      <c r="L896" s="272"/>
      <c r="M896" s="273"/>
      <c r="N896" s="273"/>
      <c r="O896" s="273"/>
      <c r="P896" s="27"/>
      <c r="Q896" s="27"/>
      <c r="R896" s="27"/>
      <c r="S896" s="22"/>
      <c r="T896" s="22"/>
      <c r="U896" s="28"/>
    </row>
    <row r="897">
      <c r="A897" s="189"/>
      <c r="B897" s="22"/>
      <c r="C897" s="22"/>
      <c r="D897" s="22"/>
      <c r="E897" s="22"/>
      <c r="F897" s="22"/>
      <c r="G897" s="22"/>
      <c r="H897" s="22"/>
      <c r="I897" s="266"/>
      <c r="J897" s="272"/>
      <c r="K897" s="272"/>
      <c r="L897" s="272"/>
      <c r="M897" s="273"/>
      <c r="N897" s="273"/>
      <c r="O897" s="273"/>
      <c r="P897" s="27"/>
      <c r="Q897" s="27"/>
      <c r="R897" s="27"/>
      <c r="S897" s="22"/>
      <c r="T897" s="22"/>
      <c r="U897" s="28"/>
    </row>
    <row r="898">
      <c r="A898" s="189"/>
      <c r="B898" s="22"/>
      <c r="C898" s="22"/>
      <c r="D898" s="22"/>
      <c r="E898" s="22"/>
      <c r="F898" s="22"/>
      <c r="G898" s="22"/>
      <c r="H898" s="22"/>
      <c r="I898" s="266"/>
      <c r="J898" s="272"/>
      <c r="K898" s="272"/>
      <c r="L898" s="272"/>
      <c r="M898" s="273"/>
      <c r="N898" s="273"/>
      <c r="O898" s="273"/>
      <c r="P898" s="27"/>
      <c r="Q898" s="27"/>
      <c r="R898" s="27"/>
      <c r="S898" s="22"/>
      <c r="T898" s="22"/>
      <c r="U898" s="28"/>
    </row>
    <row r="899">
      <c r="A899" s="189"/>
      <c r="B899" s="22"/>
      <c r="C899" s="22"/>
      <c r="D899" s="22"/>
      <c r="E899" s="22"/>
      <c r="F899" s="22"/>
      <c r="G899" s="22"/>
      <c r="H899" s="22"/>
      <c r="I899" s="266"/>
      <c r="J899" s="272"/>
      <c r="K899" s="272"/>
      <c r="L899" s="272"/>
      <c r="M899" s="273"/>
      <c r="N899" s="273"/>
      <c r="O899" s="273"/>
      <c r="P899" s="27"/>
      <c r="Q899" s="27"/>
      <c r="R899" s="27"/>
      <c r="S899" s="22"/>
      <c r="T899" s="22"/>
      <c r="U899" s="28"/>
    </row>
    <row r="900">
      <c r="A900" s="189"/>
      <c r="B900" s="22"/>
      <c r="C900" s="22"/>
      <c r="D900" s="22"/>
      <c r="E900" s="22"/>
      <c r="F900" s="22"/>
      <c r="G900" s="22"/>
      <c r="H900" s="22"/>
      <c r="I900" s="266"/>
      <c r="J900" s="272"/>
      <c r="K900" s="272"/>
      <c r="L900" s="272"/>
      <c r="M900" s="273"/>
      <c r="N900" s="273"/>
      <c r="O900" s="273"/>
      <c r="P900" s="27"/>
      <c r="Q900" s="27"/>
      <c r="R900" s="27"/>
      <c r="S900" s="22"/>
      <c r="T900" s="22"/>
      <c r="U900" s="28"/>
    </row>
    <row r="901">
      <c r="A901" s="189"/>
      <c r="B901" s="22"/>
      <c r="C901" s="22"/>
      <c r="D901" s="22"/>
      <c r="E901" s="22"/>
      <c r="F901" s="22"/>
      <c r="G901" s="22"/>
      <c r="H901" s="22"/>
      <c r="I901" s="266"/>
      <c r="J901" s="272"/>
      <c r="K901" s="272"/>
      <c r="L901" s="272"/>
      <c r="M901" s="273"/>
      <c r="N901" s="273"/>
      <c r="O901" s="273"/>
      <c r="P901" s="27"/>
      <c r="Q901" s="27"/>
      <c r="R901" s="27"/>
      <c r="S901" s="22"/>
      <c r="T901" s="22"/>
      <c r="U901" s="28"/>
    </row>
    <row r="902">
      <c r="A902" s="189"/>
      <c r="B902" s="22"/>
      <c r="C902" s="22"/>
      <c r="D902" s="22"/>
      <c r="E902" s="22"/>
      <c r="F902" s="22"/>
      <c r="G902" s="22"/>
      <c r="H902" s="22"/>
      <c r="I902" s="266"/>
      <c r="J902" s="272"/>
      <c r="K902" s="272"/>
      <c r="L902" s="272"/>
      <c r="M902" s="273"/>
      <c r="N902" s="273"/>
      <c r="O902" s="273"/>
      <c r="P902" s="27"/>
      <c r="Q902" s="27"/>
      <c r="R902" s="27"/>
      <c r="S902" s="22"/>
      <c r="T902" s="22"/>
      <c r="U902" s="28"/>
    </row>
    <row r="903">
      <c r="A903" s="189"/>
      <c r="B903" s="22"/>
      <c r="C903" s="22"/>
      <c r="D903" s="22"/>
      <c r="E903" s="22"/>
      <c r="F903" s="22"/>
      <c r="G903" s="22"/>
      <c r="H903" s="22"/>
      <c r="I903" s="266"/>
      <c r="J903" s="272"/>
      <c r="K903" s="272"/>
      <c r="L903" s="272"/>
      <c r="M903" s="273"/>
      <c r="N903" s="273"/>
      <c r="O903" s="273"/>
      <c r="P903" s="27"/>
      <c r="Q903" s="27"/>
      <c r="R903" s="27"/>
      <c r="S903" s="22"/>
      <c r="T903" s="22"/>
      <c r="U903" s="28"/>
    </row>
    <row r="904">
      <c r="A904" s="189"/>
      <c r="B904" s="22"/>
      <c r="C904" s="22"/>
      <c r="D904" s="22"/>
      <c r="E904" s="22"/>
      <c r="F904" s="22"/>
      <c r="G904" s="22"/>
      <c r="H904" s="22"/>
      <c r="I904" s="266"/>
      <c r="J904" s="272"/>
      <c r="K904" s="272"/>
      <c r="L904" s="272"/>
      <c r="M904" s="273"/>
      <c r="N904" s="273"/>
      <c r="O904" s="273"/>
      <c r="P904" s="27"/>
      <c r="Q904" s="27"/>
      <c r="R904" s="27"/>
      <c r="S904" s="22"/>
      <c r="T904" s="22"/>
      <c r="U904" s="28"/>
    </row>
    <row r="905">
      <c r="A905" s="189"/>
      <c r="B905" s="22"/>
      <c r="C905" s="22"/>
      <c r="D905" s="22"/>
      <c r="E905" s="22"/>
      <c r="F905" s="22"/>
      <c r="G905" s="22"/>
      <c r="H905" s="22"/>
      <c r="I905" s="266"/>
      <c r="J905" s="272"/>
      <c r="K905" s="272"/>
      <c r="L905" s="272"/>
      <c r="M905" s="273"/>
      <c r="N905" s="273"/>
      <c r="O905" s="273"/>
      <c r="P905" s="27"/>
      <c r="Q905" s="27"/>
      <c r="R905" s="27"/>
      <c r="S905" s="22"/>
      <c r="T905" s="22"/>
      <c r="U905" s="28"/>
    </row>
    <row r="906">
      <c r="A906" s="189"/>
      <c r="B906" s="22"/>
      <c r="C906" s="22"/>
      <c r="D906" s="22"/>
      <c r="E906" s="22"/>
      <c r="F906" s="22"/>
      <c r="G906" s="22"/>
      <c r="H906" s="22"/>
      <c r="I906" s="266"/>
      <c r="J906" s="272"/>
      <c r="K906" s="272"/>
      <c r="L906" s="272"/>
      <c r="M906" s="273"/>
      <c r="N906" s="273"/>
      <c r="O906" s="273"/>
      <c r="P906" s="27"/>
      <c r="Q906" s="27"/>
      <c r="R906" s="27"/>
      <c r="S906" s="22"/>
      <c r="T906" s="22"/>
      <c r="U906" s="28"/>
    </row>
    <row r="907">
      <c r="A907" s="189"/>
      <c r="B907" s="22"/>
      <c r="C907" s="22"/>
      <c r="D907" s="22"/>
      <c r="E907" s="22"/>
      <c r="F907" s="22"/>
      <c r="G907" s="22"/>
      <c r="H907" s="22"/>
      <c r="I907" s="266"/>
      <c r="J907" s="272"/>
      <c r="K907" s="272"/>
      <c r="L907" s="272"/>
      <c r="M907" s="273"/>
      <c r="N907" s="273"/>
      <c r="O907" s="273"/>
      <c r="P907" s="27"/>
      <c r="Q907" s="27"/>
      <c r="R907" s="27"/>
      <c r="S907" s="22"/>
      <c r="T907" s="22"/>
      <c r="U907" s="28"/>
    </row>
    <row r="908">
      <c r="A908" s="189"/>
      <c r="B908" s="22"/>
      <c r="C908" s="22"/>
      <c r="D908" s="22"/>
      <c r="E908" s="22"/>
      <c r="F908" s="22"/>
      <c r="G908" s="22"/>
      <c r="H908" s="22"/>
      <c r="I908" s="266"/>
      <c r="J908" s="272"/>
      <c r="K908" s="272"/>
      <c r="L908" s="272"/>
      <c r="M908" s="273"/>
      <c r="N908" s="273"/>
      <c r="O908" s="273"/>
      <c r="P908" s="27"/>
      <c r="Q908" s="27"/>
      <c r="R908" s="27"/>
      <c r="S908" s="22"/>
      <c r="T908" s="22"/>
      <c r="U908" s="28"/>
    </row>
    <row r="909">
      <c r="A909" s="189"/>
      <c r="B909" s="22"/>
      <c r="C909" s="22"/>
      <c r="D909" s="22"/>
      <c r="E909" s="22"/>
      <c r="F909" s="22"/>
      <c r="G909" s="22"/>
      <c r="H909" s="22"/>
      <c r="I909" s="266"/>
      <c r="J909" s="272"/>
      <c r="K909" s="272"/>
      <c r="L909" s="272"/>
      <c r="M909" s="273"/>
      <c r="N909" s="273"/>
      <c r="O909" s="273"/>
      <c r="P909" s="27"/>
      <c r="Q909" s="27"/>
      <c r="R909" s="27"/>
      <c r="S909" s="22"/>
      <c r="T909" s="22"/>
      <c r="U909" s="28"/>
    </row>
    <row r="910">
      <c r="A910" s="189"/>
      <c r="B910" s="22"/>
      <c r="C910" s="22"/>
      <c r="D910" s="22"/>
      <c r="E910" s="22"/>
      <c r="F910" s="22"/>
      <c r="G910" s="22"/>
      <c r="H910" s="22"/>
      <c r="I910" s="266"/>
      <c r="J910" s="272"/>
      <c r="K910" s="272"/>
      <c r="L910" s="272"/>
      <c r="M910" s="273"/>
      <c r="N910" s="273"/>
      <c r="O910" s="273"/>
      <c r="P910" s="27"/>
      <c r="Q910" s="27"/>
      <c r="R910" s="27"/>
      <c r="S910" s="22"/>
      <c r="T910" s="22"/>
      <c r="U910" s="28"/>
    </row>
    <row r="911">
      <c r="A911" s="189"/>
      <c r="B911" s="22"/>
      <c r="C911" s="22"/>
      <c r="D911" s="22"/>
      <c r="E911" s="22"/>
      <c r="F911" s="22"/>
      <c r="G911" s="22"/>
      <c r="H911" s="22"/>
      <c r="I911" s="266"/>
      <c r="J911" s="272"/>
      <c r="K911" s="272"/>
      <c r="L911" s="272"/>
      <c r="M911" s="273"/>
      <c r="N911" s="273"/>
      <c r="O911" s="273"/>
      <c r="P911" s="27"/>
      <c r="Q911" s="27"/>
      <c r="R911" s="27"/>
      <c r="S911" s="22"/>
      <c r="T911" s="22"/>
      <c r="U911" s="28"/>
    </row>
    <row r="912">
      <c r="A912" s="189"/>
      <c r="B912" s="22"/>
      <c r="C912" s="22"/>
      <c r="D912" s="22"/>
      <c r="E912" s="22"/>
      <c r="F912" s="22"/>
      <c r="G912" s="22"/>
      <c r="H912" s="22"/>
      <c r="I912" s="266"/>
      <c r="J912" s="272"/>
      <c r="K912" s="272"/>
      <c r="L912" s="272"/>
      <c r="M912" s="273"/>
      <c r="N912" s="273"/>
      <c r="O912" s="273"/>
      <c r="P912" s="27"/>
      <c r="Q912" s="27"/>
      <c r="R912" s="27"/>
      <c r="S912" s="22"/>
      <c r="T912" s="22"/>
      <c r="U912" s="28"/>
    </row>
    <row r="913">
      <c r="A913" s="189"/>
      <c r="B913" s="22"/>
      <c r="C913" s="22"/>
      <c r="D913" s="22"/>
      <c r="E913" s="22"/>
      <c r="F913" s="22"/>
      <c r="G913" s="22"/>
      <c r="H913" s="22"/>
      <c r="I913" s="266"/>
      <c r="J913" s="272"/>
      <c r="K913" s="272"/>
      <c r="L913" s="272"/>
      <c r="M913" s="273"/>
      <c r="N913" s="273"/>
      <c r="O913" s="273"/>
      <c r="P913" s="27"/>
      <c r="Q913" s="27"/>
      <c r="R913" s="27"/>
      <c r="S913" s="22"/>
      <c r="T913" s="22"/>
      <c r="U913" s="28"/>
    </row>
    <row r="914">
      <c r="A914" s="189"/>
      <c r="B914" s="22"/>
      <c r="C914" s="22"/>
      <c r="D914" s="22"/>
      <c r="E914" s="22"/>
      <c r="F914" s="22"/>
      <c r="G914" s="22"/>
      <c r="H914" s="22"/>
      <c r="I914" s="266"/>
      <c r="J914" s="272"/>
      <c r="K914" s="272"/>
      <c r="L914" s="272"/>
      <c r="M914" s="273"/>
      <c r="N914" s="273"/>
      <c r="O914" s="273"/>
      <c r="P914" s="27"/>
      <c r="Q914" s="27"/>
      <c r="R914" s="27"/>
      <c r="S914" s="22"/>
      <c r="T914" s="22"/>
      <c r="U914" s="28"/>
    </row>
    <row r="915">
      <c r="A915" s="189"/>
      <c r="B915" s="22"/>
      <c r="C915" s="22"/>
      <c r="D915" s="22"/>
      <c r="E915" s="22"/>
      <c r="F915" s="22"/>
      <c r="G915" s="22"/>
      <c r="H915" s="22"/>
      <c r="I915" s="266"/>
      <c r="J915" s="272"/>
      <c r="K915" s="272"/>
      <c r="L915" s="272"/>
      <c r="M915" s="273"/>
      <c r="N915" s="273"/>
      <c r="O915" s="273"/>
      <c r="P915" s="27"/>
      <c r="Q915" s="27"/>
      <c r="R915" s="27"/>
      <c r="S915" s="22"/>
      <c r="T915" s="22"/>
      <c r="U915" s="28"/>
    </row>
    <row r="916">
      <c r="A916" s="189"/>
      <c r="B916" s="22"/>
      <c r="C916" s="22"/>
      <c r="D916" s="22"/>
      <c r="E916" s="22"/>
      <c r="F916" s="22"/>
      <c r="G916" s="22"/>
      <c r="H916" s="22"/>
      <c r="I916" s="266"/>
      <c r="J916" s="272"/>
      <c r="K916" s="272"/>
      <c r="L916" s="272"/>
      <c r="M916" s="273"/>
      <c r="N916" s="273"/>
      <c r="O916" s="273"/>
      <c r="P916" s="27"/>
      <c r="Q916" s="27"/>
      <c r="R916" s="27"/>
      <c r="S916" s="22"/>
      <c r="T916" s="22"/>
      <c r="U916" s="28"/>
    </row>
    <row r="917">
      <c r="A917" s="189"/>
      <c r="B917" s="22"/>
      <c r="C917" s="22"/>
      <c r="D917" s="22"/>
      <c r="E917" s="22"/>
      <c r="F917" s="22"/>
      <c r="G917" s="22"/>
      <c r="H917" s="22"/>
      <c r="I917" s="266"/>
      <c r="J917" s="272"/>
      <c r="K917" s="272"/>
      <c r="L917" s="272"/>
      <c r="M917" s="273"/>
      <c r="N917" s="273"/>
      <c r="O917" s="273"/>
      <c r="P917" s="27"/>
      <c r="Q917" s="27"/>
      <c r="R917" s="27"/>
      <c r="S917" s="22"/>
      <c r="T917" s="22"/>
      <c r="U917" s="28"/>
    </row>
    <row r="918">
      <c r="A918" s="189"/>
      <c r="B918" s="22"/>
      <c r="C918" s="22"/>
      <c r="D918" s="22"/>
      <c r="E918" s="22"/>
      <c r="F918" s="22"/>
      <c r="G918" s="22"/>
      <c r="H918" s="22"/>
      <c r="I918" s="266"/>
      <c r="J918" s="272"/>
      <c r="K918" s="272"/>
      <c r="L918" s="272"/>
      <c r="M918" s="273"/>
      <c r="N918" s="273"/>
      <c r="O918" s="273"/>
      <c r="P918" s="27"/>
      <c r="Q918" s="27"/>
      <c r="R918" s="27"/>
      <c r="S918" s="22"/>
      <c r="T918" s="22"/>
      <c r="U918" s="28"/>
    </row>
    <row r="919">
      <c r="A919" s="189"/>
      <c r="B919" s="22"/>
      <c r="C919" s="22"/>
      <c r="D919" s="22"/>
      <c r="E919" s="22"/>
      <c r="F919" s="22"/>
      <c r="G919" s="22"/>
      <c r="H919" s="22"/>
      <c r="I919" s="266"/>
      <c r="J919" s="272"/>
      <c r="K919" s="272"/>
      <c r="L919" s="272"/>
      <c r="M919" s="273"/>
      <c r="N919" s="273"/>
      <c r="O919" s="273"/>
      <c r="P919" s="27"/>
      <c r="Q919" s="27"/>
      <c r="R919" s="27"/>
      <c r="S919" s="22"/>
      <c r="T919" s="22"/>
      <c r="U919" s="28"/>
    </row>
    <row r="920">
      <c r="A920" s="189"/>
      <c r="B920" s="22"/>
      <c r="C920" s="22"/>
      <c r="D920" s="22"/>
      <c r="E920" s="22"/>
      <c r="F920" s="22"/>
      <c r="G920" s="22"/>
      <c r="H920" s="22"/>
      <c r="I920" s="266"/>
      <c r="J920" s="272"/>
      <c r="K920" s="272"/>
      <c r="L920" s="272"/>
      <c r="M920" s="273"/>
      <c r="N920" s="273"/>
      <c r="O920" s="273"/>
      <c r="P920" s="27"/>
      <c r="Q920" s="27"/>
      <c r="R920" s="27"/>
      <c r="S920" s="22"/>
      <c r="T920" s="22"/>
      <c r="U920" s="28"/>
    </row>
    <row r="921">
      <c r="A921" s="189"/>
      <c r="B921" s="22"/>
      <c r="C921" s="22"/>
      <c r="D921" s="22"/>
      <c r="E921" s="22"/>
      <c r="F921" s="22"/>
      <c r="G921" s="22"/>
      <c r="H921" s="22"/>
      <c r="I921" s="266"/>
      <c r="J921" s="272"/>
      <c r="K921" s="272"/>
      <c r="L921" s="272"/>
      <c r="M921" s="273"/>
      <c r="N921" s="273"/>
      <c r="O921" s="273"/>
      <c r="P921" s="27"/>
      <c r="Q921" s="27"/>
      <c r="R921" s="27"/>
      <c r="S921" s="22"/>
      <c r="T921" s="22"/>
      <c r="U921" s="28"/>
    </row>
    <row r="922">
      <c r="A922" s="189"/>
      <c r="B922" s="22"/>
      <c r="C922" s="22"/>
      <c r="D922" s="22"/>
      <c r="E922" s="22"/>
      <c r="F922" s="22"/>
      <c r="G922" s="22"/>
      <c r="H922" s="22"/>
      <c r="I922" s="266"/>
      <c r="J922" s="272"/>
      <c r="K922" s="272"/>
      <c r="L922" s="272"/>
      <c r="M922" s="273"/>
      <c r="N922" s="273"/>
      <c r="O922" s="273"/>
      <c r="P922" s="27"/>
      <c r="Q922" s="27"/>
      <c r="R922" s="27"/>
      <c r="S922" s="22"/>
      <c r="T922" s="22"/>
      <c r="U922" s="28"/>
    </row>
    <row r="923">
      <c r="A923" s="189"/>
      <c r="B923" s="22"/>
      <c r="C923" s="22"/>
      <c r="D923" s="22"/>
      <c r="E923" s="22"/>
      <c r="F923" s="22"/>
      <c r="G923" s="22"/>
      <c r="H923" s="22"/>
      <c r="I923" s="266"/>
      <c r="J923" s="272"/>
      <c r="K923" s="272"/>
      <c r="L923" s="272"/>
      <c r="M923" s="273"/>
      <c r="N923" s="273"/>
      <c r="O923" s="273"/>
      <c r="P923" s="27"/>
      <c r="Q923" s="27"/>
      <c r="R923" s="27"/>
      <c r="S923" s="22"/>
      <c r="T923" s="22"/>
      <c r="U923" s="28"/>
    </row>
    <row r="924">
      <c r="A924" s="189"/>
      <c r="B924" s="22"/>
      <c r="C924" s="22"/>
      <c r="D924" s="22"/>
      <c r="E924" s="22"/>
      <c r="F924" s="22"/>
      <c r="G924" s="22"/>
      <c r="H924" s="22"/>
      <c r="I924" s="266"/>
      <c r="J924" s="272"/>
      <c r="K924" s="272"/>
      <c r="L924" s="272"/>
      <c r="M924" s="273"/>
      <c r="N924" s="273"/>
      <c r="O924" s="273"/>
      <c r="P924" s="27"/>
      <c r="Q924" s="27"/>
      <c r="R924" s="27"/>
      <c r="S924" s="22"/>
      <c r="T924" s="22"/>
      <c r="U924" s="28"/>
    </row>
    <row r="925">
      <c r="A925" s="189"/>
      <c r="B925" s="22"/>
      <c r="C925" s="22"/>
      <c r="D925" s="22"/>
      <c r="E925" s="22"/>
      <c r="F925" s="22"/>
      <c r="G925" s="22"/>
      <c r="H925" s="22"/>
      <c r="I925" s="266"/>
      <c r="J925" s="272"/>
      <c r="K925" s="272"/>
      <c r="L925" s="272"/>
      <c r="M925" s="273"/>
      <c r="N925" s="273"/>
      <c r="O925" s="273"/>
      <c r="P925" s="27"/>
      <c r="Q925" s="27"/>
      <c r="R925" s="27"/>
      <c r="S925" s="22"/>
      <c r="T925" s="22"/>
      <c r="U925" s="28"/>
    </row>
    <row r="926">
      <c r="A926" s="189"/>
      <c r="B926" s="22"/>
      <c r="C926" s="22"/>
      <c r="D926" s="22"/>
      <c r="E926" s="22"/>
      <c r="F926" s="22"/>
      <c r="G926" s="22"/>
      <c r="H926" s="22"/>
      <c r="I926" s="266"/>
      <c r="J926" s="272"/>
      <c r="K926" s="272"/>
      <c r="L926" s="272"/>
      <c r="M926" s="273"/>
      <c r="N926" s="273"/>
      <c r="O926" s="273"/>
      <c r="P926" s="27"/>
      <c r="Q926" s="27"/>
      <c r="R926" s="27"/>
      <c r="S926" s="22"/>
      <c r="T926" s="22"/>
      <c r="U926" s="28"/>
    </row>
    <row r="927">
      <c r="A927" s="189"/>
      <c r="B927" s="22"/>
      <c r="C927" s="22"/>
      <c r="D927" s="22"/>
      <c r="E927" s="22"/>
      <c r="F927" s="22"/>
      <c r="G927" s="22"/>
      <c r="H927" s="22"/>
      <c r="I927" s="266"/>
      <c r="J927" s="272"/>
      <c r="K927" s="272"/>
      <c r="L927" s="272"/>
      <c r="M927" s="273"/>
      <c r="N927" s="273"/>
      <c r="O927" s="273"/>
      <c r="P927" s="27"/>
      <c r="Q927" s="27"/>
      <c r="R927" s="27"/>
      <c r="S927" s="22"/>
      <c r="T927" s="22"/>
      <c r="U927" s="28"/>
    </row>
    <row r="928">
      <c r="A928" s="189"/>
      <c r="B928" s="22"/>
      <c r="C928" s="22"/>
      <c r="D928" s="22"/>
      <c r="E928" s="22"/>
      <c r="F928" s="22"/>
      <c r="G928" s="22"/>
      <c r="H928" s="22"/>
      <c r="I928" s="266"/>
      <c r="J928" s="272"/>
      <c r="K928" s="272"/>
      <c r="L928" s="272"/>
      <c r="M928" s="273"/>
      <c r="N928" s="273"/>
      <c r="O928" s="273"/>
      <c r="P928" s="27"/>
      <c r="Q928" s="27"/>
      <c r="R928" s="27"/>
      <c r="S928" s="22"/>
      <c r="T928" s="22"/>
      <c r="U928" s="28"/>
    </row>
    <row r="929">
      <c r="A929" s="189"/>
      <c r="B929" s="22"/>
      <c r="C929" s="22"/>
      <c r="D929" s="22"/>
      <c r="E929" s="22"/>
      <c r="F929" s="22"/>
      <c r="G929" s="22"/>
      <c r="H929" s="22"/>
      <c r="I929" s="266"/>
      <c r="J929" s="272"/>
      <c r="K929" s="272"/>
      <c r="L929" s="272"/>
      <c r="M929" s="273"/>
      <c r="N929" s="273"/>
      <c r="O929" s="273"/>
      <c r="P929" s="27"/>
      <c r="Q929" s="27"/>
      <c r="R929" s="27"/>
      <c r="S929" s="22"/>
      <c r="T929" s="22"/>
      <c r="U929" s="28"/>
    </row>
    <row r="930">
      <c r="A930" s="189"/>
      <c r="B930" s="22"/>
      <c r="C930" s="22"/>
      <c r="D930" s="22"/>
      <c r="E930" s="22"/>
      <c r="F930" s="22"/>
      <c r="G930" s="22"/>
      <c r="H930" s="22"/>
      <c r="I930" s="266"/>
      <c r="J930" s="272"/>
      <c r="K930" s="272"/>
      <c r="L930" s="272"/>
      <c r="M930" s="273"/>
      <c r="N930" s="273"/>
      <c r="O930" s="273"/>
      <c r="P930" s="27"/>
      <c r="Q930" s="27"/>
      <c r="R930" s="27"/>
      <c r="S930" s="22"/>
      <c r="T930" s="22"/>
      <c r="U930" s="28"/>
    </row>
    <row r="931">
      <c r="A931" s="189"/>
      <c r="B931" s="22"/>
      <c r="C931" s="22"/>
      <c r="D931" s="22"/>
      <c r="E931" s="22"/>
      <c r="F931" s="22"/>
      <c r="G931" s="22"/>
      <c r="H931" s="22"/>
      <c r="I931" s="266"/>
      <c r="J931" s="272"/>
      <c r="K931" s="272"/>
      <c r="L931" s="272"/>
      <c r="M931" s="273"/>
      <c r="N931" s="273"/>
      <c r="O931" s="273"/>
      <c r="P931" s="27"/>
      <c r="Q931" s="27"/>
      <c r="R931" s="27"/>
      <c r="S931" s="22"/>
      <c r="T931" s="22"/>
      <c r="U931" s="28"/>
    </row>
    <row r="932">
      <c r="A932" s="189"/>
      <c r="B932" s="22"/>
      <c r="C932" s="22"/>
      <c r="D932" s="22"/>
      <c r="E932" s="22"/>
      <c r="F932" s="22"/>
      <c r="G932" s="22"/>
      <c r="H932" s="22"/>
      <c r="I932" s="266"/>
      <c r="J932" s="272"/>
      <c r="K932" s="272"/>
      <c r="L932" s="272"/>
      <c r="M932" s="273"/>
      <c r="N932" s="273"/>
      <c r="O932" s="273"/>
      <c r="P932" s="27"/>
      <c r="Q932" s="27"/>
      <c r="R932" s="27"/>
      <c r="S932" s="22"/>
      <c r="T932" s="22"/>
      <c r="U932" s="28"/>
    </row>
    <row r="933">
      <c r="A933" s="189"/>
      <c r="B933" s="22"/>
      <c r="C933" s="22"/>
      <c r="D933" s="22"/>
      <c r="E933" s="22"/>
      <c r="F933" s="22"/>
      <c r="G933" s="22"/>
      <c r="H933" s="22"/>
      <c r="I933" s="266"/>
      <c r="J933" s="272"/>
      <c r="K933" s="272"/>
      <c r="L933" s="272"/>
      <c r="M933" s="273"/>
      <c r="N933" s="273"/>
      <c r="O933" s="273"/>
      <c r="P933" s="27"/>
      <c r="Q933" s="27"/>
      <c r="R933" s="27"/>
      <c r="S933" s="22"/>
      <c r="T933" s="22"/>
      <c r="U933" s="28"/>
    </row>
    <row r="934">
      <c r="A934" s="189"/>
      <c r="B934" s="22"/>
      <c r="C934" s="22"/>
      <c r="D934" s="22"/>
      <c r="E934" s="22"/>
      <c r="F934" s="22"/>
      <c r="G934" s="22"/>
      <c r="H934" s="22"/>
      <c r="I934" s="266"/>
      <c r="J934" s="272"/>
      <c r="K934" s="272"/>
      <c r="L934" s="272"/>
      <c r="M934" s="273"/>
      <c r="N934" s="273"/>
      <c r="O934" s="273"/>
      <c r="P934" s="27"/>
      <c r="Q934" s="27"/>
      <c r="R934" s="27"/>
      <c r="S934" s="22"/>
      <c r="T934" s="22"/>
      <c r="U934" s="28"/>
    </row>
    <row r="935">
      <c r="A935" s="189"/>
      <c r="B935" s="22"/>
      <c r="C935" s="22"/>
      <c r="D935" s="22"/>
      <c r="E935" s="22"/>
      <c r="F935" s="22"/>
      <c r="G935" s="22"/>
      <c r="H935" s="22"/>
      <c r="I935" s="266"/>
      <c r="J935" s="272"/>
      <c r="K935" s="272"/>
      <c r="L935" s="272"/>
      <c r="M935" s="273"/>
      <c r="N935" s="273"/>
      <c r="O935" s="273"/>
      <c r="P935" s="27"/>
      <c r="Q935" s="27"/>
      <c r="R935" s="27"/>
      <c r="S935" s="22"/>
      <c r="T935" s="22"/>
      <c r="U935" s="28"/>
    </row>
    <row r="936">
      <c r="A936" s="189"/>
      <c r="B936" s="22"/>
      <c r="C936" s="22"/>
      <c r="D936" s="22"/>
      <c r="E936" s="22"/>
      <c r="F936" s="22"/>
      <c r="G936" s="22"/>
      <c r="H936" s="22"/>
      <c r="I936" s="266"/>
      <c r="J936" s="272"/>
      <c r="K936" s="272"/>
      <c r="L936" s="272"/>
      <c r="M936" s="273"/>
      <c r="N936" s="273"/>
      <c r="O936" s="273"/>
      <c r="P936" s="27"/>
      <c r="Q936" s="27"/>
      <c r="R936" s="27"/>
      <c r="S936" s="22"/>
      <c r="T936" s="22"/>
      <c r="U936" s="28"/>
    </row>
    <row r="937">
      <c r="A937" s="189"/>
      <c r="B937" s="22"/>
      <c r="C937" s="22"/>
      <c r="D937" s="22"/>
      <c r="E937" s="22"/>
      <c r="F937" s="22"/>
      <c r="G937" s="22"/>
      <c r="H937" s="22"/>
      <c r="I937" s="266"/>
      <c r="J937" s="272"/>
      <c r="K937" s="272"/>
      <c r="L937" s="272"/>
      <c r="M937" s="273"/>
      <c r="N937" s="273"/>
      <c r="O937" s="273"/>
      <c r="P937" s="27"/>
      <c r="Q937" s="27"/>
      <c r="R937" s="27"/>
      <c r="S937" s="22"/>
      <c r="T937" s="22"/>
      <c r="U937" s="28"/>
    </row>
    <row r="938">
      <c r="A938" s="189"/>
      <c r="B938" s="22"/>
      <c r="C938" s="22"/>
      <c r="D938" s="22"/>
      <c r="E938" s="22"/>
      <c r="F938" s="22"/>
      <c r="G938" s="22"/>
      <c r="H938" s="22"/>
      <c r="I938" s="266"/>
      <c r="J938" s="272"/>
      <c r="K938" s="272"/>
      <c r="L938" s="272"/>
      <c r="M938" s="273"/>
      <c r="N938" s="273"/>
      <c r="O938" s="273"/>
      <c r="P938" s="27"/>
      <c r="Q938" s="27"/>
      <c r="R938" s="27"/>
      <c r="S938" s="22"/>
      <c r="T938" s="22"/>
      <c r="U938" s="28"/>
    </row>
    <row r="939">
      <c r="A939" s="189"/>
      <c r="B939" s="22"/>
      <c r="C939" s="22"/>
      <c r="D939" s="22"/>
      <c r="E939" s="22"/>
      <c r="F939" s="22"/>
      <c r="G939" s="22"/>
      <c r="H939" s="22"/>
      <c r="I939" s="266"/>
      <c r="J939" s="272"/>
      <c r="K939" s="272"/>
      <c r="L939" s="272"/>
      <c r="M939" s="273"/>
      <c r="N939" s="273"/>
      <c r="O939" s="273"/>
      <c r="P939" s="27"/>
      <c r="Q939" s="27"/>
      <c r="R939" s="27"/>
      <c r="S939" s="22"/>
      <c r="T939" s="22"/>
      <c r="U939" s="28"/>
    </row>
    <row r="940">
      <c r="A940" s="189"/>
      <c r="B940" s="22"/>
      <c r="C940" s="22"/>
      <c r="D940" s="22"/>
      <c r="E940" s="22"/>
      <c r="F940" s="22"/>
      <c r="G940" s="22"/>
      <c r="H940" s="22"/>
      <c r="I940" s="266"/>
      <c r="J940" s="272"/>
      <c r="K940" s="272"/>
      <c r="L940" s="272"/>
      <c r="M940" s="273"/>
      <c r="N940" s="273"/>
      <c r="O940" s="273"/>
      <c r="P940" s="27"/>
      <c r="Q940" s="27"/>
      <c r="R940" s="27"/>
      <c r="S940" s="22"/>
      <c r="T940" s="22"/>
      <c r="U940" s="28"/>
    </row>
    <row r="941">
      <c r="A941" s="189"/>
      <c r="B941" s="22"/>
      <c r="C941" s="22"/>
      <c r="D941" s="22"/>
      <c r="E941" s="22"/>
      <c r="F941" s="22"/>
      <c r="G941" s="22"/>
      <c r="H941" s="22"/>
      <c r="I941" s="266"/>
      <c r="J941" s="272"/>
      <c r="K941" s="272"/>
      <c r="L941" s="272"/>
      <c r="M941" s="273"/>
      <c r="N941" s="273"/>
      <c r="O941" s="273"/>
      <c r="P941" s="27"/>
      <c r="Q941" s="27"/>
      <c r="R941" s="27"/>
      <c r="S941" s="22"/>
      <c r="T941" s="22"/>
      <c r="U941" s="28"/>
    </row>
    <row r="942">
      <c r="A942" s="189"/>
      <c r="B942" s="22"/>
      <c r="C942" s="22"/>
      <c r="D942" s="22"/>
      <c r="E942" s="22"/>
      <c r="F942" s="22"/>
      <c r="G942" s="22"/>
      <c r="H942" s="22"/>
      <c r="I942" s="266"/>
      <c r="J942" s="272"/>
      <c r="K942" s="272"/>
      <c r="L942" s="272"/>
      <c r="M942" s="273"/>
      <c r="N942" s="273"/>
      <c r="O942" s="273"/>
      <c r="P942" s="27"/>
      <c r="Q942" s="27"/>
      <c r="R942" s="27"/>
      <c r="S942" s="22"/>
      <c r="T942" s="22"/>
      <c r="U942" s="28"/>
    </row>
    <row r="943">
      <c r="A943" s="189"/>
      <c r="B943" s="22"/>
      <c r="C943" s="22"/>
      <c r="D943" s="22"/>
      <c r="E943" s="22"/>
      <c r="F943" s="22"/>
      <c r="G943" s="22"/>
      <c r="H943" s="22"/>
      <c r="I943" s="266"/>
      <c r="J943" s="272"/>
      <c r="K943" s="272"/>
      <c r="L943" s="272"/>
      <c r="M943" s="273"/>
      <c r="N943" s="273"/>
      <c r="O943" s="273"/>
      <c r="P943" s="27"/>
      <c r="Q943" s="27"/>
      <c r="R943" s="27"/>
      <c r="S943" s="22"/>
      <c r="T943" s="22"/>
      <c r="U943" s="28"/>
    </row>
    <row r="944">
      <c r="A944" s="189"/>
      <c r="B944" s="22"/>
      <c r="C944" s="22"/>
      <c r="D944" s="22"/>
      <c r="E944" s="22"/>
      <c r="F944" s="22"/>
      <c r="G944" s="22"/>
      <c r="H944" s="22"/>
      <c r="I944" s="266"/>
      <c r="J944" s="272"/>
      <c r="K944" s="272"/>
      <c r="L944" s="272"/>
      <c r="M944" s="273"/>
      <c r="N944" s="273"/>
      <c r="O944" s="273"/>
      <c r="P944" s="27"/>
      <c r="Q944" s="27"/>
      <c r="R944" s="27"/>
      <c r="S944" s="22"/>
      <c r="T944" s="22"/>
      <c r="U944" s="28"/>
    </row>
    <row r="945">
      <c r="A945" s="189"/>
      <c r="B945" s="22"/>
      <c r="C945" s="22"/>
      <c r="D945" s="22"/>
      <c r="E945" s="22"/>
      <c r="F945" s="22"/>
      <c r="G945" s="22"/>
      <c r="H945" s="22"/>
      <c r="I945" s="266"/>
      <c r="J945" s="272"/>
      <c r="K945" s="272"/>
      <c r="L945" s="272"/>
      <c r="M945" s="273"/>
      <c r="N945" s="273"/>
      <c r="O945" s="273"/>
      <c r="P945" s="27"/>
      <c r="Q945" s="27"/>
      <c r="R945" s="27"/>
      <c r="S945" s="22"/>
      <c r="T945" s="22"/>
      <c r="U945" s="28"/>
    </row>
    <row r="946">
      <c r="A946" s="189"/>
      <c r="B946" s="22"/>
      <c r="C946" s="22"/>
      <c r="D946" s="22"/>
      <c r="E946" s="22"/>
      <c r="F946" s="22"/>
      <c r="G946" s="22"/>
      <c r="H946" s="22"/>
      <c r="I946" s="266"/>
      <c r="J946" s="272"/>
      <c r="K946" s="272"/>
      <c r="L946" s="272"/>
      <c r="M946" s="273"/>
      <c r="N946" s="273"/>
      <c r="O946" s="273"/>
      <c r="P946" s="27"/>
      <c r="Q946" s="27"/>
      <c r="R946" s="27"/>
      <c r="S946" s="22"/>
      <c r="T946" s="22"/>
      <c r="U946" s="28"/>
    </row>
    <row r="947">
      <c r="A947" s="189"/>
      <c r="B947" s="22"/>
      <c r="C947" s="22"/>
      <c r="D947" s="22"/>
      <c r="E947" s="22"/>
      <c r="F947" s="22"/>
      <c r="G947" s="22"/>
      <c r="H947" s="22"/>
      <c r="I947" s="266"/>
      <c r="J947" s="272"/>
      <c r="K947" s="272"/>
      <c r="L947" s="272"/>
      <c r="M947" s="273"/>
      <c r="N947" s="273"/>
      <c r="O947" s="273"/>
      <c r="P947" s="27"/>
      <c r="Q947" s="27"/>
      <c r="R947" s="27"/>
      <c r="S947" s="22"/>
      <c r="T947" s="22"/>
      <c r="U947" s="28"/>
    </row>
    <row r="948">
      <c r="A948" s="189"/>
      <c r="B948" s="22"/>
      <c r="C948" s="22"/>
      <c r="D948" s="22"/>
      <c r="E948" s="22"/>
      <c r="F948" s="22"/>
      <c r="G948" s="22"/>
      <c r="H948" s="22"/>
      <c r="I948" s="266"/>
      <c r="J948" s="272"/>
      <c r="K948" s="272"/>
      <c r="L948" s="272"/>
      <c r="M948" s="273"/>
      <c r="N948" s="273"/>
      <c r="O948" s="273"/>
      <c r="P948" s="27"/>
      <c r="Q948" s="27"/>
      <c r="R948" s="27"/>
      <c r="S948" s="22"/>
      <c r="T948" s="22"/>
      <c r="U948" s="28"/>
    </row>
    <row r="949">
      <c r="A949" s="189"/>
      <c r="B949" s="22"/>
      <c r="C949" s="22"/>
      <c r="D949" s="22"/>
      <c r="E949" s="22"/>
      <c r="F949" s="22"/>
      <c r="G949" s="22"/>
      <c r="H949" s="22"/>
      <c r="I949" s="266"/>
      <c r="J949" s="272"/>
      <c r="K949" s="272"/>
      <c r="L949" s="272"/>
      <c r="M949" s="273"/>
      <c r="N949" s="273"/>
      <c r="O949" s="273"/>
      <c r="P949" s="27"/>
      <c r="Q949" s="27"/>
      <c r="R949" s="27"/>
      <c r="S949" s="22"/>
      <c r="T949" s="22"/>
      <c r="U949" s="28"/>
    </row>
    <row r="950">
      <c r="A950" s="189"/>
      <c r="B950" s="22"/>
      <c r="C950" s="22"/>
      <c r="D950" s="22"/>
      <c r="E950" s="22"/>
      <c r="F950" s="22"/>
      <c r="G950" s="22"/>
      <c r="H950" s="22"/>
      <c r="I950" s="266"/>
      <c r="J950" s="272"/>
      <c r="K950" s="272"/>
      <c r="L950" s="272"/>
      <c r="M950" s="273"/>
      <c r="N950" s="273"/>
      <c r="O950" s="273"/>
      <c r="P950" s="27"/>
      <c r="Q950" s="27"/>
      <c r="R950" s="27"/>
      <c r="S950" s="22"/>
      <c r="T950" s="22"/>
      <c r="U950" s="28"/>
    </row>
    <row r="951">
      <c r="A951" s="189"/>
      <c r="B951" s="22"/>
      <c r="C951" s="22"/>
      <c r="D951" s="22"/>
      <c r="E951" s="22"/>
      <c r="F951" s="22"/>
      <c r="G951" s="22"/>
      <c r="H951" s="22"/>
      <c r="I951" s="266"/>
      <c r="J951" s="272"/>
      <c r="K951" s="272"/>
      <c r="L951" s="272"/>
      <c r="M951" s="273"/>
      <c r="N951" s="273"/>
      <c r="O951" s="273"/>
      <c r="P951" s="27"/>
      <c r="Q951" s="27"/>
      <c r="R951" s="27"/>
      <c r="S951" s="22"/>
      <c r="T951" s="22"/>
      <c r="U951" s="28"/>
    </row>
    <row r="952">
      <c r="A952" s="189"/>
      <c r="B952" s="22"/>
      <c r="C952" s="22"/>
      <c r="D952" s="22"/>
      <c r="E952" s="22"/>
      <c r="F952" s="22"/>
      <c r="G952" s="22"/>
      <c r="H952" s="22"/>
      <c r="I952" s="266"/>
      <c r="J952" s="272"/>
      <c r="K952" s="272"/>
      <c r="L952" s="272"/>
      <c r="M952" s="273"/>
      <c r="N952" s="273"/>
      <c r="O952" s="273"/>
      <c r="P952" s="27"/>
      <c r="Q952" s="27"/>
      <c r="R952" s="27"/>
      <c r="S952" s="22"/>
      <c r="T952" s="22"/>
      <c r="U952" s="28"/>
    </row>
    <row r="953">
      <c r="A953" s="189"/>
      <c r="B953" s="22"/>
      <c r="C953" s="22"/>
      <c r="D953" s="22"/>
      <c r="E953" s="22"/>
      <c r="F953" s="22"/>
      <c r="G953" s="22"/>
      <c r="H953" s="22"/>
      <c r="I953" s="266"/>
      <c r="J953" s="272"/>
      <c r="K953" s="272"/>
      <c r="L953" s="272"/>
      <c r="M953" s="273"/>
      <c r="N953" s="273"/>
      <c r="O953" s="273"/>
      <c r="P953" s="27"/>
      <c r="Q953" s="27"/>
      <c r="R953" s="27"/>
      <c r="S953" s="22"/>
      <c r="T953" s="22"/>
      <c r="U953" s="28"/>
    </row>
    <row r="954">
      <c r="A954" s="189"/>
      <c r="B954" s="22"/>
      <c r="C954" s="22"/>
      <c r="D954" s="22"/>
      <c r="E954" s="22"/>
      <c r="F954" s="22"/>
      <c r="G954" s="22"/>
      <c r="H954" s="22"/>
      <c r="I954" s="266"/>
      <c r="J954" s="272"/>
      <c r="K954" s="272"/>
      <c r="L954" s="272"/>
      <c r="M954" s="273"/>
      <c r="N954" s="273"/>
      <c r="O954" s="273"/>
      <c r="P954" s="27"/>
      <c r="Q954" s="27"/>
      <c r="R954" s="27"/>
      <c r="S954" s="22"/>
      <c r="T954" s="22"/>
      <c r="U954" s="28"/>
    </row>
    <row r="955">
      <c r="A955" s="189"/>
      <c r="B955" s="22"/>
      <c r="C955" s="22"/>
      <c r="D955" s="22"/>
      <c r="E955" s="22"/>
      <c r="F955" s="22"/>
      <c r="G955" s="22"/>
      <c r="H955" s="22"/>
      <c r="I955" s="266"/>
      <c r="J955" s="272"/>
      <c r="K955" s="272"/>
      <c r="L955" s="272"/>
      <c r="M955" s="273"/>
      <c r="N955" s="273"/>
      <c r="O955" s="273"/>
      <c r="P955" s="27"/>
      <c r="Q955" s="27"/>
      <c r="R955" s="27"/>
      <c r="S955" s="22"/>
      <c r="T955" s="22"/>
      <c r="U955" s="28"/>
    </row>
    <row r="956">
      <c r="A956" s="189"/>
      <c r="B956" s="22"/>
      <c r="C956" s="22"/>
      <c r="D956" s="22"/>
      <c r="E956" s="22"/>
      <c r="F956" s="22"/>
      <c r="G956" s="22"/>
      <c r="H956" s="22"/>
      <c r="I956" s="266"/>
      <c r="J956" s="272"/>
      <c r="K956" s="272"/>
      <c r="L956" s="272"/>
      <c r="M956" s="273"/>
      <c r="N956" s="273"/>
      <c r="O956" s="273"/>
      <c r="P956" s="27"/>
      <c r="Q956" s="27"/>
      <c r="R956" s="27"/>
      <c r="S956" s="22"/>
      <c r="T956" s="22"/>
      <c r="U956" s="28"/>
    </row>
    <row r="957">
      <c r="A957" s="189"/>
      <c r="B957" s="22"/>
      <c r="C957" s="22"/>
      <c r="D957" s="22"/>
      <c r="E957" s="22"/>
      <c r="F957" s="22"/>
      <c r="G957" s="22"/>
      <c r="H957" s="22"/>
      <c r="I957" s="266"/>
      <c r="J957" s="272"/>
      <c r="K957" s="272"/>
      <c r="L957" s="272"/>
      <c r="M957" s="273"/>
      <c r="N957" s="273"/>
      <c r="O957" s="273"/>
      <c r="P957" s="27"/>
      <c r="Q957" s="27"/>
      <c r="R957" s="27"/>
      <c r="S957" s="22"/>
      <c r="T957" s="22"/>
      <c r="U957" s="28"/>
    </row>
    <row r="958">
      <c r="A958" s="189"/>
      <c r="B958" s="22"/>
      <c r="C958" s="22"/>
      <c r="D958" s="22"/>
      <c r="E958" s="22"/>
      <c r="F958" s="22"/>
      <c r="G958" s="22"/>
      <c r="H958" s="22"/>
      <c r="I958" s="266"/>
      <c r="J958" s="272"/>
      <c r="K958" s="272"/>
      <c r="L958" s="272"/>
      <c r="M958" s="273"/>
      <c r="N958" s="273"/>
      <c r="O958" s="273"/>
      <c r="P958" s="27"/>
      <c r="Q958" s="27"/>
      <c r="R958" s="27"/>
      <c r="S958" s="22"/>
      <c r="T958" s="22"/>
      <c r="U958" s="28"/>
    </row>
    <row r="959">
      <c r="A959" s="189"/>
      <c r="B959" s="22"/>
      <c r="C959" s="22"/>
      <c r="D959" s="22"/>
      <c r="E959" s="22"/>
      <c r="F959" s="22"/>
      <c r="G959" s="22"/>
      <c r="H959" s="22"/>
      <c r="I959" s="266"/>
      <c r="J959" s="272"/>
      <c r="K959" s="272"/>
      <c r="L959" s="272"/>
      <c r="M959" s="273"/>
      <c r="N959" s="273"/>
      <c r="O959" s="273"/>
      <c r="P959" s="27"/>
      <c r="Q959" s="27"/>
      <c r="R959" s="27"/>
      <c r="S959" s="22"/>
      <c r="T959" s="22"/>
      <c r="U959" s="28"/>
    </row>
    <row r="960">
      <c r="A960" s="189"/>
      <c r="B960" s="22"/>
      <c r="C960" s="22"/>
      <c r="D960" s="22"/>
      <c r="E960" s="22"/>
      <c r="F960" s="22"/>
      <c r="G960" s="22"/>
      <c r="H960" s="22"/>
      <c r="I960" s="266"/>
      <c r="J960" s="272"/>
      <c r="K960" s="272"/>
      <c r="L960" s="272"/>
      <c r="M960" s="273"/>
      <c r="N960" s="273"/>
      <c r="O960" s="273"/>
      <c r="P960" s="27"/>
      <c r="Q960" s="27"/>
      <c r="R960" s="27"/>
      <c r="S960" s="22"/>
      <c r="T960" s="22"/>
      <c r="U960" s="28"/>
    </row>
    <row r="961">
      <c r="A961" s="189"/>
      <c r="B961" s="22"/>
      <c r="C961" s="22"/>
      <c r="D961" s="22"/>
      <c r="E961" s="22"/>
      <c r="F961" s="22"/>
      <c r="G961" s="22"/>
      <c r="H961" s="22"/>
      <c r="I961" s="266"/>
      <c r="J961" s="272"/>
      <c r="K961" s="272"/>
      <c r="L961" s="272"/>
      <c r="M961" s="273"/>
      <c r="N961" s="273"/>
      <c r="O961" s="273"/>
      <c r="P961" s="27"/>
      <c r="Q961" s="27"/>
      <c r="R961" s="27"/>
      <c r="S961" s="22"/>
      <c r="T961" s="22"/>
      <c r="U961" s="28"/>
    </row>
    <row r="962">
      <c r="A962" s="189"/>
      <c r="B962" s="22"/>
      <c r="C962" s="22"/>
      <c r="D962" s="22"/>
      <c r="E962" s="22"/>
      <c r="F962" s="22"/>
      <c r="G962" s="22"/>
      <c r="H962" s="22"/>
      <c r="I962" s="266"/>
      <c r="J962" s="272"/>
      <c r="K962" s="272"/>
      <c r="L962" s="272"/>
      <c r="M962" s="273"/>
      <c r="N962" s="273"/>
      <c r="O962" s="273"/>
      <c r="P962" s="27"/>
      <c r="Q962" s="27"/>
      <c r="R962" s="27"/>
      <c r="S962" s="22"/>
      <c r="T962" s="22"/>
      <c r="U962" s="28"/>
    </row>
    <row r="963">
      <c r="A963" s="189"/>
      <c r="B963" s="22"/>
      <c r="C963" s="22"/>
      <c r="D963" s="22"/>
      <c r="E963" s="22"/>
      <c r="F963" s="22"/>
      <c r="G963" s="22"/>
      <c r="H963" s="22"/>
      <c r="I963" s="266"/>
      <c r="J963" s="272"/>
      <c r="K963" s="272"/>
      <c r="L963" s="272"/>
      <c r="M963" s="273"/>
      <c r="N963" s="273"/>
      <c r="O963" s="273"/>
      <c r="P963" s="27"/>
      <c r="Q963" s="27"/>
      <c r="R963" s="27"/>
      <c r="S963" s="22"/>
      <c r="T963" s="22"/>
      <c r="U963" s="28"/>
    </row>
    <row r="964">
      <c r="A964" s="189"/>
      <c r="B964" s="22"/>
      <c r="C964" s="22"/>
      <c r="D964" s="22"/>
      <c r="E964" s="22"/>
      <c r="F964" s="22"/>
      <c r="G964" s="22"/>
      <c r="H964" s="22"/>
      <c r="I964" s="266"/>
      <c r="J964" s="272"/>
      <c r="K964" s="272"/>
      <c r="L964" s="272"/>
      <c r="M964" s="273"/>
      <c r="N964" s="273"/>
      <c r="O964" s="273"/>
      <c r="P964" s="27"/>
      <c r="Q964" s="27"/>
      <c r="R964" s="27"/>
      <c r="S964" s="22"/>
      <c r="T964" s="22"/>
      <c r="U964" s="28"/>
    </row>
    <row r="965">
      <c r="A965" s="189"/>
      <c r="B965" s="22"/>
      <c r="C965" s="22"/>
      <c r="D965" s="22"/>
      <c r="E965" s="22"/>
      <c r="F965" s="22"/>
      <c r="G965" s="22"/>
      <c r="H965" s="22"/>
      <c r="I965" s="266"/>
      <c r="J965" s="272"/>
      <c r="K965" s="272"/>
      <c r="L965" s="272"/>
      <c r="M965" s="273"/>
      <c r="N965" s="273"/>
      <c r="O965" s="273"/>
      <c r="P965" s="27"/>
      <c r="Q965" s="27"/>
      <c r="R965" s="27"/>
      <c r="S965" s="22"/>
      <c r="T965" s="22"/>
      <c r="U965" s="28"/>
    </row>
    <row r="966">
      <c r="A966" s="189"/>
      <c r="B966" s="22"/>
      <c r="C966" s="22"/>
      <c r="D966" s="22"/>
      <c r="E966" s="22"/>
      <c r="F966" s="22"/>
      <c r="G966" s="22"/>
      <c r="H966" s="22"/>
      <c r="I966" s="266"/>
      <c r="J966" s="272"/>
      <c r="K966" s="272"/>
      <c r="L966" s="272"/>
      <c r="M966" s="273"/>
      <c r="N966" s="273"/>
      <c r="O966" s="273"/>
      <c r="P966" s="27"/>
      <c r="Q966" s="27"/>
      <c r="R966" s="27"/>
      <c r="S966" s="22"/>
      <c r="T966" s="22"/>
      <c r="U966" s="28"/>
    </row>
    <row r="967">
      <c r="A967" s="189"/>
      <c r="B967" s="22"/>
      <c r="C967" s="22"/>
      <c r="D967" s="22"/>
      <c r="E967" s="22"/>
      <c r="F967" s="22"/>
      <c r="G967" s="22"/>
      <c r="H967" s="22"/>
      <c r="I967" s="266"/>
      <c r="J967" s="272"/>
      <c r="K967" s="272"/>
      <c r="L967" s="272"/>
      <c r="M967" s="273"/>
      <c r="N967" s="273"/>
      <c r="O967" s="273"/>
      <c r="P967" s="27"/>
      <c r="Q967" s="27"/>
      <c r="R967" s="27"/>
      <c r="S967" s="22"/>
      <c r="T967" s="22"/>
      <c r="U967" s="28"/>
    </row>
    <row r="968">
      <c r="A968" s="189"/>
      <c r="B968" s="22"/>
      <c r="C968" s="22"/>
      <c r="D968" s="22"/>
      <c r="E968" s="22"/>
      <c r="F968" s="22"/>
      <c r="G968" s="22"/>
      <c r="H968" s="22"/>
      <c r="I968" s="266"/>
      <c r="J968" s="272"/>
      <c r="K968" s="272"/>
      <c r="L968" s="272"/>
      <c r="M968" s="273"/>
      <c r="N968" s="273"/>
      <c r="O968" s="273"/>
      <c r="P968" s="27"/>
      <c r="Q968" s="27"/>
      <c r="R968" s="27"/>
      <c r="S968" s="22"/>
      <c r="T968" s="22"/>
      <c r="U968" s="28"/>
    </row>
    <row r="969">
      <c r="A969" s="189"/>
      <c r="B969" s="22"/>
      <c r="C969" s="22"/>
      <c r="D969" s="22"/>
      <c r="E969" s="22"/>
      <c r="F969" s="22"/>
      <c r="G969" s="22"/>
      <c r="H969" s="22"/>
      <c r="I969" s="266"/>
      <c r="J969" s="272"/>
      <c r="K969" s="272"/>
      <c r="L969" s="272"/>
      <c r="M969" s="273"/>
      <c r="N969" s="273"/>
      <c r="O969" s="273"/>
      <c r="P969" s="27"/>
      <c r="Q969" s="27"/>
      <c r="R969" s="27"/>
      <c r="S969" s="22"/>
      <c r="T969" s="22"/>
      <c r="U969" s="28"/>
    </row>
    <row r="970">
      <c r="A970" s="189"/>
      <c r="B970" s="22"/>
      <c r="C970" s="22"/>
      <c r="D970" s="22"/>
      <c r="E970" s="22"/>
      <c r="F970" s="22"/>
      <c r="G970" s="22"/>
      <c r="H970" s="22"/>
      <c r="I970" s="266"/>
      <c r="J970" s="272"/>
      <c r="K970" s="272"/>
      <c r="L970" s="272"/>
      <c r="M970" s="273"/>
      <c r="N970" s="273"/>
      <c r="O970" s="273"/>
      <c r="P970" s="27"/>
      <c r="Q970" s="27"/>
      <c r="R970" s="27"/>
      <c r="S970" s="22"/>
      <c r="T970" s="22"/>
      <c r="U970" s="28"/>
    </row>
    <row r="971">
      <c r="A971" s="189"/>
      <c r="B971" s="22"/>
      <c r="C971" s="22"/>
      <c r="D971" s="22"/>
      <c r="E971" s="22"/>
      <c r="F971" s="22"/>
      <c r="G971" s="22"/>
      <c r="H971" s="22"/>
      <c r="I971" s="266"/>
      <c r="J971" s="272"/>
      <c r="K971" s="272"/>
      <c r="L971" s="272"/>
      <c r="M971" s="273"/>
      <c r="N971" s="273"/>
      <c r="O971" s="273"/>
      <c r="P971" s="27"/>
      <c r="Q971" s="27"/>
      <c r="R971" s="27"/>
      <c r="S971" s="22"/>
      <c r="T971" s="22"/>
      <c r="U971" s="28"/>
    </row>
    <row r="972">
      <c r="A972" s="189"/>
      <c r="B972" s="22"/>
      <c r="C972" s="22"/>
      <c r="D972" s="22"/>
      <c r="E972" s="22"/>
      <c r="F972" s="22"/>
      <c r="G972" s="22"/>
      <c r="H972" s="22"/>
      <c r="I972" s="266"/>
      <c r="J972" s="272"/>
      <c r="K972" s="272"/>
      <c r="L972" s="272"/>
      <c r="M972" s="273"/>
      <c r="N972" s="273"/>
      <c r="O972" s="273"/>
      <c r="P972" s="27"/>
      <c r="Q972" s="27"/>
      <c r="R972" s="27"/>
      <c r="S972" s="22"/>
      <c r="T972" s="22"/>
      <c r="U972" s="28"/>
    </row>
    <row r="973">
      <c r="A973" s="189"/>
      <c r="B973" s="22"/>
      <c r="C973" s="22"/>
      <c r="D973" s="22"/>
      <c r="E973" s="22"/>
      <c r="F973" s="22"/>
      <c r="G973" s="22"/>
      <c r="H973" s="22"/>
      <c r="I973" s="266"/>
      <c r="J973" s="272"/>
      <c r="K973" s="272"/>
      <c r="L973" s="272"/>
      <c r="M973" s="273"/>
      <c r="N973" s="273"/>
      <c r="O973" s="273"/>
      <c r="P973" s="27"/>
      <c r="Q973" s="27"/>
      <c r="R973" s="27"/>
      <c r="S973" s="22"/>
      <c r="T973" s="22"/>
      <c r="U973" s="28"/>
    </row>
    <row r="974">
      <c r="A974" s="189"/>
      <c r="B974" s="22"/>
      <c r="C974" s="22"/>
      <c r="D974" s="22"/>
      <c r="E974" s="22"/>
      <c r="F974" s="22"/>
      <c r="G974" s="22"/>
      <c r="H974" s="22"/>
      <c r="I974" s="266"/>
      <c r="J974" s="272"/>
      <c r="K974" s="272"/>
      <c r="L974" s="272"/>
      <c r="M974" s="273"/>
      <c r="N974" s="273"/>
      <c r="O974" s="273"/>
      <c r="P974" s="27"/>
      <c r="Q974" s="27"/>
      <c r="R974" s="27"/>
      <c r="S974" s="22"/>
      <c r="T974" s="22"/>
      <c r="U974" s="28"/>
    </row>
    <row r="975">
      <c r="A975" s="189"/>
      <c r="B975" s="22"/>
      <c r="C975" s="22"/>
      <c r="D975" s="22"/>
      <c r="E975" s="22"/>
      <c r="F975" s="22"/>
      <c r="G975" s="22"/>
      <c r="H975" s="22"/>
      <c r="I975" s="266"/>
      <c r="J975" s="272"/>
      <c r="K975" s="272"/>
      <c r="L975" s="272"/>
      <c r="M975" s="273"/>
      <c r="N975" s="273"/>
      <c r="O975" s="273"/>
      <c r="P975" s="27"/>
      <c r="Q975" s="27"/>
      <c r="R975" s="27"/>
      <c r="S975" s="22"/>
      <c r="T975" s="22"/>
      <c r="U975" s="28"/>
    </row>
    <row r="976">
      <c r="A976" s="189"/>
      <c r="B976" s="22"/>
      <c r="C976" s="22"/>
      <c r="D976" s="22"/>
      <c r="E976" s="22"/>
      <c r="F976" s="22"/>
      <c r="G976" s="22"/>
      <c r="H976" s="22"/>
      <c r="I976" s="266"/>
      <c r="J976" s="272"/>
      <c r="K976" s="272"/>
      <c r="L976" s="272"/>
      <c r="M976" s="273"/>
      <c r="N976" s="273"/>
      <c r="O976" s="273"/>
      <c r="P976" s="27"/>
      <c r="Q976" s="27"/>
      <c r="R976" s="27"/>
      <c r="S976" s="22"/>
      <c r="T976" s="22"/>
      <c r="U976" s="28"/>
    </row>
    <row r="977">
      <c r="A977" s="189"/>
      <c r="B977" s="22"/>
      <c r="C977" s="22"/>
      <c r="D977" s="22"/>
      <c r="E977" s="22"/>
      <c r="F977" s="22"/>
      <c r="G977" s="22"/>
      <c r="H977" s="22"/>
      <c r="I977" s="266"/>
      <c r="J977" s="272"/>
      <c r="K977" s="272"/>
      <c r="L977" s="272"/>
      <c r="M977" s="273"/>
      <c r="N977" s="273"/>
      <c r="O977" s="273"/>
      <c r="P977" s="27"/>
      <c r="Q977" s="27"/>
      <c r="R977" s="27"/>
      <c r="S977" s="22"/>
      <c r="T977" s="22"/>
      <c r="U977" s="28"/>
    </row>
    <row r="978">
      <c r="A978" s="189"/>
      <c r="B978" s="22"/>
      <c r="C978" s="22"/>
      <c r="D978" s="22"/>
      <c r="E978" s="22"/>
      <c r="F978" s="22"/>
      <c r="G978" s="22"/>
      <c r="H978" s="22"/>
      <c r="I978" s="266"/>
      <c r="J978" s="272"/>
      <c r="K978" s="272"/>
      <c r="L978" s="272"/>
      <c r="M978" s="273"/>
      <c r="N978" s="273"/>
      <c r="O978" s="273"/>
      <c r="P978" s="27"/>
      <c r="Q978" s="27"/>
      <c r="R978" s="27"/>
      <c r="S978" s="22"/>
      <c r="T978" s="22"/>
      <c r="U978" s="28"/>
    </row>
    <row r="979">
      <c r="A979" s="189"/>
      <c r="B979" s="22"/>
      <c r="C979" s="22"/>
      <c r="D979" s="22"/>
      <c r="E979" s="22"/>
      <c r="F979" s="22"/>
      <c r="G979" s="22"/>
      <c r="H979" s="22"/>
      <c r="I979" s="266"/>
      <c r="J979" s="272"/>
      <c r="K979" s="272"/>
      <c r="L979" s="272"/>
      <c r="M979" s="273"/>
      <c r="N979" s="273"/>
      <c r="O979" s="273"/>
      <c r="P979" s="27"/>
      <c r="Q979" s="27"/>
      <c r="R979" s="27"/>
      <c r="S979" s="22"/>
      <c r="T979" s="22"/>
      <c r="U979" s="28"/>
    </row>
    <row r="980">
      <c r="A980" s="189"/>
      <c r="B980" s="22"/>
      <c r="C980" s="22"/>
      <c r="D980" s="22"/>
      <c r="E980" s="22"/>
      <c r="F980" s="22"/>
      <c r="G980" s="22"/>
      <c r="H980" s="22"/>
      <c r="I980" s="266"/>
      <c r="J980" s="272"/>
      <c r="K980" s="272"/>
      <c r="L980" s="272"/>
      <c r="M980" s="273"/>
      <c r="N980" s="273"/>
      <c r="O980" s="273"/>
      <c r="P980" s="27"/>
      <c r="Q980" s="27"/>
      <c r="R980" s="27"/>
      <c r="S980" s="22"/>
      <c r="T980" s="22"/>
      <c r="U980" s="28"/>
    </row>
    <row r="981">
      <c r="A981" s="189"/>
      <c r="B981" s="22"/>
      <c r="C981" s="22"/>
      <c r="D981" s="22"/>
      <c r="E981" s="22"/>
      <c r="F981" s="22"/>
      <c r="G981" s="22"/>
      <c r="H981" s="22"/>
      <c r="I981" s="266"/>
      <c r="J981" s="272"/>
      <c r="K981" s="272"/>
      <c r="L981" s="272"/>
      <c r="M981" s="273"/>
      <c r="N981" s="273"/>
      <c r="O981" s="273"/>
      <c r="P981" s="27"/>
      <c r="Q981" s="27"/>
      <c r="R981" s="27"/>
      <c r="S981" s="22"/>
      <c r="T981" s="22"/>
      <c r="U981" s="28"/>
    </row>
    <row r="982">
      <c r="A982" s="189"/>
      <c r="B982" s="22"/>
      <c r="C982" s="22"/>
      <c r="D982" s="22"/>
      <c r="E982" s="22"/>
      <c r="F982" s="22"/>
      <c r="G982" s="22"/>
      <c r="H982" s="22"/>
      <c r="I982" s="266"/>
      <c r="J982" s="272"/>
      <c r="K982" s="272"/>
      <c r="L982" s="272"/>
      <c r="M982" s="273"/>
      <c r="N982" s="273"/>
      <c r="O982" s="273"/>
      <c r="P982" s="27"/>
      <c r="Q982" s="27"/>
      <c r="R982" s="27"/>
      <c r="S982" s="22"/>
      <c r="T982" s="22"/>
      <c r="U982" s="28"/>
    </row>
    <row r="983">
      <c r="A983" s="189"/>
      <c r="B983" s="22"/>
      <c r="C983" s="22"/>
      <c r="D983" s="22"/>
      <c r="E983" s="22"/>
      <c r="F983" s="22"/>
      <c r="G983" s="22"/>
      <c r="H983" s="22"/>
      <c r="I983" s="266"/>
      <c r="J983" s="272"/>
      <c r="K983" s="272"/>
      <c r="L983" s="272"/>
      <c r="M983" s="273"/>
      <c r="N983" s="273"/>
      <c r="O983" s="273"/>
      <c r="P983" s="27"/>
      <c r="Q983" s="27"/>
      <c r="R983" s="27"/>
      <c r="S983" s="22"/>
      <c r="T983" s="22"/>
      <c r="U983" s="28"/>
    </row>
    <row r="984">
      <c r="A984" s="189"/>
      <c r="B984" s="22"/>
      <c r="C984" s="22"/>
      <c r="D984" s="22"/>
      <c r="E984" s="22"/>
      <c r="F984" s="22"/>
      <c r="G984" s="22"/>
      <c r="H984" s="22"/>
      <c r="I984" s="266"/>
      <c r="J984" s="272"/>
      <c r="K984" s="272"/>
      <c r="L984" s="272"/>
      <c r="M984" s="273"/>
      <c r="N984" s="273"/>
      <c r="O984" s="273"/>
      <c r="P984" s="27"/>
      <c r="Q984" s="27"/>
      <c r="R984" s="27"/>
      <c r="S984" s="22"/>
      <c r="T984" s="22"/>
      <c r="U984" s="28"/>
    </row>
    <row r="985">
      <c r="A985" s="189"/>
      <c r="B985" s="22"/>
      <c r="C985" s="22"/>
      <c r="D985" s="22"/>
      <c r="E985" s="22"/>
      <c r="F985" s="22"/>
      <c r="G985" s="22"/>
      <c r="H985" s="22"/>
      <c r="I985" s="266"/>
      <c r="J985" s="272"/>
      <c r="K985" s="272"/>
      <c r="L985" s="272"/>
      <c r="M985" s="273"/>
      <c r="N985" s="273"/>
      <c r="O985" s="273"/>
      <c r="P985" s="27"/>
      <c r="Q985" s="27"/>
      <c r="R985" s="27"/>
      <c r="S985" s="22"/>
      <c r="T985" s="22"/>
      <c r="U985" s="28"/>
    </row>
    <row r="986">
      <c r="A986" s="189"/>
      <c r="B986" s="22"/>
      <c r="C986" s="22"/>
      <c r="D986" s="22"/>
      <c r="E986" s="22"/>
      <c r="F986" s="22"/>
      <c r="G986" s="22"/>
      <c r="H986" s="22"/>
      <c r="I986" s="266"/>
      <c r="J986" s="272"/>
      <c r="K986" s="272"/>
      <c r="L986" s="272"/>
      <c r="M986" s="273"/>
      <c r="N986" s="273"/>
      <c r="O986" s="273"/>
      <c r="P986" s="27"/>
      <c r="Q986" s="27"/>
      <c r="R986" s="27"/>
      <c r="S986" s="22"/>
      <c r="T986" s="22"/>
      <c r="U986" s="28"/>
    </row>
    <row r="987">
      <c r="A987" s="189"/>
      <c r="B987" s="22"/>
      <c r="C987" s="22"/>
      <c r="D987" s="22"/>
      <c r="E987" s="22"/>
      <c r="F987" s="22"/>
      <c r="G987" s="22"/>
      <c r="H987" s="22"/>
      <c r="I987" s="266"/>
      <c r="J987" s="272"/>
      <c r="K987" s="272"/>
      <c r="L987" s="272"/>
      <c r="M987" s="273"/>
      <c r="N987" s="273"/>
      <c r="O987" s="273"/>
      <c r="P987" s="27"/>
      <c r="Q987" s="27"/>
      <c r="R987" s="27"/>
      <c r="S987" s="22"/>
      <c r="T987" s="22"/>
      <c r="U987" s="28"/>
    </row>
    <row r="988">
      <c r="A988" s="189"/>
      <c r="B988" s="22"/>
      <c r="C988" s="22"/>
      <c r="D988" s="22"/>
      <c r="E988" s="22"/>
      <c r="F988" s="22"/>
      <c r="G988" s="22"/>
      <c r="H988" s="22"/>
      <c r="I988" s="266"/>
      <c r="J988" s="272"/>
      <c r="K988" s="272"/>
      <c r="L988" s="272"/>
      <c r="M988" s="273"/>
      <c r="N988" s="273"/>
      <c r="O988" s="273"/>
      <c r="P988" s="27"/>
      <c r="Q988" s="27"/>
      <c r="R988" s="27"/>
      <c r="S988" s="22"/>
      <c r="T988" s="22"/>
      <c r="U988" s="28"/>
    </row>
    <row r="989">
      <c r="A989" s="189"/>
      <c r="B989" s="22"/>
      <c r="C989" s="22"/>
      <c r="D989" s="22"/>
      <c r="E989" s="22"/>
      <c r="F989" s="22"/>
      <c r="G989" s="22"/>
      <c r="H989" s="22"/>
      <c r="I989" s="266"/>
      <c r="J989" s="272"/>
      <c r="K989" s="272"/>
      <c r="L989" s="272"/>
      <c r="M989" s="273"/>
      <c r="N989" s="273"/>
      <c r="O989" s="273"/>
      <c r="P989" s="27"/>
      <c r="Q989" s="27"/>
      <c r="R989" s="27"/>
      <c r="S989" s="22"/>
      <c r="T989" s="22"/>
      <c r="U989" s="28"/>
    </row>
    <row r="990">
      <c r="A990" s="189"/>
      <c r="B990" s="22"/>
      <c r="C990" s="22"/>
      <c r="D990" s="22"/>
      <c r="E990" s="22"/>
      <c r="F990" s="22"/>
      <c r="G990" s="22"/>
      <c r="H990" s="22"/>
      <c r="I990" s="266"/>
      <c r="J990" s="272"/>
      <c r="K990" s="272"/>
      <c r="L990" s="272"/>
      <c r="M990" s="273"/>
      <c r="N990" s="273"/>
      <c r="O990" s="273"/>
      <c r="P990" s="27"/>
      <c r="Q990" s="27"/>
      <c r="R990" s="27"/>
      <c r="S990" s="22"/>
      <c r="T990" s="22"/>
      <c r="U990" s="28"/>
    </row>
    <row r="991">
      <c r="A991" s="189"/>
      <c r="B991" s="22"/>
      <c r="C991" s="22"/>
      <c r="D991" s="22"/>
      <c r="E991" s="22"/>
      <c r="F991" s="22"/>
      <c r="G991" s="22"/>
      <c r="H991" s="22"/>
      <c r="I991" s="266"/>
      <c r="J991" s="272"/>
      <c r="K991" s="272"/>
      <c r="L991" s="272"/>
      <c r="M991" s="273"/>
      <c r="N991" s="273"/>
      <c r="O991" s="273"/>
      <c r="P991" s="27"/>
      <c r="Q991" s="27"/>
      <c r="R991" s="27"/>
      <c r="S991" s="22"/>
      <c r="T991" s="22"/>
      <c r="U991" s="28"/>
    </row>
    <row r="992">
      <c r="A992" s="189"/>
      <c r="B992" s="22"/>
      <c r="C992" s="22"/>
      <c r="D992" s="22"/>
      <c r="E992" s="22"/>
      <c r="F992" s="22"/>
      <c r="G992" s="22"/>
      <c r="H992" s="22"/>
      <c r="I992" s="266"/>
      <c r="J992" s="272"/>
      <c r="K992" s="272"/>
      <c r="L992" s="272"/>
      <c r="M992" s="273"/>
      <c r="N992" s="273"/>
      <c r="O992" s="273"/>
      <c r="P992" s="27"/>
      <c r="Q992" s="27"/>
      <c r="R992" s="27"/>
      <c r="S992" s="22"/>
      <c r="T992" s="22"/>
      <c r="U992" s="28"/>
    </row>
    <row r="993">
      <c r="A993" s="189"/>
      <c r="B993" s="22"/>
      <c r="C993" s="22"/>
      <c r="D993" s="22"/>
      <c r="E993" s="22"/>
      <c r="F993" s="22"/>
      <c r="G993" s="22"/>
      <c r="H993" s="22"/>
      <c r="I993" s="266"/>
      <c r="J993" s="272"/>
      <c r="K993" s="272"/>
      <c r="L993" s="272"/>
      <c r="M993" s="273"/>
      <c r="N993" s="273"/>
      <c r="O993" s="273"/>
      <c r="P993" s="27"/>
      <c r="Q993" s="27"/>
      <c r="R993" s="27"/>
      <c r="S993" s="22"/>
      <c r="T993" s="22"/>
      <c r="U993" s="28"/>
    </row>
    <row r="994">
      <c r="A994" s="189"/>
      <c r="B994" s="22"/>
      <c r="C994" s="22"/>
      <c r="D994" s="22"/>
      <c r="E994" s="22"/>
      <c r="F994" s="22"/>
      <c r="G994" s="22"/>
      <c r="H994" s="22"/>
      <c r="I994" s="266"/>
      <c r="J994" s="272"/>
      <c r="K994" s="272"/>
      <c r="L994" s="272"/>
      <c r="M994" s="273"/>
      <c r="N994" s="273"/>
      <c r="O994" s="273"/>
      <c r="P994" s="27"/>
      <c r="Q994" s="27"/>
      <c r="R994" s="27"/>
      <c r="S994" s="22"/>
      <c r="T994" s="22"/>
      <c r="U994" s="28"/>
    </row>
    <row r="995">
      <c r="A995" s="189"/>
      <c r="B995" s="22"/>
      <c r="C995" s="22"/>
      <c r="D995" s="22"/>
      <c r="E995" s="22"/>
      <c r="F995" s="22"/>
      <c r="G995" s="22"/>
      <c r="H995" s="22"/>
      <c r="I995" s="266"/>
      <c r="J995" s="272"/>
      <c r="K995" s="272"/>
      <c r="L995" s="272"/>
      <c r="M995" s="273"/>
      <c r="N995" s="273"/>
      <c r="O995" s="273"/>
      <c r="P995" s="27"/>
      <c r="Q995" s="27"/>
      <c r="R995" s="27"/>
      <c r="S995" s="22"/>
      <c r="T995" s="22"/>
      <c r="U995" s="28"/>
    </row>
    <row r="996">
      <c r="A996" s="189"/>
      <c r="B996" s="22"/>
      <c r="C996" s="22"/>
      <c r="D996" s="22"/>
      <c r="E996" s="22"/>
      <c r="F996" s="22"/>
      <c r="G996" s="22"/>
      <c r="H996" s="22"/>
      <c r="I996" s="266"/>
      <c r="J996" s="272"/>
      <c r="K996" s="272"/>
      <c r="L996" s="272"/>
      <c r="M996" s="273"/>
      <c r="N996" s="273"/>
      <c r="O996" s="273"/>
      <c r="P996" s="27"/>
      <c r="Q996" s="27"/>
      <c r="R996" s="27"/>
      <c r="S996" s="22"/>
      <c r="T996" s="22"/>
      <c r="U996" s="28"/>
    </row>
    <row r="997">
      <c r="A997" s="189"/>
      <c r="B997" s="22"/>
      <c r="C997" s="22"/>
      <c r="D997" s="22"/>
      <c r="E997" s="22"/>
      <c r="F997" s="22"/>
      <c r="G997" s="22"/>
      <c r="H997" s="22"/>
      <c r="I997" s="266"/>
      <c r="J997" s="272"/>
      <c r="K997" s="272"/>
      <c r="L997" s="272"/>
      <c r="M997" s="273"/>
      <c r="N997" s="273"/>
      <c r="O997" s="273"/>
      <c r="P997" s="27"/>
      <c r="Q997" s="27"/>
      <c r="R997" s="27"/>
      <c r="S997" s="22"/>
      <c r="T997" s="22"/>
      <c r="U997" s="28"/>
    </row>
    <row r="998">
      <c r="A998" s="189"/>
      <c r="B998" s="22"/>
      <c r="C998" s="22"/>
      <c r="D998" s="22"/>
      <c r="E998" s="22"/>
      <c r="F998" s="22"/>
      <c r="G998" s="22"/>
      <c r="H998" s="22"/>
      <c r="I998" s="266"/>
      <c r="J998" s="272"/>
      <c r="K998" s="272"/>
      <c r="L998" s="272"/>
      <c r="M998" s="273"/>
      <c r="N998" s="273"/>
      <c r="O998" s="273"/>
      <c r="P998" s="27"/>
      <c r="Q998" s="27"/>
      <c r="R998" s="27"/>
      <c r="S998" s="22"/>
      <c r="T998" s="22"/>
      <c r="U998" s="28"/>
    </row>
    <row r="999">
      <c r="A999" s="189"/>
      <c r="B999" s="22"/>
      <c r="C999" s="22"/>
      <c r="D999" s="22"/>
      <c r="E999" s="22"/>
      <c r="F999" s="22"/>
      <c r="G999" s="22"/>
      <c r="H999" s="22"/>
      <c r="I999" s="266"/>
      <c r="J999" s="272"/>
      <c r="K999" s="272"/>
      <c r="L999" s="272"/>
      <c r="M999" s="273"/>
      <c r="N999" s="273"/>
      <c r="O999" s="273"/>
      <c r="P999" s="27"/>
      <c r="Q999" s="27"/>
      <c r="R999" s="27"/>
      <c r="S999" s="22"/>
      <c r="T999" s="22"/>
      <c r="U999" s="28"/>
    </row>
    <row r="1000">
      <c r="A1000" s="189"/>
      <c r="B1000" s="22"/>
      <c r="C1000" s="22"/>
      <c r="D1000" s="22"/>
      <c r="E1000" s="22"/>
      <c r="F1000" s="22"/>
      <c r="G1000" s="22"/>
      <c r="H1000" s="22"/>
      <c r="I1000" s="266"/>
      <c r="J1000" s="272"/>
      <c r="K1000" s="272"/>
      <c r="L1000" s="272"/>
      <c r="M1000" s="273"/>
      <c r="N1000" s="273"/>
      <c r="O1000" s="273"/>
      <c r="P1000" s="27"/>
      <c r="Q1000" s="27"/>
      <c r="R1000" s="27"/>
      <c r="S1000" s="22"/>
      <c r="T1000" s="22"/>
      <c r="U1000" s="28"/>
    </row>
    <row r="1001">
      <c r="A1001" s="189"/>
      <c r="B1001" s="22"/>
      <c r="C1001" s="22"/>
      <c r="D1001" s="22"/>
      <c r="E1001" s="22"/>
      <c r="F1001" s="22"/>
      <c r="G1001" s="22"/>
      <c r="H1001" s="22"/>
      <c r="I1001" s="266"/>
      <c r="J1001" s="272"/>
      <c r="K1001" s="272"/>
      <c r="L1001" s="272"/>
      <c r="M1001" s="273"/>
      <c r="N1001" s="273"/>
      <c r="O1001" s="273"/>
      <c r="P1001" s="27"/>
      <c r="Q1001" s="27"/>
      <c r="R1001" s="27"/>
      <c r="S1001" s="22"/>
      <c r="T1001" s="22"/>
      <c r="U1001" s="28"/>
    </row>
    <row r="1002">
      <c r="A1002" s="189"/>
      <c r="B1002" s="22"/>
      <c r="C1002" s="22"/>
      <c r="D1002" s="22"/>
      <c r="E1002" s="22"/>
      <c r="F1002" s="22"/>
      <c r="G1002" s="22"/>
      <c r="H1002" s="22"/>
      <c r="I1002" s="266"/>
      <c r="J1002" s="272"/>
      <c r="K1002" s="272"/>
      <c r="L1002" s="272"/>
      <c r="M1002" s="273"/>
      <c r="N1002" s="273"/>
      <c r="O1002" s="273"/>
      <c r="P1002" s="27"/>
      <c r="Q1002" s="27"/>
      <c r="R1002" s="27"/>
      <c r="S1002" s="22"/>
      <c r="T1002" s="22"/>
      <c r="U1002" s="28"/>
    </row>
    <row r="1003">
      <c r="A1003" s="189"/>
      <c r="B1003" s="22"/>
      <c r="C1003" s="22"/>
      <c r="D1003" s="22"/>
      <c r="E1003" s="22"/>
      <c r="F1003" s="22"/>
      <c r="G1003" s="22"/>
      <c r="H1003" s="22"/>
      <c r="I1003" s="266"/>
      <c r="J1003" s="272"/>
      <c r="K1003" s="272"/>
      <c r="L1003" s="272"/>
      <c r="M1003" s="273"/>
      <c r="N1003" s="273"/>
      <c r="O1003" s="273"/>
      <c r="P1003" s="27"/>
      <c r="Q1003" s="27"/>
      <c r="R1003" s="27"/>
      <c r="S1003" s="22"/>
      <c r="T1003" s="22"/>
      <c r="U1003" s="28"/>
    </row>
    <row r="1004">
      <c r="A1004" s="189"/>
      <c r="B1004" s="22"/>
      <c r="C1004" s="22"/>
      <c r="D1004" s="22"/>
      <c r="E1004" s="22"/>
      <c r="F1004" s="22"/>
      <c r="G1004" s="22"/>
      <c r="H1004" s="22"/>
      <c r="I1004" s="266"/>
      <c r="J1004" s="272"/>
      <c r="K1004" s="272"/>
      <c r="L1004" s="272"/>
      <c r="M1004" s="273"/>
      <c r="N1004" s="273"/>
      <c r="O1004" s="273"/>
      <c r="P1004" s="27"/>
      <c r="Q1004" s="27"/>
      <c r="R1004" s="27"/>
      <c r="S1004" s="22"/>
      <c r="T1004" s="22"/>
      <c r="U1004" s="28"/>
    </row>
    <row r="1005">
      <c r="A1005" s="189"/>
      <c r="B1005" s="22"/>
      <c r="C1005" s="22"/>
      <c r="D1005" s="22"/>
      <c r="E1005" s="22"/>
      <c r="F1005" s="22"/>
      <c r="G1005" s="22"/>
      <c r="H1005" s="22"/>
      <c r="I1005" s="266"/>
      <c r="J1005" s="272"/>
      <c r="K1005" s="272"/>
      <c r="L1005" s="272"/>
      <c r="M1005" s="273"/>
      <c r="N1005" s="273"/>
      <c r="O1005" s="273"/>
      <c r="P1005" s="27"/>
      <c r="Q1005" s="27"/>
      <c r="R1005" s="27"/>
      <c r="S1005" s="22"/>
      <c r="T1005" s="22"/>
      <c r="U1005" s="28"/>
    </row>
    <row r="1006">
      <c r="A1006" s="189"/>
      <c r="B1006" s="22"/>
      <c r="C1006" s="22"/>
      <c r="D1006" s="22"/>
      <c r="E1006" s="22"/>
      <c r="F1006" s="22"/>
      <c r="G1006" s="22"/>
      <c r="H1006" s="22"/>
      <c r="I1006" s="266"/>
      <c r="J1006" s="272"/>
      <c r="K1006" s="272"/>
      <c r="L1006" s="272"/>
      <c r="M1006" s="273"/>
      <c r="N1006" s="273"/>
      <c r="O1006" s="273"/>
      <c r="P1006" s="27"/>
      <c r="Q1006" s="27"/>
      <c r="R1006" s="27"/>
      <c r="S1006" s="22"/>
      <c r="T1006" s="22"/>
      <c r="U1006" s="28"/>
    </row>
    <row r="1007">
      <c r="A1007" s="189"/>
      <c r="B1007" s="22"/>
      <c r="C1007" s="22"/>
      <c r="D1007" s="22"/>
      <c r="E1007" s="22"/>
      <c r="F1007" s="22"/>
      <c r="G1007" s="22"/>
      <c r="H1007" s="22"/>
      <c r="I1007" s="266"/>
      <c r="J1007" s="272"/>
      <c r="K1007" s="272"/>
      <c r="L1007" s="272"/>
      <c r="M1007" s="273"/>
      <c r="N1007" s="273"/>
      <c r="O1007" s="273"/>
      <c r="P1007" s="27"/>
      <c r="Q1007" s="27"/>
      <c r="R1007" s="27"/>
      <c r="S1007" s="22"/>
      <c r="T1007" s="22"/>
      <c r="U1007" s="28"/>
    </row>
    <row r="1008">
      <c r="A1008" s="189"/>
      <c r="B1008" s="22"/>
      <c r="C1008" s="22"/>
      <c r="D1008" s="22"/>
      <c r="E1008" s="22"/>
      <c r="F1008" s="22"/>
      <c r="G1008" s="22"/>
      <c r="H1008" s="22"/>
      <c r="I1008" s="266"/>
      <c r="J1008" s="272"/>
      <c r="K1008" s="272"/>
      <c r="L1008" s="272"/>
      <c r="M1008" s="273"/>
      <c r="N1008" s="273"/>
      <c r="O1008" s="273"/>
      <c r="P1008" s="27"/>
      <c r="Q1008" s="27"/>
      <c r="R1008" s="27"/>
      <c r="S1008" s="22"/>
      <c r="T1008" s="22"/>
      <c r="U1008" s="28"/>
    </row>
    <row r="1009">
      <c r="A1009" s="189"/>
      <c r="B1009" s="22"/>
      <c r="C1009" s="22"/>
      <c r="D1009" s="22"/>
      <c r="E1009" s="22"/>
      <c r="F1009" s="22"/>
      <c r="G1009" s="22"/>
      <c r="H1009" s="22"/>
      <c r="I1009" s="266"/>
      <c r="J1009" s="272"/>
      <c r="K1009" s="272"/>
      <c r="L1009" s="272"/>
      <c r="M1009" s="273"/>
      <c r="N1009" s="273"/>
      <c r="O1009" s="273"/>
      <c r="P1009" s="27"/>
      <c r="Q1009" s="27"/>
      <c r="R1009" s="27"/>
      <c r="S1009" s="22"/>
      <c r="T1009" s="22"/>
      <c r="U1009" s="28"/>
    </row>
    <row r="1010">
      <c r="A1010" s="189"/>
      <c r="B1010" s="22"/>
      <c r="C1010" s="22"/>
      <c r="D1010" s="22"/>
      <c r="E1010" s="22"/>
      <c r="F1010" s="22"/>
      <c r="G1010" s="22"/>
      <c r="H1010" s="22"/>
      <c r="I1010" s="266"/>
      <c r="J1010" s="272"/>
      <c r="K1010" s="272"/>
      <c r="L1010" s="272"/>
      <c r="M1010" s="273"/>
      <c r="N1010" s="273"/>
      <c r="O1010" s="273"/>
      <c r="P1010" s="27"/>
      <c r="Q1010" s="27"/>
      <c r="R1010" s="27"/>
      <c r="S1010" s="22"/>
      <c r="T1010" s="22"/>
      <c r="U1010" s="28"/>
    </row>
    <row r="1011">
      <c r="A1011" s="189"/>
      <c r="B1011" s="22"/>
      <c r="C1011" s="22"/>
      <c r="D1011" s="22"/>
      <c r="E1011" s="22"/>
      <c r="F1011" s="22"/>
      <c r="G1011" s="22"/>
      <c r="H1011" s="22"/>
      <c r="I1011" s="266"/>
      <c r="J1011" s="272"/>
      <c r="K1011" s="272"/>
      <c r="L1011" s="272"/>
      <c r="M1011" s="273"/>
      <c r="N1011" s="273"/>
      <c r="O1011" s="273"/>
      <c r="P1011" s="27"/>
      <c r="Q1011" s="27"/>
      <c r="R1011" s="27"/>
      <c r="S1011" s="22"/>
      <c r="T1011" s="22"/>
      <c r="U1011" s="28"/>
    </row>
    <row r="1012">
      <c r="A1012" s="189"/>
      <c r="B1012" s="22"/>
      <c r="C1012" s="22"/>
      <c r="D1012" s="22"/>
      <c r="E1012" s="22"/>
      <c r="F1012" s="22"/>
      <c r="G1012" s="22"/>
      <c r="H1012" s="22"/>
      <c r="I1012" s="266"/>
      <c r="J1012" s="272"/>
      <c r="K1012" s="272"/>
      <c r="L1012" s="272"/>
      <c r="M1012" s="273"/>
      <c r="N1012" s="273"/>
      <c r="O1012" s="273"/>
      <c r="P1012" s="27"/>
      <c r="Q1012" s="27"/>
      <c r="R1012" s="27"/>
      <c r="S1012" s="22"/>
      <c r="T1012" s="22"/>
      <c r="U1012" s="28"/>
    </row>
    <row r="1013">
      <c r="A1013" s="189"/>
      <c r="B1013" s="22"/>
      <c r="C1013" s="22"/>
      <c r="D1013" s="22"/>
      <c r="E1013" s="22"/>
      <c r="F1013" s="22"/>
      <c r="G1013" s="22"/>
      <c r="H1013" s="22"/>
      <c r="I1013" s="266"/>
      <c r="J1013" s="272"/>
      <c r="K1013" s="272"/>
      <c r="L1013" s="272"/>
      <c r="M1013" s="273"/>
      <c r="N1013" s="273"/>
      <c r="O1013" s="273"/>
      <c r="P1013" s="27"/>
      <c r="Q1013" s="27"/>
      <c r="R1013" s="27"/>
      <c r="S1013" s="22"/>
      <c r="T1013" s="22"/>
      <c r="U1013" s="28"/>
    </row>
    <row r="1014">
      <c r="A1014" s="189"/>
      <c r="B1014" s="22"/>
      <c r="C1014" s="22"/>
      <c r="D1014" s="22"/>
      <c r="E1014" s="22"/>
      <c r="F1014" s="22"/>
      <c r="G1014" s="22"/>
      <c r="H1014" s="22"/>
      <c r="I1014" s="266"/>
      <c r="J1014" s="272"/>
      <c r="K1014" s="272"/>
      <c r="L1014" s="272"/>
      <c r="M1014" s="273"/>
      <c r="N1014" s="273"/>
      <c r="O1014" s="273"/>
      <c r="P1014" s="27"/>
      <c r="Q1014" s="27"/>
      <c r="R1014" s="27"/>
      <c r="S1014" s="22"/>
      <c r="T1014" s="22"/>
      <c r="U1014" s="28"/>
    </row>
    <row r="1015">
      <c r="A1015" s="189"/>
      <c r="B1015" s="22"/>
      <c r="C1015" s="22"/>
      <c r="D1015" s="22"/>
      <c r="E1015" s="22"/>
      <c r="F1015" s="22"/>
      <c r="G1015" s="22"/>
      <c r="H1015" s="22"/>
      <c r="I1015" s="266"/>
      <c r="J1015" s="272"/>
      <c r="K1015" s="272"/>
      <c r="L1015" s="272"/>
      <c r="M1015" s="273"/>
      <c r="N1015" s="273"/>
      <c r="O1015" s="273"/>
      <c r="P1015" s="27"/>
      <c r="Q1015" s="27"/>
      <c r="R1015" s="27"/>
      <c r="S1015" s="22"/>
      <c r="T1015" s="22"/>
      <c r="U1015" s="28"/>
    </row>
    <row r="1016">
      <c r="A1016" s="189"/>
      <c r="B1016" s="22"/>
      <c r="C1016" s="22"/>
      <c r="D1016" s="22"/>
      <c r="E1016" s="22"/>
      <c r="F1016" s="22"/>
      <c r="G1016" s="22"/>
      <c r="H1016" s="22"/>
      <c r="I1016" s="266"/>
      <c r="J1016" s="272"/>
      <c r="K1016" s="272"/>
      <c r="L1016" s="272"/>
      <c r="M1016" s="273"/>
      <c r="N1016" s="273"/>
      <c r="O1016" s="273"/>
      <c r="P1016" s="27"/>
      <c r="Q1016" s="27"/>
      <c r="R1016" s="27"/>
      <c r="S1016" s="22"/>
      <c r="T1016" s="22"/>
      <c r="U1016" s="28"/>
    </row>
    <row r="1017">
      <c r="A1017" s="189"/>
      <c r="B1017" s="22"/>
      <c r="C1017" s="22"/>
      <c r="D1017" s="22"/>
      <c r="E1017" s="22"/>
      <c r="F1017" s="22"/>
      <c r="G1017" s="22"/>
      <c r="H1017" s="22"/>
      <c r="I1017" s="266"/>
      <c r="J1017" s="272"/>
      <c r="K1017" s="272"/>
      <c r="L1017" s="272"/>
      <c r="M1017" s="273"/>
      <c r="N1017" s="273"/>
      <c r="O1017" s="273"/>
      <c r="P1017" s="27"/>
      <c r="Q1017" s="27"/>
      <c r="R1017" s="27"/>
      <c r="S1017" s="22"/>
      <c r="T1017" s="22"/>
      <c r="U1017" s="28"/>
    </row>
    <row r="1018">
      <c r="A1018" s="189"/>
      <c r="B1018" s="22"/>
      <c r="C1018" s="22"/>
      <c r="D1018" s="22"/>
      <c r="E1018" s="22"/>
      <c r="F1018" s="22"/>
      <c r="G1018" s="22"/>
      <c r="H1018" s="22"/>
      <c r="I1018" s="266"/>
      <c r="J1018" s="272"/>
      <c r="K1018" s="272"/>
      <c r="L1018" s="272"/>
      <c r="M1018" s="273"/>
      <c r="N1018" s="273"/>
      <c r="O1018" s="273"/>
      <c r="P1018" s="27"/>
      <c r="Q1018" s="27"/>
      <c r="R1018" s="27"/>
      <c r="S1018" s="22"/>
      <c r="T1018" s="22"/>
      <c r="U1018" s="28"/>
    </row>
    <row r="1019">
      <c r="A1019" s="189"/>
      <c r="B1019" s="22"/>
      <c r="C1019" s="22"/>
      <c r="D1019" s="22"/>
      <c r="E1019" s="22"/>
      <c r="F1019" s="22"/>
      <c r="G1019" s="22"/>
      <c r="H1019" s="22"/>
      <c r="I1019" s="266"/>
      <c r="J1019" s="272"/>
      <c r="K1019" s="272"/>
      <c r="L1019" s="272"/>
      <c r="M1019" s="273"/>
      <c r="N1019" s="273"/>
      <c r="O1019" s="273"/>
      <c r="P1019" s="27"/>
      <c r="Q1019" s="27"/>
      <c r="R1019" s="27"/>
      <c r="S1019" s="22"/>
      <c r="T1019" s="22"/>
      <c r="U1019" s="28"/>
    </row>
    <row r="1020">
      <c r="A1020" s="189"/>
      <c r="B1020" s="22"/>
      <c r="C1020" s="22"/>
      <c r="D1020" s="22"/>
      <c r="E1020" s="22"/>
      <c r="F1020" s="22"/>
      <c r="G1020" s="22"/>
      <c r="H1020" s="22"/>
      <c r="I1020" s="266"/>
      <c r="J1020" s="272"/>
      <c r="K1020" s="272"/>
      <c r="L1020" s="272"/>
      <c r="M1020" s="273"/>
      <c r="N1020" s="273"/>
      <c r="O1020" s="273"/>
      <c r="P1020" s="27"/>
      <c r="Q1020" s="27"/>
      <c r="R1020" s="27"/>
      <c r="S1020" s="22"/>
      <c r="T1020" s="22"/>
      <c r="U1020" s="28"/>
    </row>
    <row r="1021">
      <c r="A1021" s="189"/>
      <c r="B1021" s="22"/>
      <c r="C1021" s="22"/>
      <c r="D1021" s="22"/>
      <c r="E1021" s="22"/>
      <c r="F1021" s="22"/>
      <c r="G1021" s="22"/>
      <c r="H1021" s="22"/>
      <c r="I1021" s="266"/>
      <c r="J1021" s="272"/>
      <c r="K1021" s="272"/>
      <c r="L1021" s="272"/>
      <c r="M1021" s="273"/>
      <c r="N1021" s="273"/>
      <c r="O1021" s="273"/>
      <c r="P1021" s="27"/>
      <c r="Q1021" s="27"/>
      <c r="R1021" s="27"/>
      <c r="S1021" s="22"/>
      <c r="T1021" s="22"/>
      <c r="U1021" s="28"/>
    </row>
    <row r="1022">
      <c r="A1022" s="189"/>
      <c r="B1022" s="22"/>
      <c r="C1022" s="22"/>
      <c r="D1022" s="22"/>
      <c r="E1022" s="22"/>
      <c r="F1022" s="22"/>
      <c r="G1022" s="22"/>
      <c r="H1022" s="22"/>
      <c r="I1022" s="266"/>
      <c r="J1022" s="272"/>
      <c r="K1022" s="272"/>
      <c r="L1022" s="272"/>
      <c r="M1022" s="273"/>
      <c r="N1022" s="273"/>
      <c r="O1022" s="273"/>
      <c r="P1022" s="27"/>
      <c r="Q1022" s="27"/>
      <c r="R1022" s="27"/>
      <c r="S1022" s="22"/>
      <c r="T1022" s="22"/>
      <c r="U1022" s="28"/>
    </row>
    <row r="1023">
      <c r="A1023" s="189"/>
      <c r="B1023" s="22"/>
      <c r="C1023" s="22"/>
      <c r="D1023" s="22"/>
      <c r="E1023" s="22"/>
      <c r="F1023" s="22"/>
      <c r="G1023" s="22"/>
      <c r="H1023" s="22"/>
      <c r="I1023" s="266"/>
      <c r="J1023" s="272"/>
      <c r="K1023" s="272"/>
      <c r="L1023" s="272"/>
      <c r="M1023" s="273"/>
      <c r="N1023" s="273"/>
      <c r="O1023" s="273"/>
      <c r="P1023" s="27"/>
      <c r="Q1023" s="27"/>
      <c r="R1023" s="27"/>
      <c r="S1023" s="22"/>
      <c r="T1023" s="22"/>
      <c r="U1023" s="28"/>
    </row>
    <row r="1024">
      <c r="A1024" s="189"/>
      <c r="B1024" s="22"/>
      <c r="C1024" s="22"/>
      <c r="D1024" s="22"/>
      <c r="E1024" s="22"/>
      <c r="F1024" s="22"/>
      <c r="G1024" s="22"/>
      <c r="H1024" s="22"/>
      <c r="I1024" s="266"/>
      <c r="J1024" s="272"/>
      <c r="K1024" s="272"/>
      <c r="L1024" s="272"/>
      <c r="M1024" s="273"/>
      <c r="N1024" s="273"/>
      <c r="O1024" s="273"/>
      <c r="P1024" s="27"/>
      <c r="Q1024" s="27"/>
      <c r="R1024" s="27"/>
      <c r="S1024" s="22"/>
      <c r="T1024" s="22"/>
      <c r="U1024" s="28"/>
    </row>
    <row r="1025">
      <c r="A1025" s="189"/>
      <c r="B1025" s="22"/>
      <c r="C1025" s="22"/>
      <c r="D1025" s="22"/>
      <c r="E1025" s="22"/>
      <c r="F1025" s="22"/>
      <c r="G1025" s="22"/>
      <c r="H1025" s="22"/>
      <c r="I1025" s="266"/>
      <c r="J1025" s="272"/>
      <c r="K1025" s="272"/>
      <c r="L1025" s="272"/>
      <c r="M1025" s="273"/>
      <c r="N1025" s="273"/>
      <c r="O1025" s="273"/>
      <c r="P1025" s="27"/>
      <c r="Q1025" s="27"/>
      <c r="R1025" s="27"/>
      <c r="S1025" s="22"/>
      <c r="T1025" s="22"/>
      <c r="U1025" s="28"/>
    </row>
    <row r="1026">
      <c r="A1026" s="189"/>
      <c r="B1026" s="22"/>
      <c r="C1026" s="22"/>
      <c r="D1026" s="22"/>
      <c r="E1026" s="22"/>
      <c r="F1026" s="22"/>
      <c r="G1026" s="22"/>
      <c r="H1026" s="22"/>
      <c r="I1026" s="266"/>
      <c r="J1026" s="272"/>
      <c r="K1026" s="272"/>
      <c r="L1026" s="272"/>
      <c r="M1026" s="273"/>
      <c r="N1026" s="273"/>
      <c r="O1026" s="273"/>
      <c r="P1026" s="27"/>
      <c r="Q1026" s="27"/>
      <c r="R1026" s="27"/>
      <c r="S1026" s="22"/>
      <c r="T1026" s="22"/>
      <c r="U1026" s="28"/>
    </row>
    <row r="1027">
      <c r="A1027" s="189"/>
      <c r="B1027" s="22"/>
      <c r="C1027" s="22"/>
      <c r="D1027" s="22"/>
      <c r="E1027" s="22"/>
      <c r="F1027" s="22"/>
      <c r="G1027" s="22"/>
      <c r="H1027" s="22"/>
      <c r="I1027" s="266"/>
      <c r="J1027" s="272"/>
      <c r="K1027" s="272"/>
      <c r="L1027" s="272"/>
      <c r="M1027" s="273"/>
      <c r="N1027" s="273"/>
      <c r="O1027" s="273"/>
      <c r="P1027" s="27"/>
      <c r="Q1027" s="27"/>
      <c r="R1027" s="27"/>
      <c r="S1027" s="22"/>
      <c r="T1027" s="22"/>
      <c r="U1027" s="28"/>
    </row>
    <row r="1028">
      <c r="A1028" s="189"/>
      <c r="B1028" s="22"/>
      <c r="C1028" s="22"/>
      <c r="D1028" s="22"/>
      <c r="E1028" s="22"/>
      <c r="F1028" s="22"/>
      <c r="G1028" s="22"/>
      <c r="H1028" s="22"/>
      <c r="I1028" s="266"/>
      <c r="J1028" s="272"/>
      <c r="K1028" s="272"/>
      <c r="L1028" s="272"/>
      <c r="M1028" s="273"/>
      <c r="N1028" s="273"/>
      <c r="O1028" s="273"/>
      <c r="P1028" s="27"/>
      <c r="Q1028" s="27"/>
      <c r="R1028" s="27"/>
      <c r="S1028" s="22"/>
      <c r="T1028" s="22"/>
      <c r="U1028" s="28"/>
    </row>
    <row r="1029">
      <c r="A1029" s="189"/>
      <c r="B1029" s="22"/>
      <c r="C1029" s="22"/>
      <c r="D1029" s="22"/>
      <c r="E1029" s="22"/>
      <c r="F1029" s="22"/>
      <c r="G1029" s="22"/>
      <c r="H1029" s="22"/>
      <c r="I1029" s="266"/>
      <c r="J1029" s="272"/>
      <c r="K1029" s="272"/>
      <c r="L1029" s="272"/>
      <c r="M1029" s="273"/>
      <c r="N1029" s="273"/>
      <c r="O1029" s="273"/>
      <c r="P1029" s="27"/>
      <c r="Q1029" s="27"/>
      <c r="R1029" s="27"/>
      <c r="S1029" s="22"/>
      <c r="T1029" s="22"/>
      <c r="U1029" s="28"/>
    </row>
    <row r="1030">
      <c r="A1030" s="189"/>
      <c r="B1030" s="22"/>
      <c r="C1030" s="22"/>
      <c r="D1030" s="22"/>
      <c r="E1030" s="22"/>
      <c r="F1030" s="22"/>
      <c r="G1030" s="22"/>
      <c r="H1030" s="22"/>
      <c r="I1030" s="266"/>
      <c r="J1030" s="272"/>
      <c r="K1030" s="272"/>
      <c r="L1030" s="272"/>
      <c r="M1030" s="273"/>
      <c r="N1030" s="273"/>
      <c r="O1030" s="273"/>
      <c r="P1030" s="27"/>
      <c r="Q1030" s="27"/>
      <c r="R1030" s="27"/>
      <c r="S1030" s="22"/>
      <c r="T1030" s="22"/>
      <c r="U1030" s="28"/>
    </row>
    <row r="1031">
      <c r="A1031" s="189"/>
      <c r="B1031" s="22"/>
      <c r="C1031" s="22"/>
      <c r="D1031" s="22"/>
      <c r="E1031" s="22"/>
      <c r="F1031" s="22"/>
      <c r="G1031" s="22"/>
      <c r="H1031" s="22"/>
      <c r="I1031" s="266"/>
      <c r="J1031" s="272"/>
      <c r="K1031" s="272"/>
      <c r="L1031" s="272"/>
      <c r="M1031" s="273"/>
      <c r="N1031" s="273"/>
      <c r="O1031" s="273"/>
      <c r="P1031" s="27"/>
      <c r="Q1031" s="27"/>
      <c r="R1031" s="27"/>
      <c r="S1031" s="22"/>
      <c r="T1031" s="22"/>
      <c r="U1031" s="28"/>
    </row>
    <row r="1032">
      <c r="A1032" s="189"/>
      <c r="B1032" s="22"/>
      <c r="C1032" s="22"/>
      <c r="D1032" s="22"/>
      <c r="E1032" s="22"/>
      <c r="F1032" s="22"/>
      <c r="G1032" s="22"/>
      <c r="H1032" s="22"/>
      <c r="I1032" s="266"/>
      <c r="J1032" s="272"/>
      <c r="K1032" s="272"/>
      <c r="L1032" s="272"/>
      <c r="M1032" s="273"/>
      <c r="N1032" s="273"/>
      <c r="O1032" s="273"/>
      <c r="P1032" s="27"/>
      <c r="Q1032" s="27"/>
      <c r="R1032" s="27"/>
      <c r="S1032" s="22"/>
      <c r="T1032" s="22"/>
      <c r="U1032" s="28"/>
    </row>
    <row r="1033">
      <c r="A1033" s="189"/>
      <c r="B1033" s="22"/>
      <c r="C1033" s="22"/>
      <c r="D1033" s="22"/>
      <c r="E1033" s="22"/>
      <c r="F1033" s="22"/>
      <c r="G1033" s="22"/>
      <c r="H1033" s="22"/>
      <c r="I1033" s="266"/>
      <c r="J1033" s="272"/>
      <c r="K1033" s="272"/>
      <c r="L1033" s="272"/>
      <c r="M1033" s="273"/>
      <c r="N1033" s="273"/>
      <c r="O1033" s="273"/>
      <c r="P1033" s="27"/>
      <c r="Q1033" s="27"/>
      <c r="R1033" s="27"/>
      <c r="S1033" s="22"/>
      <c r="T1033" s="22"/>
      <c r="U1033" s="28"/>
    </row>
    <row r="1034">
      <c r="A1034" s="189"/>
      <c r="B1034" s="22"/>
      <c r="C1034" s="22"/>
      <c r="D1034" s="22"/>
      <c r="E1034" s="22"/>
      <c r="F1034" s="22"/>
      <c r="G1034" s="22"/>
      <c r="H1034" s="22"/>
      <c r="I1034" s="266"/>
      <c r="J1034" s="272"/>
      <c r="K1034" s="272"/>
      <c r="L1034" s="272"/>
      <c r="M1034" s="273"/>
      <c r="N1034" s="273"/>
      <c r="O1034" s="273"/>
      <c r="P1034" s="27"/>
      <c r="Q1034" s="27"/>
      <c r="R1034" s="27"/>
      <c r="S1034" s="22"/>
      <c r="T1034" s="22"/>
      <c r="U1034" s="28"/>
    </row>
    <row r="1035">
      <c r="A1035" s="189"/>
      <c r="B1035" s="22"/>
      <c r="C1035" s="22"/>
      <c r="D1035" s="22"/>
      <c r="E1035" s="22"/>
      <c r="F1035" s="22"/>
      <c r="G1035" s="22"/>
      <c r="H1035" s="22"/>
      <c r="I1035" s="266"/>
      <c r="J1035" s="272"/>
      <c r="K1035" s="272"/>
      <c r="L1035" s="272"/>
      <c r="M1035" s="273"/>
      <c r="N1035" s="273"/>
      <c r="O1035" s="273"/>
      <c r="P1035" s="27"/>
      <c r="Q1035" s="27"/>
      <c r="R1035" s="27"/>
      <c r="S1035" s="22"/>
      <c r="T1035" s="22"/>
      <c r="U1035" s="28"/>
    </row>
    <row r="1036">
      <c r="A1036" s="189"/>
      <c r="B1036" s="22"/>
      <c r="C1036" s="22"/>
      <c r="D1036" s="22"/>
      <c r="E1036" s="22"/>
      <c r="F1036" s="22"/>
      <c r="G1036" s="22"/>
      <c r="H1036" s="22"/>
      <c r="I1036" s="266"/>
      <c r="J1036" s="272"/>
      <c r="K1036" s="272"/>
      <c r="L1036" s="272"/>
      <c r="M1036" s="273"/>
      <c r="N1036" s="273"/>
      <c r="O1036" s="273"/>
      <c r="P1036" s="27"/>
      <c r="Q1036" s="27"/>
      <c r="R1036" s="27"/>
      <c r="S1036" s="22"/>
      <c r="T1036" s="22"/>
      <c r="U1036" s="28"/>
    </row>
    <row r="1037">
      <c r="A1037" s="189"/>
      <c r="B1037" s="22"/>
      <c r="C1037" s="22"/>
      <c r="D1037" s="22"/>
      <c r="E1037" s="22"/>
      <c r="F1037" s="22"/>
      <c r="G1037" s="22"/>
      <c r="H1037" s="22"/>
      <c r="I1037" s="266"/>
      <c r="J1037" s="272"/>
      <c r="K1037" s="272"/>
      <c r="L1037" s="272"/>
      <c r="M1037" s="273"/>
      <c r="N1037" s="273"/>
      <c r="O1037" s="273"/>
      <c r="P1037" s="27"/>
      <c r="Q1037" s="27"/>
      <c r="R1037" s="27"/>
      <c r="S1037" s="22"/>
      <c r="T1037" s="22"/>
      <c r="U1037" s="28"/>
    </row>
    <row r="1038">
      <c r="A1038" s="189"/>
      <c r="B1038" s="22"/>
      <c r="C1038" s="22"/>
      <c r="D1038" s="22"/>
      <c r="E1038" s="22"/>
      <c r="F1038" s="22"/>
      <c r="G1038" s="22"/>
      <c r="H1038" s="22"/>
      <c r="I1038" s="266"/>
      <c r="J1038" s="272"/>
      <c r="K1038" s="272"/>
      <c r="L1038" s="272"/>
      <c r="M1038" s="273"/>
      <c r="N1038" s="273"/>
      <c r="O1038" s="273"/>
      <c r="P1038" s="27"/>
      <c r="Q1038" s="27"/>
      <c r="R1038" s="27"/>
      <c r="S1038" s="22"/>
      <c r="T1038" s="22"/>
      <c r="U1038" s="28"/>
    </row>
    <row r="1039">
      <c r="A1039" s="189"/>
      <c r="B1039" s="22"/>
      <c r="C1039" s="22"/>
      <c r="D1039" s="22"/>
      <c r="E1039" s="22"/>
      <c r="F1039" s="22"/>
      <c r="G1039" s="22"/>
      <c r="H1039" s="22"/>
      <c r="I1039" s="266"/>
      <c r="J1039" s="272"/>
      <c r="K1039" s="272"/>
      <c r="L1039" s="272"/>
      <c r="M1039" s="273"/>
      <c r="N1039" s="273"/>
      <c r="O1039" s="273"/>
      <c r="P1039" s="27"/>
      <c r="Q1039" s="27"/>
      <c r="R1039" s="27"/>
      <c r="S1039" s="22"/>
      <c r="T1039" s="22"/>
      <c r="U1039" s="28"/>
    </row>
    <row r="1040">
      <c r="A1040" s="189"/>
      <c r="B1040" s="22"/>
      <c r="C1040" s="22"/>
      <c r="D1040" s="22"/>
      <c r="E1040" s="22"/>
      <c r="F1040" s="22"/>
      <c r="G1040" s="22"/>
      <c r="H1040" s="22"/>
      <c r="I1040" s="266"/>
      <c r="J1040" s="272"/>
      <c r="K1040" s="272"/>
      <c r="L1040" s="272"/>
      <c r="M1040" s="273"/>
      <c r="N1040" s="273"/>
      <c r="O1040" s="273"/>
      <c r="P1040" s="27"/>
      <c r="Q1040" s="27"/>
      <c r="R1040" s="27"/>
      <c r="S1040" s="22"/>
      <c r="T1040" s="22"/>
      <c r="U1040" s="28"/>
    </row>
    <row r="1041">
      <c r="A1041" s="189"/>
      <c r="B1041" s="22"/>
      <c r="C1041" s="22"/>
      <c r="D1041" s="22"/>
      <c r="E1041" s="22"/>
      <c r="F1041" s="22"/>
      <c r="G1041" s="22"/>
      <c r="H1041" s="22"/>
      <c r="I1041" s="266"/>
      <c r="J1041" s="272"/>
      <c r="K1041" s="272"/>
      <c r="L1041" s="272"/>
      <c r="M1041" s="273"/>
      <c r="N1041" s="273"/>
      <c r="O1041" s="273"/>
      <c r="P1041" s="27"/>
      <c r="Q1041" s="27"/>
      <c r="R1041" s="27"/>
      <c r="S1041" s="22"/>
      <c r="T1041" s="22"/>
      <c r="U1041" s="28"/>
    </row>
    <row r="1042">
      <c r="A1042" s="189"/>
      <c r="B1042" s="22"/>
      <c r="C1042" s="22"/>
      <c r="D1042" s="22"/>
      <c r="E1042" s="22"/>
      <c r="F1042" s="22"/>
      <c r="G1042" s="22"/>
      <c r="H1042" s="22"/>
      <c r="I1042" s="266"/>
      <c r="J1042" s="272"/>
      <c r="K1042" s="272"/>
      <c r="L1042" s="272"/>
      <c r="M1042" s="273"/>
      <c r="N1042" s="273"/>
      <c r="O1042" s="273"/>
      <c r="P1042" s="27"/>
      <c r="Q1042" s="27"/>
      <c r="R1042" s="27"/>
      <c r="S1042" s="22"/>
      <c r="T1042" s="22"/>
      <c r="U1042" s="28"/>
    </row>
    <row r="1043">
      <c r="A1043" s="189"/>
      <c r="B1043" s="22"/>
      <c r="C1043" s="22"/>
      <c r="D1043" s="22"/>
      <c r="E1043" s="22"/>
      <c r="F1043" s="22"/>
      <c r="G1043" s="22"/>
      <c r="H1043" s="22"/>
      <c r="I1043" s="266"/>
      <c r="J1043" s="272"/>
      <c r="K1043" s="272"/>
      <c r="L1043" s="272"/>
      <c r="M1043" s="273"/>
      <c r="N1043" s="273"/>
      <c r="O1043" s="273"/>
      <c r="P1043" s="27"/>
      <c r="Q1043" s="27"/>
      <c r="R1043" s="27"/>
      <c r="S1043" s="22"/>
      <c r="T1043" s="22"/>
      <c r="U1043" s="28"/>
    </row>
    <row r="1044">
      <c r="A1044" s="189"/>
      <c r="B1044" s="22"/>
      <c r="C1044" s="22"/>
      <c r="D1044" s="22"/>
      <c r="E1044" s="22"/>
      <c r="F1044" s="22"/>
      <c r="G1044" s="22"/>
      <c r="H1044" s="22"/>
      <c r="I1044" s="266"/>
      <c r="J1044" s="272"/>
      <c r="K1044" s="272"/>
      <c r="L1044" s="272"/>
      <c r="M1044" s="273"/>
      <c r="N1044" s="273"/>
      <c r="O1044" s="273"/>
      <c r="P1044" s="27"/>
      <c r="Q1044" s="27"/>
      <c r="R1044" s="27"/>
      <c r="S1044" s="22"/>
      <c r="T1044" s="22"/>
      <c r="U1044" s="28"/>
    </row>
    <row r="1045">
      <c r="A1045" s="189"/>
      <c r="B1045" s="22"/>
      <c r="C1045" s="22"/>
      <c r="D1045" s="22"/>
      <c r="E1045" s="22"/>
      <c r="F1045" s="22"/>
      <c r="G1045" s="22"/>
      <c r="H1045" s="22"/>
      <c r="I1045" s="266"/>
      <c r="J1045" s="272"/>
      <c r="K1045" s="272"/>
      <c r="L1045" s="272"/>
      <c r="M1045" s="273"/>
      <c r="N1045" s="273"/>
      <c r="O1045" s="273"/>
      <c r="P1045" s="27"/>
      <c r="Q1045" s="27"/>
      <c r="R1045" s="27"/>
      <c r="S1045" s="22"/>
      <c r="T1045" s="22"/>
      <c r="U1045" s="28"/>
    </row>
    <row r="1046">
      <c r="A1046" s="189"/>
      <c r="B1046" s="22"/>
      <c r="C1046" s="22"/>
      <c r="D1046" s="22"/>
      <c r="E1046" s="22"/>
      <c r="F1046" s="22"/>
      <c r="G1046" s="22"/>
      <c r="H1046" s="22"/>
      <c r="I1046" s="266"/>
      <c r="J1046" s="272"/>
      <c r="K1046" s="272"/>
      <c r="L1046" s="272"/>
      <c r="M1046" s="273"/>
      <c r="N1046" s="273"/>
      <c r="O1046" s="273"/>
      <c r="P1046" s="27"/>
      <c r="Q1046" s="27"/>
      <c r="R1046" s="27"/>
      <c r="S1046" s="22"/>
      <c r="T1046" s="22"/>
      <c r="U1046" s="28"/>
    </row>
    <row r="1047">
      <c r="A1047" s="189"/>
      <c r="B1047" s="22"/>
      <c r="C1047" s="22"/>
      <c r="D1047" s="22"/>
      <c r="E1047" s="22"/>
      <c r="F1047" s="22"/>
      <c r="G1047" s="22"/>
      <c r="H1047" s="22"/>
      <c r="I1047" s="266"/>
      <c r="J1047" s="272"/>
      <c r="K1047" s="272"/>
      <c r="L1047" s="272"/>
      <c r="M1047" s="273"/>
      <c r="N1047" s="273"/>
      <c r="O1047" s="273"/>
      <c r="P1047" s="27"/>
      <c r="Q1047" s="27"/>
      <c r="R1047" s="27"/>
      <c r="S1047" s="22"/>
      <c r="T1047" s="22"/>
      <c r="U1047" s="28"/>
    </row>
    <row r="1048">
      <c r="A1048" s="189"/>
      <c r="B1048" s="22"/>
      <c r="C1048" s="22"/>
      <c r="D1048" s="22"/>
      <c r="E1048" s="22"/>
      <c r="F1048" s="22"/>
      <c r="G1048" s="22"/>
      <c r="H1048" s="22"/>
      <c r="I1048" s="266"/>
      <c r="J1048" s="272"/>
      <c r="K1048" s="272"/>
      <c r="L1048" s="272"/>
      <c r="M1048" s="273"/>
      <c r="N1048" s="273"/>
      <c r="O1048" s="273"/>
      <c r="P1048" s="27"/>
      <c r="Q1048" s="27"/>
      <c r="R1048" s="27"/>
      <c r="S1048" s="22"/>
      <c r="T1048" s="22"/>
      <c r="U1048" s="28"/>
    </row>
    <row r="1049">
      <c r="A1049" s="189"/>
      <c r="B1049" s="22"/>
      <c r="C1049" s="22"/>
      <c r="D1049" s="22"/>
      <c r="E1049" s="22"/>
      <c r="F1049" s="22"/>
      <c r="G1049" s="22"/>
      <c r="H1049" s="22"/>
      <c r="I1049" s="266"/>
      <c r="J1049" s="272"/>
      <c r="K1049" s="272"/>
      <c r="L1049" s="272"/>
      <c r="M1049" s="273"/>
      <c r="N1049" s="273"/>
      <c r="O1049" s="273"/>
      <c r="P1049" s="27"/>
      <c r="Q1049" s="27"/>
      <c r="R1049" s="27"/>
      <c r="S1049" s="22"/>
      <c r="T1049" s="22"/>
      <c r="U1049" s="28"/>
    </row>
    <row r="1050">
      <c r="A1050" s="189"/>
      <c r="B1050" s="22"/>
      <c r="C1050" s="22"/>
      <c r="D1050" s="22"/>
      <c r="E1050" s="22"/>
      <c r="F1050" s="22"/>
      <c r="G1050" s="22"/>
      <c r="H1050" s="22"/>
      <c r="I1050" s="266"/>
      <c r="J1050" s="272"/>
      <c r="K1050" s="272"/>
      <c r="L1050" s="272"/>
      <c r="M1050" s="273"/>
      <c r="N1050" s="273"/>
      <c r="O1050" s="273"/>
      <c r="P1050" s="27"/>
      <c r="Q1050" s="27"/>
      <c r="R1050" s="27"/>
      <c r="S1050" s="22"/>
      <c r="T1050" s="22"/>
      <c r="U1050" s="28"/>
    </row>
    <row r="1051">
      <c r="A1051" s="189"/>
      <c r="B1051" s="22"/>
      <c r="C1051" s="22"/>
      <c r="D1051" s="22"/>
      <c r="E1051" s="22"/>
      <c r="F1051" s="22"/>
      <c r="G1051" s="22"/>
      <c r="H1051" s="22"/>
      <c r="I1051" s="266"/>
      <c r="J1051" s="272"/>
      <c r="K1051" s="272"/>
      <c r="L1051" s="272"/>
      <c r="M1051" s="273"/>
      <c r="N1051" s="273"/>
      <c r="O1051" s="273"/>
      <c r="P1051" s="27"/>
      <c r="Q1051" s="27"/>
      <c r="R1051" s="27"/>
      <c r="S1051" s="22"/>
      <c r="T1051" s="22"/>
      <c r="U1051" s="28"/>
    </row>
    <row r="1052">
      <c r="A1052" s="189"/>
      <c r="B1052" s="22"/>
      <c r="C1052" s="22"/>
      <c r="D1052" s="22"/>
      <c r="E1052" s="22"/>
      <c r="F1052" s="22"/>
      <c r="G1052" s="22"/>
      <c r="H1052" s="22"/>
      <c r="I1052" s="266"/>
      <c r="J1052" s="272"/>
      <c r="K1052" s="272"/>
      <c r="L1052" s="272"/>
      <c r="M1052" s="273"/>
      <c r="N1052" s="273"/>
      <c r="O1052" s="273"/>
      <c r="P1052" s="27"/>
      <c r="Q1052" s="27"/>
      <c r="R1052" s="27"/>
      <c r="S1052" s="22"/>
      <c r="T1052" s="22"/>
      <c r="U1052" s="28"/>
    </row>
    <row r="1053">
      <c r="A1053" s="189"/>
      <c r="B1053" s="22"/>
      <c r="C1053" s="22"/>
      <c r="D1053" s="22"/>
      <c r="E1053" s="22"/>
      <c r="F1053" s="22"/>
      <c r="G1053" s="22"/>
      <c r="H1053" s="22"/>
      <c r="I1053" s="266"/>
      <c r="J1053" s="272"/>
      <c r="K1053" s="272"/>
      <c r="L1053" s="272"/>
      <c r="M1053" s="273"/>
      <c r="N1053" s="273"/>
      <c r="O1053" s="273"/>
      <c r="P1053" s="27"/>
      <c r="Q1053" s="27"/>
      <c r="R1053" s="27"/>
      <c r="S1053" s="22"/>
      <c r="T1053" s="22"/>
      <c r="U1053" s="28"/>
    </row>
    <row r="1054">
      <c r="A1054" s="189"/>
      <c r="B1054" s="22"/>
      <c r="C1054" s="22"/>
      <c r="D1054" s="22"/>
      <c r="E1054" s="22"/>
      <c r="F1054" s="22"/>
      <c r="G1054" s="22"/>
      <c r="H1054" s="22"/>
      <c r="I1054" s="266"/>
      <c r="J1054" s="272"/>
      <c r="K1054" s="272"/>
      <c r="L1054" s="272"/>
      <c r="M1054" s="273"/>
      <c r="N1054" s="273"/>
      <c r="O1054" s="273"/>
      <c r="P1054" s="27"/>
      <c r="Q1054" s="27"/>
      <c r="R1054" s="27"/>
      <c r="S1054" s="22"/>
      <c r="T1054" s="22"/>
      <c r="U1054" s="28"/>
    </row>
    <row r="1055">
      <c r="A1055" s="189"/>
      <c r="B1055" s="22"/>
      <c r="C1055" s="22"/>
      <c r="D1055" s="22"/>
      <c r="E1055" s="22"/>
      <c r="F1055" s="22"/>
      <c r="G1055" s="22"/>
      <c r="H1055" s="22"/>
      <c r="I1055" s="266"/>
      <c r="J1055" s="272"/>
      <c r="K1055" s="272"/>
      <c r="L1055" s="272"/>
      <c r="M1055" s="273"/>
      <c r="N1055" s="273"/>
      <c r="O1055" s="273"/>
      <c r="P1055" s="27"/>
      <c r="Q1055" s="27"/>
      <c r="R1055" s="27"/>
      <c r="S1055" s="22"/>
      <c r="T1055" s="22"/>
      <c r="U1055" s="28"/>
    </row>
    <row r="1056">
      <c r="A1056" s="189"/>
      <c r="B1056" s="22"/>
      <c r="C1056" s="22"/>
      <c r="D1056" s="22"/>
      <c r="E1056" s="22"/>
      <c r="F1056" s="22"/>
      <c r="G1056" s="22"/>
      <c r="H1056" s="22"/>
      <c r="I1056" s="266"/>
      <c r="J1056" s="272"/>
      <c r="K1056" s="272"/>
      <c r="L1056" s="272"/>
      <c r="M1056" s="273"/>
      <c r="N1056" s="273"/>
      <c r="O1056" s="273"/>
      <c r="P1056" s="27"/>
      <c r="Q1056" s="27"/>
      <c r="R1056" s="27"/>
      <c r="S1056" s="22"/>
      <c r="T1056" s="22"/>
      <c r="U1056" s="28"/>
    </row>
    <row r="1057">
      <c r="A1057" s="189"/>
      <c r="B1057" s="22"/>
      <c r="C1057" s="22"/>
      <c r="D1057" s="22"/>
      <c r="E1057" s="22"/>
      <c r="F1057" s="22"/>
      <c r="G1057" s="22"/>
      <c r="H1057" s="22"/>
      <c r="I1057" s="266"/>
      <c r="J1057" s="272"/>
      <c r="K1057" s="272"/>
      <c r="L1057" s="272"/>
      <c r="M1057" s="273"/>
      <c r="N1057" s="273"/>
      <c r="O1057" s="273"/>
      <c r="P1057" s="27"/>
      <c r="Q1057" s="27"/>
      <c r="R1057" s="27"/>
      <c r="S1057" s="22"/>
      <c r="T1057" s="22"/>
      <c r="U1057" s="28"/>
    </row>
    <row r="1058">
      <c r="A1058" s="189"/>
      <c r="B1058" s="22"/>
      <c r="C1058" s="22"/>
      <c r="D1058" s="22"/>
      <c r="E1058" s="22"/>
      <c r="F1058" s="22"/>
      <c r="G1058" s="22"/>
      <c r="H1058" s="22"/>
      <c r="I1058" s="266"/>
      <c r="J1058" s="272"/>
      <c r="K1058" s="272"/>
      <c r="L1058" s="272"/>
      <c r="M1058" s="273"/>
      <c r="N1058" s="273"/>
      <c r="O1058" s="273"/>
      <c r="P1058" s="27"/>
      <c r="Q1058" s="27"/>
      <c r="R1058" s="27"/>
      <c r="S1058" s="22"/>
      <c r="T1058" s="22"/>
      <c r="U1058" s="28"/>
    </row>
    <row r="1059">
      <c r="A1059" s="189"/>
      <c r="B1059" s="22"/>
      <c r="C1059" s="22"/>
      <c r="D1059" s="22"/>
      <c r="E1059" s="22"/>
      <c r="F1059" s="22"/>
      <c r="G1059" s="22"/>
      <c r="H1059" s="22"/>
      <c r="I1059" s="266"/>
      <c r="J1059" s="272"/>
      <c r="K1059" s="272"/>
      <c r="L1059" s="272"/>
      <c r="M1059" s="273"/>
      <c r="N1059" s="273"/>
      <c r="O1059" s="273"/>
      <c r="P1059" s="27"/>
      <c r="Q1059" s="27"/>
      <c r="R1059" s="27"/>
      <c r="S1059" s="22"/>
      <c r="T1059" s="22"/>
      <c r="U1059" s="28"/>
    </row>
    <row r="1060">
      <c r="A1060" s="189"/>
      <c r="B1060" s="22"/>
      <c r="C1060" s="22"/>
      <c r="D1060" s="22"/>
      <c r="E1060" s="22"/>
      <c r="F1060" s="22"/>
      <c r="G1060" s="22"/>
      <c r="H1060" s="22"/>
      <c r="I1060" s="266"/>
      <c r="J1060" s="272"/>
      <c r="K1060" s="272"/>
      <c r="L1060" s="272"/>
      <c r="M1060" s="273"/>
      <c r="N1060" s="273"/>
      <c r="O1060" s="273"/>
      <c r="P1060" s="27"/>
      <c r="Q1060" s="27"/>
      <c r="R1060" s="27"/>
      <c r="S1060" s="22"/>
      <c r="T1060" s="22"/>
      <c r="U1060" s="28"/>
    </row>
    <row r="1061">
      <c r="A1061" s="189"/>
      <c r="B1061" s="22"/>
      <c r="C1061" s="22"/>
      <c r="D1061" s="22"/>
      <c r="E1061" s="22"/>
      <c r="F1061" s="22"/>
      <c r="G1061" s="22"/>
      <c r="H1061" s="22"/>
      <c r="I1061" s="266"/>
      <c r="J1061" s="272"/>
      <c r="K1061" s="272"/>
      <c r="L1061" s="272"/>
      <c r="M1061" s="273"/>
      <c r="N1061" s="273"/>
      <c r="O1061" s="273"/>
      <c r="P1061" s="27"/>
      <c r="Q1061" s="27"/>
      <c r="R1061" s="27"/>
      <c r="S1061" s="22"/>
      <c r="T1061" s="22"/>
      <c r="U1061" s="28"/>
    </row>
    <row r="1062">
      <c r="A1062" s="189"/>
      <c r="B1062" s="22"/>
      <c r="C1062" s="22"/>
      <c r="D1062" s="22"/>
      <c r="E1062" s="22"/>
      <c r="F1062" s="22"/>
      <c r="G1062" s="22"/>
      <c r="H1062" s="22"/>
      <c r="I1062" s="266"/>
      <c r="J1062" s="272"/>
      <c r="K1062" s="272"/>
      <c r="L1062" s="272"/>
      <c r="M1062" s="273"/>
      <c r="N1062" s="273"/>
      <c r="O1062" s="273"/>
      <c r="P1062" s="27"/>
      <c r="Q1062" s="27"/>
      <c r="R1062" s="27"/>
      <c r="S1062" s="22"/>
      <c r="T1062" s="22"/>
      <c r="U1062" s="28"/>
    </row>
    <row r="1063">
      <c r="A1063" s="189"/>
      <c r="B1063" s="22"/>
      <c r="C1063" s="22"/>
      <c r="D1063" s="22"/>
      <c r="E1063" s="22"/>
      <c r="F1063" s="22"/>
      <c r="G1063" s="22"/>
      <c r="H1063" s="22"/>
      <c r="I1063" s="266"/>
      <c r="J1063" s="272"/>
      <c r="K1063" s="272"/>
      <c r="L1063" s="272"/>
      <c r="M1063" s="273"/>
      <c r="N1063" s="273"/>
      <c r="O1063" s="273"/>
      <c r="P1063" s="27"/>
      <c r="Q1063" s="27"/>
      <c r="R1063" s="27"/>
      <c r="S1063" s="22"/>
      <c r="T1063" s="22"/>
      <c r="U1063" s="28"/>
    </row>
    <row r="1064">
      <c r="A1064" s="189"/>
      <c r="B1064" s="22"/>
      <c r="C1064" s="22"/>
      <c r="D1064" s="22"/>
      <c r="E1064" s="22"/>
      <c r="F1064" s="22"/>
      <c r="G1064" s="22"/>
      <c r="H1064" s="22"/>
      <c r="I1064" s="266"/>
      <c r="J1064" s="272"/>
      <c r="K1064" s="272"/>
      <c r="L1064" s="272"/>
      <c r="M1064" s="273"/>
      <c r="N1064" s="273"/>
      <c r="O1064" s="273"/>
      <c r="P1064" s="27"/>
      <c r="Q1064" s="27"/>
      <c r="R1064" s="27"/>
      <c r="S1064" s="22"/>
      <c r="T1064" s="22"/>
      <c r="U1064" s="28"/>
    </row>
    <row r="1065">
      <c r="A1065" s="189"/>
      <c r="B1065" s="22"/>
      <c r="C1065" s="22"/>
      <c r="D1065" s="22"/>
      <c r="E1065" s="22"/>
      <c r="F1065" s="22"/>
      <c r="G1065" s="22"/>
      <c r="H1065" s="22"/>
      <c r="I1065" s="266"/>
      <c r="J1065" s="272"/>
      <c r="K1065" s="272"/>
      <c r="L1065" s="272"/>
      <c r="M1065" s="273"/>
      <c r="N1065" s="273"/>
      <c r="O1065" s="273"/>
      <c r="P1065" s="27"/>
      <c r="Q1065" s="27"/>
      <c r="R1065" s="27"/>
      <c r="S1065" s="22"/>
      <c r="T1065" s="22"/>
      <c r="U1065" s="28"/>
    </row>
    <row r="1066">
      <c r="A1066" s="189"/>
      <c r="B1066" s="22"/>
      <c r="C1066" s="22"/>
      <c r="D1066" s="22"/>
      <c r="E1066" s="22"/>
      <c r="F1066" s="22"/>
      <c r="G1066" s="22"/>
      <c r="H1066" s="22"/>
      <c r="I1066" s="24"/>
      <c r="J1066" s="272"/>
      <c r="K1066" s="272"/>
      <c r="L1066" s="272"/>
      <c r="M1066" s="273"/>
      <c r="N1066" s="273"/>
      <c r="O1066" s="273"/>
      <c r="P1066" s="27"/>
      <c r="Q1066" s="27"/>
      <c r="R1066" s="27"/>
      <c r="S1066" s="22"/>
      <c r="T1066" s="22"/>
      <c r="U1066" s="28"/>
    </row>
    <row r="1067">
      <c r="A1067" s="189"/>
      <c r="B1067" s="22"/>
      <c r="C1067" s="22"/>
      <c r="D1067" s="22"/>
      <c r="E1067" s="22"/>
      <c r="F1067" s="22"/>
      <c r="G1067" s="22"/>
      <c r="H1067" s="22"/>
      <c r="I1067" s="24"/>
      <c r="J1067" s="272"/>
      <c r="K1067" s="272"/>
      <c r="L1067" s="272"/>
      <c r="M1067" s="273"/>
      <c r="N1067" s="273"/>
      <c r="O1067" s="273"/>
      <c r="P1067" s="27"/>
      <c r="Q1067" s="27"/>
      <c r="R1067" s="27"/>
      <c r="S1067" s="22"/>
      <c r="T1067" s="22"/>
      <c r="U1067" s="28"/>
    </row>
    <row r="1068">
      <c r="A1068" s="189"/>
      <c r="B1068" s="22"/>
      <c r="C1068" s="22"/>
      <c r="D1068" s="22"/>
      <c r="E1068" s="22"/>
      <c r="F1068" s="22"/>
      <c r="G1068" s="22"/>
      <c r="H1068" s="22"/>
      <c r="I1068" s="24"/>
      <c r="J1068" s="272"/>
      <c r="K1068" s="272"/>
      <c r="L1068" s="272"/>
      <c r="M1068" s="273"/>
      <c r="N1068" s="273"/>
      <c r="O1068" s="273"/>
      <c r="P1068" s="27"/>
      <c r="Q1068" s="27"/>
      <c r="R1068" s="27"/>
      <c r="S1068" s="22"/>
      <c r="T1068" s="22"/>
      <c r="U1068" s="28"/>
    </row>
    <row r="1069">
      <c r="A1069" s="189"/>
      <c r="B1069" s="22"/>
      <c r="C1069" s="22"/>
      <c r="D1069" s="22"/>
      <c r="E1069" s="22"/>
      <c r="F1069" s="22"/>
      <c r="G1069" s="22"/>
      <c r="H1069" s="22"/>
      <c r="I1069" s="24"/>
      <c r="J1069" s="272"/>
      <c r="K1069" s="272"/>
      <c r="L1069" s="272"/>
      <c r="M1069" s="273"/>
      <c r="N1069" s="273"/>
      <c r="O1069" s="273"/>
      <c r="P1069" s="27"/>
      <c r="Q1069" s="27"/>
      <c r="R1069" s="27"/>
      <c r="S1069" s="22"/>
      <c r="T1069" s="22"/>
      <c r="U1069" s="28"/>
    </row>
    <row r="1070">
      <c r="A1070" s="189"/>
      <c r="B1070" s="22"/>
      <c r="C1070" s="22"/>
      <c r="D1070" s="22"/>
      <c r="E1070" s="22"/>
      <c r="F1070" s="22"/>
      <c r="G1070" s="22"/>
      <c r="H1070" s="22"/>
      <c r="I1070" s="24"/>
      <c r="J1070" s="272"/>
      <c r="K1070" s="272"/>
      <c r="L1070" s="272"/>
      <c r="M1070" s="273"/>
      <c r="N1070" s="273"/>
      <c r="O1070" s="273"/>
      <c r="P1070" s="27"/>
      <c r="Q1070" s="27"/>
      <c r="R1070" s="27"/>
      <c r="S1070" s="22"/>
      <c r="T1070" s="22"/>
      <c r="U1070" s="28"/>
    </row>
    <row r="1071">
      <c r="A1071" s="189"/>
      <c r="B1071" s="22"/>
      <c r="C1071" s="22"/>
      <c r="D1071" s="22"/>
      <c r="E1071" s="22"/>
      <c r="F1071" s="22"/>
      <c r="G1071" s="22"/>
      <c r="H1071" s="22"/>
      <c r="I1071" s="24"/>
      <c r="J1071" s="24"/>
      <c r="K1071" s="24"/>
      <c r="L1071" s="24"/>
      <c r="M1071" s="26"/>
      <c r="N1071" s="26"/>
      <c r="O1071" s="26"/>
      <c r="P1071" s="27"/>
      <c r="Q1071" s="27"/>
      <c r="R1071" s="27"/>
      <c r="S1071" s="22"/>
      <c r="T1071" s="22"/>
      <c r="U1071" s="28"/>
    </row>
    <row r="1072">
      <c r="A1072" s="189"/>
      <c r="B1072" s="22"/>
      <c r="C1072" s="22"/>
      <c r="D1072" s="22"/>
      <c r="E1072" s="22"/>
      <c r="F1072" s="22"/>
      <c r="G1072" s="22"/>
      <c r="H1072" s="22"/>
      <c r="I1072" s="24"/>
      <c r="J1072" s="24"/>
      <c r="K1072" s="24"/>
      <c r="L1072" s="24"/>
      <c r="M1072" s="26"/>
      <c r="N1072" s="26"/>
      <c r="O1072" s="26"/>
      <c r="P1072" s="27"/>
      <c r="Q1072" s="27"/>
      <c r="R1072" s="27"/>
      <c r="S1072" s="22"/>
      <c r="T1072" s="22"/>
      <c r="U1072" s="28"/>
    </row>
    <row r="1073">
      <c r="A1073" s="189"/>
      <c r="B1073" s="22"/>
      <c r="C1073" s="22"/>
      <c r="D1073" s="22"/>
      <c r="E1073" s="22"/>
      <c r="F1073" s="22"/>
      <c r="G1073" s="22"/>
      <c r="H1073" s="22"/>
      <c r="I1073" s="24"/>
      <c r="J1073" s="24"/>
      <c r="K1073" s="24"/>
      <c r="L1073" s="24"/>
      <c r="M1073" s="26"/>
      <c r="N1073" s="26"/>
      <c r="O1073" s="26"/>
      <c r="P1073" s="27"/>
      <c r="Q1073" s="27"/>
      <c r="R1073" s="27"/>
      <c r="S1073" s="22"/>
      <c r="T1073" s="22"/>
      <c r="U1073" s="28"/>
    </row>
    <row r="1074">
      <c r="A1074" s="189"/>
      <c r="B1074" s="22"/>
      <c r="C1074" s="22"/>
      <c r="D1074" s="22"/>
      <c r="E1074" s="22"/>
      <c r="F1074" s="22"/>
      <c r="G1074" s="22"/>
      <c r="H1074" s="22"/>
      <c r="I1074" s="24"/>
      <c r="J1074" s="24"/>
      <c r="K1074" s="24"/>
      <c r="L1074" s="24"/>
      <c r="M1074" s="26"/>
      <c r="N1074" s="26"/>
      <c r="O1074" s="26"/>
      <c r="P1074" s="27"/>
      <c r="Q1074" s="27"/>
      <c r="R1074" s="27"/>
      <c r="S1074" s="22"/>
      <c r="T1074" s="22"/>
      <c r="U1074" s="28"/>
    </row>
    <row r="1075">
      <c r="A1075" s="189"/>
      <c r="B1075" s="22"/>
      <c r="C1075" s="22"/>
      <c r="D1075" s="22"/>
      <c r="E1075" s="22"/>
      <c r="F1075" s="22"/>
      <c r="G1075" s="22"/>
      <c r="H1075" s="22"/>
      <c r="I1075" s="24"/>
      <c r="J1075" s="24"/>
      <c r="K1075" s="24"/>
      <c r="L1075" s="24"/>
      <c r="M1075" s="26"/>
      <c r="N1075" s="26"/>
      <c r="O1075" s="26"/>
      <c r="P1075" s="27"/>
      <c r="Q1075" s="27"/>
      <c r="R1075" s="27"/>
      <c r="S1075" s="22"/>
      <c r="T1075" s="22"/>
      <c r="U1075" s="28"/>
    </row>
    <row r="1076">
      <c r="A1076" s="189"/>
      <c r="B1076" s="22"/>
      <c r="C1076" s="22"/>
      <c r="D1076" s="22"/>
      <c r="E1076" s="22"/>
      <c r="F1076" s="22"/>
      <c r="G1076" s="22"/>
      <c r="H1076" s="22"/>
      <c r="I1076" s="24"/>
      <c r="J1076" s="24"/>
      <c r="K1076" s="24"/>
      <c r="L1076" s="24"/>
      <c r="M1076" s="26"/>
      <c r="N1076" s="26"/>
      <c r="O1076" s="26"/>
      <c r="P1076" s="27"/>
      <c r="Q1076" s="27"/>
      <c r="R1076" s="27"/>
      <c r="S1076" s="22"/>
      <c r="T1076" s="22"/>
      <c r="U1076" s="28"/>
    </row>
    <row r="1077">
      <c r="A1077" s="189"/>
      <c r="B1077" s="22"/>
      <c r="C1077" s="22"/>
      <c r="D1077" s="22"/>
      <c r="E1077" s="22"/>
      <c r="F1077" s="22"/>
      <c r="G1077" s="22"/>
      <c r="H1077" s="22"/>
      <c r="I1077" s="24"/>
      <c r="J1077" s="24"/>
      <c r="K1077" s="24"/>
      <c r="L1077" s="24"/>
      <c r="M1077" s="26"/>
      <c r="N1077" s="26"/>
      <c r="O1077" s="26"/>
      <c r="P1077" s="27"/>
      <c r="Q1077" s="27"/>
      <c r="R1077" s="27"/>
      <c r="S1077" s="22"/>
      <c r="T1077" s="22"/>
      <c r="U1077" s="28"/>
    </row>
    <row r="1078">
      <c r="A1078" s="189"/>
      <c r="B1078" s="22"/>
      <c r="C1078" s="22"/>
      <c r="D1078" s="22"/>
      <c r="E1078" s="22"/>
      <c r="F1078" s="22"/>
      <c r="G1078" s="22"/>
      <c r="H1078" s="22"/>
      <c r="I1078" s="24"/>
      <c r="J1078" s="24"/>
      <c r="K1078" s="24"/>
      <c r="L1078" s="24"/>
      <c r="M1078" s="26"/>
      <c r="N1078" s="26"/>
      <c r="O1078" s="26"/>
      <c r="P1078" s="27"/>
      <c r="Q1078" s="27"/>
      <c r="R1078" s="27"/>
      <c r="S1078" s="22"/>
      <c r="T1078" s="22"/>
      <c r="U1078" s="28"/>
    </row>
    <row r="1079">
      <c r="A1079" s="189"/>
      <c r="B1079" s="22"/>
      <c r="C1079" s="22"/>
      <c r="D1079" s="22"/>
      <c r="E1079" s="22"/>
      <c r="F1079" s="22"/>
      <c r="G1079" s="22"/>
      <c r="H1079" s="22"/>
      <c r="I1079" s="24"/>
      <c r="J1079" s="24"/>
      <c r="K1079" s="24"/>
      <c r="L1079" s="24"/>
      <c r="M1079" s="26"/>
      <c r="N1079" s="26"/>
      <c r="O1079" s="26"/>
      <c r="P1079" s="27"/>
      <c r="Q1079" s="27"/>
      <c r="R1079" s="27"/>
      <c r="S1079" s="22"/>
      <c r="T1079" s="22"/>
      <c r="U1079" s="28"/>
    </row>
    <row r="1080">
      <c r="A1080" s="189"/>
      <c r="B1080" s="22"/>
      <c r="C1080" s="22"/>
      <c r="D1080" s="22"/>
      <c r="E1080" s="22"/>
      <c r="F1080" s="22"/>
      <c r="G1080" s="22"/>
      <c r="H1080" s="22"/>
      <c r="I1080" s="24"/>
      <c r="J1080" s="24"/>
      <c r="K1080" s="24"/>
      <c r="L1080" s="24"/>
      <c r="M1080" s="26"/>
      <c r="N1080" s="26"/>
      <c r="O1080" s="26"/>
      <c r="P1080" s="27"/>
      <c r="Q1080" s="27"/>
      <c r="R1080" s="27"/>
      <c r="S1080" s="22"/>
      <c r="T1080" s="22"/>
      <c r="U1080" s="28"/>
    </row>
    <row r="1081">
      <c r="A1081" s="189"/>
      <c r="B1081" s="22"/>
      <c r="C1081" s="22"/>
      <c r="D1081" s="22"/>
      <c r="E1081" s="22"/>
      <c r="F1081" s="22"/>
      <c r="G1081" s="22"/>
      <c r="H1081" s="22"/>
      <c r="I1081" s="24"/>
      <c r="J1081" s="24"/>
      <c r="K1081" s="24"/>
      <c r="L1081" s="24"/>
      <c r="M1081" s="26"/>
      <c r="N1081" s="26"/>
      <c r="O1081" s="26"/>
      <c r="P1081" s="27"/>
      <c r="Q1081" s="27"/>
      <c r="R1081" s="27"/>
      <c r="S1081" s="22"/>
      <c r="T1081" s="22"/>
      <c r="U1081" s="28"/>
    </row>
    <row r="1082">
      <c r="A1082" s="189"/>
      <c r="B1082" s="22"/>
      <c r="C1082" s="22"/>
      <c r="D1082" s="22"/>
      <c r="E1082" s="22"/>
      <c r="F1082" s="22"/>
      <c r="G1082" s="22"/>
      <c r="H1082" s="22"/>
      <c r="I1082" s="24"/>
      <c r="J1082" s="24"/>
      <c r="K1082" s="24"/>
      <c r="L1082" s="24"/>
      <c r="M1082" s="26"/>
      <c r="N1082" s="26"/>
      <c r="O1082" s="26"/>
      <c r="P1082" s="27"/>
      <c r="Q1082" s="27"/>
      <c r="R1082" s="27"/>
      <c r="S1082" s="22"/>
      <c r="T1082" s="22"/>
      <c r="U1082" s="28"/>
    </row>
    <row r="1083">
      <c r="A1083" s="189"/>
      <c r="B1083" s="22"/>
      <c r="C1083" s="22"/>
      <c r="D1083" s="22"/>
      <c r="E1083" s="22"/>
      <c r="F1083" s="22"/>
      <c r="G1083" s="22"/>
      <c r="H1083" s="22"/>
      <c r="I1083" s="24"/>
      <c r="J1083" s="24"/>
      <c r="K1083" s="24"/>
      <c r="L1083" s="24"/>
      <c r="M1083" s="26"/>
      <c r="N1083" s="26"/>
      <c r="O1083" s="26"/>
      <c r="P1083" s="27"/>
      <c r="Q1083" s="27"/>
      <c r="R1083" s="27"/>
      <c r="S1083" s="22"/>
      <c r="T1083" s="22"/>
      <c r="U1083" s="28"/>
    </row>
    <row r="1084">
      <c r="A1084" s="189"/>
      <c r="B1084" s="22"/>
      <c r="C1084" s="22"/>
      <c r="D1084" s="22"/>
      <c r="E1084" s="22"/>
      <c r="F1084" s="22"/>
      <c r="G1084" s="22"/>
      <c r="H1084" s="22"/>
      <c r="I1084" s="24"/>
      <c r="J1084" s="24"/>
      <c r="K1084" s="24"/>
      <c r="L1084" s="24"/>
      <c r="M1084" s="26"/>
      <c r="N1084" s="26"/>
      <c r="O1084" s="26"/>
      <c r="P1084" s="27"/>
      <c r="Q1084" s="27"/>
      <c r="R1084" s="27"/>
      <c r="S1084" s="22"/>
      <c r="T1084" s="22"/>
      <c r="U1084" s="28"/>
    </row>
    <row r="1085">
      <c r="A1085" s="189"/>
      <c r="B1085" s="22"/>
      <c r="C1085" s="22"/>
      <c r="D1085" s="22"/>
      <c r="E1085" s="22"/>
      <c r="F1085" s="22"/>
      <c r="G1085" s="22"/>
      <c r="H1085" s="22"/>
      <c r="I1085" s="24"/>
      <c r="J1085" s="24"/>
      <c r="K1085" s="24"/>
      <c r="L1085" s="24"/>
      <c r="M1085" s="26"/>
      <c r="N1085" s="26"/>
      <c r="O1085" s="26"/>
      <c r="P1085" s="27"/>
      <c r="Q1085" s="27"/>
      <c r="R1085" s="27"/>
      <c r="S1085" s="22"/>
      <c r="T1085" s="22"/>
      <c r="U1085" s="28"/>
    </row>
    <row r="1086">
      <c r="A1086" s="189"/>
      <c r="B1086" s="22"/>
      <c r="C1086" s="22"/>
      <c r="D1086" s="22"/>
      <c r="E1086" s="22"/>
      <c r="F1086" s="22"/>
      <c r="G1086" s="22"/>
      <c r="H1086" s="22"/>
      <c r="I1086" s="24"/>
      <c r="J1086" s="24"/>
      <c r="K1086" s="24"/>
      <c r="L1086" s="24"/>
      <c r="M1086" s="26"/>
      <c r="N1086" s="26"/>
      <c r="O1086" s="26"/>
      <c r="P1086" s="27"/>
      <c r="Q1086" s="27"/>
      <c r="R1086" s="27"/>
      <c r="S1086" s="22"/>
      <c r="T1086" s="22"/>
      <c r="U1086" s="28"/>
    </row>
    <row r="1087">
      <c r="A1087" s="189"/>
      <c r="B1087" s="22"/>
      <c r="C1087" s="22"/>
      <c r="D1087" s="22"/>
      <c r="E1087" s="22"/>
      <c r="F1087" s="22"/>
      <c r="G1087" s="22"/>
      <c r="H1087" s="22"/>
      <c r="I1087" s="24"/>
      <c r="J1087" s="24"/>
      <c r="K1087" s="24"/>
      <c r="L1087" s="24"/>
      <c r="M1087" s="26"/>
      <c r="N1087" s="26"/>
      <c r="O1087" s="26"/>
      <c r="P1087" s="27"/>
      <c r="Q1087" s="27"/>
      <c r="R1087" s="27"/>
      <c r="S1087" s="22"/>
      <c r="T1087" s="22"/>
      <c r="U1087" s="28"/>
    </row>
    <row r="1088">
      <c r="A1088" s="189"/>
      <c r="B1088" s="22"/>
      <c r="C1088" s="22"/>
      <c r="D1088" s="22"/>
      <c r="E1088" s="22"/>
      <c r="F1088" s="22"/>
      <c r="G1088" s="22"/>
      <c r="H1088" s="22"/>
      <c r="I1088" s="24"/>
      <c r="J1088" s="24"/>
      <c r="K1088" s="24"/>
      <c r="L1088" s="24"/>
      <c r="M1088" s="26"/>
      <c r="N1088" s="26"/>
      <c r="O1088" s="26"/>
      <c r="P1088" s="27"/>
      <c r="Q1088" s="27"/>
      <c r="R1088" s="27"/>
      <c r="S1088" s="22"/>
      <c r="T1088" s="22"/>
      <c r="U1088" s="28"/>
    </row>
    <row r="1089">
      <c r="A1089" s="189"/>
      <c r="B1089" s="22"/>
      <c r="C1089" s="22"/>
      <c r="D1089" s="22"/>
      <c r="E1089" s="22"/>
      <c r="F1089" s="22"/>
      <c r="G1089" s="22"/>
      <c r="H1089" s="22"/>
      <c r="I1089" s="24"/>
      <c r="J1089" s="24"/>
      <c r="K1089" s="24"/>
      <c r="L1089" s="24"/>
      <c r="M1089" s="26"/>
      <c r="N1089" s="26"/>
      <c r="O1089" s="26"/>
      <c r="P1089" s="27"/>
      <c r="Q1089" s="27"/>
      <c r="R1089" s="27"/>
      <c r="S1089" s="22"/>
      <c r="T1089" s="22"/>
      <c r="U1089" s="28"/>
    </row>
    <row r="1090">
      <c r="A1090" s="189"/>
      <c r="B1090" s="22"/>
      <c r="C1090" s="22"/>
      <c r="D1090" s="22"/>
      <c r="E1090" s="22"/>
      <c r="F1090" s="22"/>
      <c r="G1090" s="22"/>
      <c r="H1090" s="22"/>
      <c r="I1090" s="24"/>
      <c r="J1090" s="24"/>
      <c r="K1090" s="24"/>
      <c r="L1090" s="24"/>
      <c r="M1090" s="26"/>
      <c r="N1090" s="26"/>
      <c r="O1090" s="26"/>
      <c r="P1090" s="27"/>
      <c r="Q1090" s="27"/>
      <c r="R1090" s="27"/>
      <c r="S1090" s="22"/>
      <c r="T1090" s="22"/>
      <c r="U1090" s="28"/>
    </row>
    <row r="1091">
      <c r="A1091" s="189"/>
      <c r="B1091" s="22"/>
      <c r="C1091" s="22"/>
      <c r="D1091" s="22"/>
      <c r="E1091" s="22"/>
      <c r="F1091" s="22"/>
      <c r="G1091" s="22"/>
      <c r="H1091" s="22"/>
      <c r="I1091" s="24"/>
      <c r="J1091" s="24"/>
      <c r="K1091" s="24"/>
      <c r="L1091" s="24"/>
      <c r="M1091" s="26"/>
      <c r="N1091" s="26"/>
      <c r="O1091" s="26"/>
      <c r="P1091" s="27"/>
      <c r="Q1091" s="27"/>
      <c r="R1091" s="27"/>
      <c r="S1091" s="22"/>
      <c r="T1091" s="22"/>
      <c r="U1091" s="28"/>
    </row>
    <row r="1092">
      <c r="A1092" s="189"/>
      <c r="B1092" s="22"/>
      <c r="C1092" s="22"/>
      <c r="D1092" s="22"/>
      <c r="E1092" s="22"/>
      <c r="F1092" s="22"/>
      <c r="G1092" s="22"/>
      <c r="H1092" s="22"/>
      <c r="I1092" s="24"/>
      <c r="J1092" s="24"/>
      <c r="K1092" s="24"/>
      <c r="L1092" s="24"/>
      <c r="M1092" s="26"/>
      <c r="N1092" s="26"/>
      <c r="O1092" s="26"/>
      <c r="P1092" s="27"/>
      <c r="Q1092" s="27"/>
      <c r="R1092" s="27"/>
      <c r="S1092" s="22"/>
      <c r="T1092" s="22"/>
      <c r="U1092" s="28"/>
    </row>
    <row r="1093">
      <c r="A1093" s="189"/>
      <c r="B1093" s="22"/>
      <c r="C1093" s="22"/>
      <c r="D1093" s="22"/>
      <c r="E1093" s="22"/>
      <c r="F1093" s="22"/>
      <c r="G1093" s="22"/>
      <c r="H1093" s="22"/>
      <c r="I1093" s="24"/>
      <c r="J1093" s="24"/>
      <c r="K1093" s="24"/>
      <c r="L1093" s="24"/>
      <c r="M1093" s="26"/>
      <c r="N1093" s="26"/>
      <c r="O1093" s="26"/>
      <c r="P1093" s="27"/>
      <c r="Q1093" s="27"/>
      <c r="R1093" s="27"/>
      <c r="S1093" s="22"/>
      <c r="T1093" s="22"/>
      <c r="U1093" s="28"/>
    </row>
    <row r="1094">
      <c r="A1094" s="189"/>
      <c r="B1094" s="22"/>
      <c r="C1094" s="22"/>
      <c r="D1094" s="22"/>
      <c r="E1094" s="22"/>
      <c r="F1094" s="22"/>
      <c r="G1094" s="22"/>
      <c r="H1094" s="22"/>
      <c r="I1094" s="24"/>
      <c r="J1094" s="24"/>
      <c r="K1094" s="24"/>
      <c r="L1094" s="24"/>
      <c r="M1094" s="26"/>
      <c r="N1094" s="26"/>
      <c r="O1094" s="26"/>
      <c r="P1094" s="27"/>
      <c r="Q1094" s="27"/>
      <c r="R1094" s="27"/>
      <c r="S1094" s="22"/>
      <c r="T1094" s="22"/>
      <c r="U1094" s="28"/>
    </row>
    <row r="1095">
      <c r="A1095" s="189"/>
      <c r="B1095" s="22"/>
      <c r="C1095" s="22"/>
      <c r="D1095" s="22"/>
      <c r="E1095" s="22"/>
      <c r="F1095" s="22"/>
      <c r="G1095" s="22"/>
      <c r="H1095" s="22"/>
      <c r="I1095" s="24"/>
      <c r="J1095" s="24"/>
      <c r="K1095" s="24"/>
      <c r="L1095" s="24"/>
      <c r="M1095" s="26"/>
      <c r="N1095" s="26"/>
      <c r="O1095" s="26"/>
      <c r="P1095" s="27"/>
      <c r="Q1095" s="27"/>
      <c r="R1095" s="27"/>
      <c r="S1095" s="22"/>
      <c r="T1095" s="22"/>
      <c r="U1095" s="28"/>
    </row>
    <row r="1096">
      <c r="A1096" s="189"/>
      <c r="B1096" s="22"/>
      <c r="C1096" s="22"/>
      <c r="D1096" s="22"/>
      <c r="E1096" s="22"/>
      <c r="F1096" s="22"/>
      <c r="G1096" s="22"/>
      <c r="H1096" s="22"/>
      <c r="I1096" s="24"/>
      <c r="J1096" s="24"/>
      <c r="K1096" s="24"/>
      <c r="L1096" s="24"/>
      <c r="M1096" s="26"/>
      <c r="N1096" s="26"/>
      <c r="O1096" s="26"/>
      <c r="P1096" s="27"/>
      <c r="Q1096" s="27"/>
      <c r="R1096" s="27"/>
      <c r="S1096" s="22"/>
      <c r="T1096" s="22"/>
      <c r="U1096" s="28"/>
    </row>
    <row r="1097">
      <c r="A1097" s="189"/>
      <c r="B1097" s="22"/>
      <c r="C1097" s="22"/>
      <c r="D1097" s="22"/>
      <c r="E1097" s="22"/>
      <c r="F1097" s="22"/>
      <c r="G1097" s="22"/>
      <c r="H1097" s="22"/>
      <c r="I1097" s="24"/>
      <c r="J1097" s="24"/>
      <c r="K1097" s="24"/>
      <c r="L1097" s="24"/>
      <c r="M1097" s="26"/>
      <c r="N1097" s="26"/>
      <c r="O1097" s="26"/>
      <c r="P1097" s="27"/>
      <c r="Q1097" s="27"/>
      <c r="R1097" s="27"/>
      <c r="S1097" s="22"/>
      <c r="T1097" s="22"/>
      <c r="U1097" s="28"/>
    </row>
    <row r="1098">
      <c r="A1098" s="189"/>
      <c r="B1098" s="22"/>
      <c r="C1098" s="22"/>
      <c r="D1098" s="22"/>
      <c r="E1098" s="22"/>
      <c r="F1098" s="22"/>
      <c r="G1098" s="22"/>
      <c r="H1098" s="22"/>
      <c r="I1098" s="24"/>
      <c r="J1098" s="24"/>
      <c r="K1098" s="24"/>
      <c r="L1098" s="24"/>
      <c r="M1098" s="26"/>
      <c r="N1098" s="26"/>
      <c r="O1098" s="26"/>
      <c r="P1098" s="27"/>
      <c r="Q1098" s="27"/>
      <c r="R1098" s="27"/>
      <c r="S1098" s="22"/>
      <c r="T1098" s="22"/>
      <c r="U1098" s="28"/>
    </row>
    <row r="1099">
      <c r="A1099" s="189"/>
      <c r="B1099" s="22"/>
      <c r="C1099" s="22"/>
      <c r="D1099" s="22"/>
      <c r="E1099" s="22"/>
      <c r="F1099" s="22"/>
      <c r="G1099" s="22"/>
      <c r="H1099" s="22"/>
      <c r="I1099" s="24"/>
      <c r="J1099" s="24"/>
      <c r="K1099" s="24"/>
      <c r="L1099" s="24"/>
      <c r="M1099" s="26"/>
      <c r="N1099" s="26"/>
      <c r="O1099" s="26"/>
      <c r="P1099" s="27"/>
      <c r="Q1099" s="27"/>
      <c r="R1099" s="27"/>
      <c r="S1099" s="22"/>
      <c r="T1099" s="22"/>
      <c r="U1099" s="28"/>
    </row>
    <row r="1100">
      <c r="A1100" s="189"/>
      <c r="B1100" s="22"/>
      <c r="C1100" s="22"/>
      <c r="D1100" s="22"/>
      <c r="E1100" s="22"/>
      <c r="F1100" s="22"/>
      <c r="G1100" s="22"/>
      <c r="H1100" s="22"/>
      <c r="I1100" s="24"/>
      <c r="J1100" s="24"/>
      <c r="K1100" s="24"/>
      <c r="L1100" s="24"/>
      <c r="M1100" s="26"/>
      <c r="N1100" s="26"/>
      <c r="O1100" s="26"/>
      <c r="P1100" s="27"/>
      <c r="Q1100" s="27"/>
      <c r="R1100" s="27"/>
      <c r="S1100" s="22"/>
      <c r="T1100" s="22"/>
      <c r="U1100" s="28"/>
    </row>
    <row r="1101">
      <c r="A1101" s="189"/>
      <c r="B1101" s="22"/>
      <c r="C1101" s="22"/>
      <c r="D1101" s="22"/>
      <c r="E1101" s="22"/>
      <c r="F1101" s="22"/>
      <c r="G1101" s="22"/>
      <c r="H1101" s="22"/>
      <c r="I1101" s="24"/>
      <c r="J1101" s="24"/>
      <c r="K1101" s="24"/>
      <c r="L1101" s="24"/>
      <c r="M1101" s="26"/>
      <c r="N1101" s="26"/>
      <c r="O1101" s="26"/>
      <c r="P1101" s="27"/>
      <c r="Q1101" s="27"/>
      <c r="R1101" s="27"/>
      <c r="S1101" s="22"/>
      <c r="T1101" s="22"/>
      <c r="U1101" s="28"/>
    </row>
    <row r="1102">
      <c r="A1102" s="189"/>
      <c r="B1102" s="22"/>
      <c r="C1102" s="22"/>
      <c r="D1102" s="22"/>
      <c r="E1102" s="22"/>
      <c r="F1102" s="22"/>
      <c r="G1102" s="22"/>
      <c r="H1102" s="22"/>
      <c r="I1102" s="24"/>
      <c r="J1102" s="24"/>
      <c r="K1102" s="24"/>
      <c r="L1102" s="24"/>
      <c r="M1102" s="26"/>
      <c r="N1102" s="26"/>
      <c r="O1102" s="26"/>
      <c r="P1102" s="27"/>
      <c r="Q1102" s="27"/>
      <c r="R1102" s="27"/>
      <c r="S1102" s="22"/>
      <c r="T1102" s="22"/>
      <c r="U1102" s="28"/>
    </row>
    <row r="1103">
      <c r="A1103" s="189"/>
      <c r="B1103" s="22"/>
      <c r="C1103" s="22"/>
      <c r="D1103" s="22"/>
      <c r="E1103" s="22"/>
      <c r="F1103" s="22"/>
      <c r="G1103" s="22"/>
      <c r="H1103" s="22"/>
      <c r="I1103" s="24"/>
      <c r="J1103" s="24"/>
      <c r="K1103" s="24"/>
      <c r="L1103" s="24"/>
      <c r="M1103" s="26"/>
      <c r="N1103" s="26"/>
      <c r="O1103" s="26"/>
      <c r="P1103" s="27"/>
      <c r="Q1103" s="27"/>
      <c r="R1103" s="27"/>
      <c r="S1103" s="22"/>
      <c r="T1103" s="22"/>
      <c r="U1103" s="28"/>
    </row>
    <row r="1104">
      <c r="A1104" s="189"/>
      <c r="B1104" s="22"/>
      <c r="C1104" s="22"/>
      <c r="D1104" s="22"/>
      <c r="E1104" s="22"/>
      <c r="F1104" s="22"/>
      <c r="G1104" s="22"/>
      <c r="H1104" s="22"/>
      <c r="I1104" s="24"/>
      <c r="J1104" s="24"/>
      <c r="K1104" s="24"/>
      <c r="L1104" s="24"/>
      <c r="M1104" s="26"/>
      <c r="N1104" s="26"/>
      <c r="O1104" s="26"/>
      <c r="P1104" s="27"/>
      <c r="Q1104" s="27"/>
      <c r="R1104" s="27"/>
      <c r="S1104" s="22"/>
      <c r="T1104" s="22"/>
      <c r="U1104" s="28"/>
    </row>
    <row r="1105">
      <c r="A1105" s="189"/>
      <c r="B1105" s="22"/>
      <c r="C1105" s="22"/>
      <c r="D1105" s="22"/>
      <c r="E1105" s="22"/>
      <c r="F1105" s="22"/>
      <c r="G1105" s="22"/>
      <c r="H1105" s="22"/>
      <c r="I1105" s="24"/>
      <c r="J1105" s="24"/>
      <c r="K1105" s="24"/>
      <c r="L1105" s="24"/>
      <c r="M1105" s="26"/>
      <c r="N1105" s="26"/>
      <c r="O1105" s="26"/>
      <c r="P1105" s="27"/>
      <c r="Q1105" s="27"/>
      <c r="R1105" s="27"/>
      <c r="S1105" s="22"/>
      <c r="T1105" s="22"/>
      <c r="U1105" s="28"/>
    </row>
    <row r="1106">
      <c r="A1106" s="189"/>
      <c r="B1106" s="22"/>
      <c r="C1106" s="22"/>
      <c r="D1106" s="22"/>
      <c r="E1106" s="22"/>
      <c r="F1106" s="22"/>
      <c r="G1106" s="22"/>
      <c r="H1106" s="22"/>
      <c r="I1106" s="24"/>
      <c r="J1106" s="24"/>
      <c r="K1106" s="24"/>
      <c r="L1106" s="24"/>
      <c r="M1106" s="26"/>
      <c r="N1106" s="26"/>
      <c r="O1106" s="26"/>
      <c r="P1106" s="27"/>
      <c r="Q1106" s="27"/>
      <c r="R1106" s="27"/>
      <c r="S1106" s="22"/>
      <c r="T1106" s="22"/>
      <c r="U1106" s="28"/>
    </row>
    <row r="1107">
      <c r="A1107" s="189"/>
      <c r="B1107" s="22"/>
      <c r="C1107" s="22"/>
      <c r="D1107" s="22"/>
      <c r="E1107" s="22"/>
      <c r="F1107" s="22"/>
      <c r="G1107" s="22"/>
      <c r="H1107" s="22"/>
      <c r="I1107" s="24"/>
      <c r="J1107" s="24"/>
      <c r="K1107" s="24"/>
      <c r="L1107" s="24"/>
      <c r="M1107" s="26"/>
      <c r="N1107" s="26"/>
      <c r="O1107" s="26"/>
      <c r="P1107" s="27"/>
      <c r="Q1107" s="27"/>
      <c r="R1107" s="27"/>
      <c r="S1107" s="22"/>
      <c r="T1107" s="22"/>
      <c r="U1107" s="28"/>
    </row>
    <row r="1108">
      <c r="A1108" s="189"/>
      <c r="B1108" s="22"/>
      <c r="C1108" s="22"/>
      <c r="D1108" s="22"/>
      <c r="E1108" s="22"/>
      <c r="F1108" s="22"/>
      <c r="G1108" s="22"/>
      <c r="H1108" s="22"/>
      <c r="I1108" s="24"/>
      <c r="J1108" s="24"/>
      <c r="K1108" s="24"/>
      <c r="L1108" s="24"/>
      <c r="M1108" s="26"/>
      <c r="N1108" s="26"/>
      <c r="O1108" s="26"/>
      <c r="P1108" s="27"/>
      <c r="Q1108" s="27"/>
      <c r="R1108" s="27"/>
      <c r="S1108" s="22"/>
      <c r="T1108" s="22"/>
      <c r="U1108" s="28"/>
    </row>
    <row r="1109">
      <c r="A1109" s="189"/>
      <c r="B1109" s="22"/>
      <c r="C1109" s="22"/>
      <c r="D1109" s="22"/>
      <c r="E1109" s="22"/>
      <c r="F1109" s="22"/>
      <c r="G1109" s="22"/>
      <c r="H1109" s="22"/>
      <c r="I1109" s="24"/>
      <c r="J1109" s="24"/>
      <c r="K1109" s="24"/>
      <c r="L1109" s="24"/>
      <c r="M1109" s="26"/>
      <c r="N1109" s="26"/>
      <c r="O1109" s="26"/>
      <c r="P1109" s="27"/>
      <c r="Q1109" s="27"/>
      <c r="R1109" s="27"/>
      <c r="S1109" s="22"/>
      <c r="T1109" s="22"/>
      <c r="U1109" s="28"/>
    </row>
    <row r="1110">
      <c r="A1110" s="189"/>
      <c r="B1110" s="22"/>
      <c r="C1110" s="22"/>
      <c r="D1110" s="22"/>
      <c r="E1110" s="22"/>
      <c r="F1110" s="22"/>
      <c r="G1110" s="22"/>
      <c r="H1110" s="22"/>
      <c r="I1110" s="24"/>
      <c r="J1110" s="24"/>
      <c r="K1110" s="24"/>
      <c r="L1110" s="24"/>
      <c r="M1110" s="26"/>
      <c r="N1110" s="26"/>
      <c r="O1110" s="26"/>
      <c r="P1110" s="27"/>
      <c r="Q1110" s="27"/>
      <c r="R1110" s="27"/>
      <c r="S1110" s="22"/>
      <c r="T1110" s="22"/>
      <c r="U1110" s="28"/>
    </row>
    <row r="1111">
      <c r="A1111" s="189"/>
      <c r="B1111" s="22"/>
      <c r="C1111" s="22"/>
      <c r="D1111" s="22"/>
      <c r="E1111" s="22"/>
      <c r="F1111" s="22"/>
      <c r="G1111" s="22"/>
      <c r="H1111" s="22"/>
      <c r="I1111" s="24"/>
      <c r="J1111" s="24"/>
      <c r="K1111" s="24"/>
      <c r="L1111" s="24"/>
      <c r="M1111" s="26"/>
      <c r="N1111" s="26"/>
      <c r="O1111" s="26"/>
      <c r="P1111" s="27"/>
      <c r="Q1111" s="27"/>
      <c r="R1111" s="27"/>
      <c r="S1111" s="22"/>
      <c r="T1111" s="22"/>
      <c r="U1111" s="28"/>
    </row>
    <row r="1112">
      <c r="A1112" s="189"/>
      <c r="B1112" s="22"/>
      <c r="C1112" s="22"/>
      <c r="D1112" s="22"/>
      <c r="E1112" s="22"/>
      <c r="F1112" s="22"/>
      <c r="G1112" s="22"/>
      <c r="H1112" s="22"/>
      <c r="I1112" s="24"/>
      <c r="J1112" s="24"/>
      <c r="K1112" s="24"/>
      <c r="L1112" s="24"/>
      <c r="M1112" s="26"/>
      <c r="N1112" s="26"/>
      <c r="O1112" s="26"/>
      <c r="P1112" s="27"/>
      <c r="Q1112" s="27"/>
      <c r="R1112" s="27"/>
      <c r="S1112" s="22"/>
      <c r="T1112" s="22"/>
      <c r="U1112" s="28"/>
    </row>
    <row r="1113">
      <c r="A1113" s="189"/>
      <c r="B1113" s="22"/>
      <c r="C1113" s="22"/>
      <c r="D1113" s="22"/>
      <c r="E1113" s="22"/>
      <c r="F1113" s="22"/>
      <c r="G1113" s="22"/>
      <c r="H1113" s="22"/>
      <c r="I1113" s="24"/>
      <c r="J1113" s="24"/>
      <c r="K1113" s="24"/>
      <c r="L1113" s="24"/>
      <c r="M1113" s="26"/>
      <c r="N1113" s="26"/>
      <c r="O1113" s="26"/>
      <c r="P1113" s="27"/>
      <c r="Q1113" s="27"/>
      <c r="R1113" s="27"/>
      <c r="S1113" s="22"/>
      <c r="T1113" s="22"/>
      <c r="U1113" s="28"/>
    </row>
    <row r="1114">
      <c r="A1114" s="189"/>
      <c r="B1114" s="22"/>
      <c r="C1114" s="22"/>
      <c r="D1114" s="22"/>
      <c r="E1114" s="22"/>
      <c r="F1114" s="22"/>
      <c r="G1114" s="22"/>
      <c r="H1114" s="22"/>
      <c r="I1114" s="24"/>
      <c r="J1114" s="24"/>
      <c r="K1114" s="24"/>
      <c r="L1114" s="24"/>
      <c r="M1114" s="26"/>
      <c r="N1114" s="26"/>
      <c r="O1114" s="26"/>
      <c r="P1114" s="27"/>
      <c r="Q1114" s="27"/>
      <c r="R1114" s="27"/>
      <c r="S1114" s="22"/>
      <c r="T1114" s="22"/>
      <c r="U1114" s="28"/>
    </row>
    <row r="1115">
      <c r="A1115" s="189"/>
      <c r="B1115" s="22"/>
      <c r="C1115" s="22"/>
      <c r="D1115" s="22"/>
      <c r="E1115" s="22"/>
      <c r="F1115" s="22"/>
      <c r="G1115" s="22"/>
      <c r="H1115" s="22"/>
      <c r="I1115" s="24"/>
      <c r="J1115" s="24"/>
      <c r="K1115" s="24"/>
      <c r="L1115" s="24"/>
      <c r="M1115" s="26"/>
      <c r="N1115" s="26"/>
      <c r="O1115" s="26"/>
      <c r="P1115" s="27"/>
      <c r="Q1115" s="27"/>
      <c r="R1115" s="27"/>
      <c r="S1115" s="22"/>
      <c r="T1115" s="22"/>
      <c r="U1115" s="28"/>
    </row>
    <row r="1116">
      <c r="A1116" s="189"/>
      <c r="B1116" s="22"/>
      <c r="C1116" s="22"/>
      <c r="D1116" s="22"/>
      <c r="E1116" s="22"/>
      <c r="F1116" s="22"/>
      <c r="G1116" s="22"/>
      <c r="H1116" s="22"/>
      <c r="I1116" s="24"/>
      <c r="J1116" s="24"/>
      <c r="K1116" s="24"/>
      <c r="L1116" s="24"/>
      <c r="M1116" s="26"/>
      <c r="N1116" s="26"/>
      <c r="O1116" s="26"/>
      <c r="P1116" s="27"/>
      <c r="Q1116" s="27"/>
      <c r="R1116" s="27"/>
      <c r="S1116" s="22"/>
      <c r="T1116" s="22"/>
      <c r="U1116" s="28"/>
    </row>
    <row r="1117">
      <c r="A1117" s="189"/>
      <c r="B1117" s="22"/>
      <c r="C1117" s="22"/>
      <c r="D1117" s="22"/>
      <c r="E1117" s="22"/>
      <c r="F1117" s="22"/>
      <c r="G1117" s="22"/>
      <c r="H1117" s="22"/>
      <c r="I1117" s="24"/>
      <c r="J1117" s="24"/>
      <c r="K1117" s="24"/>
      <c r="L1117" s="24"/>
      <c r="M1117" s="26"/>
      <c r="N1117" s="26"/>
      <c r="O1117" s="26"/>
      <c r="P1117" s="27"/>
      <c r="Q1117" s="27"/>
      <c r="R1117" s="27"/>
      <c r="S1117" s="22"/>
      <c r="T1117" s="22"/>
      <c r="U1117" s="28"/>
    </row>
    <row r="1118">
      <c r="A1118" s="189"/>
      <c r="B1118" s="22"/>
      <c r="C1118" s="22"/>
      <c r="D1118" s="22"/>
      <c r="E1118" s="22"/>
      <c r="F1118" s="22"/>
      <c r="G1118" s="22"/>
      <c r="H1118" s="22"/>
      <c r="I1118" s="24"/>
      <c r="J1118" s="24"/>
      <c r="K1118" s="24"/>
      <c r="L1118" s="24"/>
      <c r="M1118" s="26"/>
      <c r="N1118" s="26"/>
      <c r="O1118" s="26"/>
      <c r="P1118" s="27"/>
      <c r="Q1118" s="27"/>
      <c r="R1118" s="27"/>
      <c r="S1118" s="22"/>
      <c r="T1118" s="22"/>
      <c r="U1118" s="28"/>
    </row>
    <row r="1119">
      <c r="A1119" s="189"/>
      <c r="B1119" s="22"/>
      <c r="C1119" s="22"/>
      <c r="D1119" s="22"/>
      <c r="E1119" s="22"/>
      <c r="F1119" s="22"/>
      <c r="G1119" s="22"/>
      <c r="H1119" s="22"/>
      <c r="I1119" s="24"/>
      <c r="J1119" s="24"/>
      <c r="K1119" s="24"/>
      <c r="L1119" s="24"/>
      <c r="M1119" s="26"/>
      <c r="N1119" s="26"/>
      <c r="O1119" s="26"/>
      <c r="P1119" s="27"/>
      <c r="Q1119" s="27"/>
      <c r="R1119" s="27"/>
      <c r="S1119" s="22"/>
      <c r="T1119" s="22"/>
      <c r="U1119" s="28"/>
    </row>
    <row r="1120">
      <c r="A1120" s="189"/>
      <c r="B1120" s="22"/>
      <c r="C1120" s="22"/>
      <c r="D1120" s="22"/>
      <c r="E1120" s="22"/>
      <c r="F1120" s="22"/>
      <c r="G1120" s="22"/>
      <c r="H1120" s="22"/>
      <c r="I1120" s="24"/>
      <c r="J1120" s="24"/>
      <c r="K1120" s="24"/>
      <c r="L1120" s="24"/>
      <c r="M1120" s="26"/>
      <c r="N1120" s="26"/>
      <c r="O1120" s="26"/>
      <c r="P1120" s="27"/>
      <c r="Q1120" s="27"/>
      <c r="R1120" s="27"/>
      <c r="S1120" s="22"/>
      <c r="T1120" s="22"/>
      <c r="U1120" s="28"/>
    </row>
    <row r="1121">
      <c r="A1121" s="189"/>
      <c r="B1121" s="22"/>
      <c r="C1121" s="22"/>
      <c r="D1121" s="22"/>
      <c r="E1121" s="22"/>
      <c r="F1121" s="22"/>
      <c r="G1121" s="22"/>
      <c r="H1121" s="22"/>
      <c r="I1121" s="24"/>
      <c r="J1121" s="24"/>
      <c r="K1121" s="24"/>
      <c r="L1121" s="24"/>
      <c r="M1121" s="26"/>
      <c r="N1121" s="26"/>
      <c r="O1121" s="26"/>
      <c r="P1121" s="27"/>
      <c r="Q1121" s="27"/>
      <c r="R1121" s="27"/>
      <c r="S1121" s="22"/>
      <c r="T1121" s="22"/>
      <c r="U1121" s="28"/>
    </row>
    <row r="1122">
      <c r="A1122" s="189"/>
      <c r="B1122" s="22"/>
      <c r="C1122" s="22"/>
      <c r="D1122" s="22"/>
      <c r="E1122" s="22"/>
      <c r="F1122" s="22"/>
      <c r="G1122" s="22"/>
      <c r="H1122" s="22"/>
      <c r="I1122" s="24"/>
      <c r="J1122" s="24"/>
      <c r="K1122" s="24"/>
      <c r="L1122" s="24"/>
      <c r="M1122" s="26"/>
      <c r="N1122" s="26"/>
      <c r="O1122" s="26"/>
      <c r="P1122" s="27"/>
      <c r="Q1122" s="27"/>
      <c r="R1122" s="27"/>
      <c r="S1122" s="22"/>
      <c r="T1122" s="22"/>
      <c r="U1122" s="28"/>
    </row>
    <row r="1123">
      <c r="A1123" s="189"/>
      <c r="B1123" s="22"/>
      <c r="C1123" s="22"/>
      <c r="D1123" s="22"/>
      <c r="E1123" s="22"/>
      <c r="F1123" s="22"/>
      <c r="G1123" s="22"/>
      <c r="H1123" s="22"/>
      <c r="I1123" s="24"/>
      <c r="J1123" s="24"/>
      <c r="K1123" s="24"/>
      <c r="L1123" s="24"/>
      <c r="M1123" s="26"/>
      <c r="N1123" s="26"/>
      <c r="O1123" s="26"/>
      <c r="P1123" s="27"/>
      <c r="Q1123" s="27"/>
      <c r="R1123" s="27"/>
      <c r="S1123" s="22"/>
      <c r="T1123" s="22"/>
      <c r="U1123" s="28"/>
    </row>
    <row r="1124">
      <c r="A1124" s="189"/>
      <c r="B1124" s="22"/>
      <c r="C1124" s="22"/>
      <c r="D1124" s="22"/>
      <c r="E1124" s="22"/>
      <c r="F1124" s="22"/>
      <c r="G1124" s="22"/>
      <c r="H1124" s="22"/>
      <c r="I1124" s="24"/>
      <c r="J1124" s="24"/>
      <c r="K1124" s="24"/>
      <c r="L1124" s="24"/>
      <c r="M1124" s="26"/>
      <c r="N1124" s="26"/>
      <c r="O1124" s="26"/>
      <c r="P1124" s="27"/>
      <c r="Q1124" s="27"/>
      <c r="R1124" s="27"/>
      <c r="S1124" s="22"/>
      <c r="T1124" s="22"/>
      <c r="U1124" s="28"/>
    </row>
    <row r="1125">
      <c r="A1125" s="189"/>
      <c r="B1125" s="22"/>
      <c r="C1125" s="22"/>
      <c r="D1125" s="22"/>
      <c r="E1125" s="22"/>
      <c r="F1125" s="22"/>
      <c r="G1125" s="22"/>
      <c r="H1125" s="22"/>
      <c r="I1125" s="24"/>
      <c r="J1125" s="24"/>
      <c r="K1125" s="24"/>
      <c r="L1125" s="24"/>
      <c r="M1125" s="26"/>
      <c r="N1125" s="26"/>
      <c r="O1125" s="26"/>
      <c r="P1125" s="27"/>
      <c r="Q1125" s="27"/>
      <c r="R1125" s="27"/>
      <c r="S1125" s="22"/>
      <c r="T1125" s="22"/>
      <c r="U1125" s="28"/>
    </row>
    <row r="1126">
      <c r="A1126" s="189"/>
      <c r="B1126" s="22"/>
      <c r="C1126" s="22"/>
      <c r="D1126" s="22"/>
      <c r="E1126" s="22"/>
      <c r="F1126" s="22"/>
      <c r="G1126" s="22"/>
      <c r="H1126" s="22"/>
      <c r="I1126" s="24"/>
      <c r="J1126" s="24"/>
      <c r="K1126" s="24"/>
      <c r="L1126" s="24"/>
      <c r="M1126" s="26"/>
      <c r="N1126" s="26"/>
      <c r="O1126" s="26"/>
      <c r="P1126" s="27"/>
      <c r="Q1126" s="27"/>
      <c r="R1126" s="27"/>
      <c r="S1126" s="22"/>
      <c r="T1126" s="22"/>
      <c r="U1126" s="28"/>
    </row>
    <row r="1127">
      <c r="A1127" s="189"/>
      <c r="B1127" s="22"/>
      <c r="C1127" s="22"/>
      <c r="D1127" s="22"/>
      <c r="E1127" s="22"/>
      <c r="F1127" s="22"/>
      <c r="G1127" s="22"/>
      <c r="H1127" s="22"/>
      <c r="I1127" s="24"/>
      <c r="J1127" s="24"/>
      <c r="K1127" s="24"/>
      <c r="L1127" s="24"/>
      <c r="M1127" s="26"/>
      <c r="N1127" s="26"/>
      <c r="O1127" s="26"/>
      <c r="P1127" s="27"/>
      <c r="Q1127" s="27"/>
      <c r="R1127" s="27"/>
      <c r="S1127" s="22"/>
      <c r="T1127" s="22"/>
      <c r="U1127" s="28"/>
    </row>
    <row r="1128">
      <c r="A1128" s="189"/>
      <c r="B1128" s="22"/>
      <c r="C1128" s="22"/>
      <c r="D1128" s="22"/>
      <c r="E1128" s="22"/>
      <c r="F1128" s="22"/>
      <c r="G1128" s="22"/>
      <c r="H1128" s="22"/>
      <c r="I1128" s="24"/>
      <c r="J1128" s="24"/>
      <c r="K1128" s="24"/>
      <c r="L1128" s="24"/>
      <c r="M1128" s="26"/>
      <c r="N1128" s="26"/>
      <c r="O1128" s="26"/>
      <c r="P1128" s="27"/>
      <c r="Q1128" s="27"/>
      <c r="R1128" s="27"/>
      <c r="S1128" s="22"/>
      <c r="T1128" s="22"/>
      <c r="U1128" s="28"/>
    </row>
    <row r="1129">
      <c r="A1129" s="189"/>
      <c r="B1129" s="22"/>
      <c r="C1129" s="22"/>
      <c r="D1129" s="22"/>
      <c r="E1129" s="22"/>
      <c r="F1129" s="22"/>
      <c r="G1129" s="22"/>
      <c r="H1129" s="22"/>
      <c r="I1129" s="24"/>
      <c r="J1129" s="24"/>
      <c r="K1129" s="24"/>
      <c r="L1129" s="24"/>
      <c r="M1129" s="26"/>
      <c r="N1129" s="26"/>
      <c r="O1129" s="26"/>
      <c r="P1129" s="27"/>
      <c r="Q1129" s="27"/>
      <c r="R1129" s="27"/>
      <c r="S1129" s="22"/>
      <c r="T1129" s="22"/>
      <c r="U1129" s="28"/>
    </row>
    <row r="1130">
      <c r="A1130" s="189"/>
      <c r="B1130" s="22"/>
      <c r="C1130" s="22"/>
      <c r="D1130" s="22"/>
      <c r="E1130" s="22"/>
      <c r="F1130" s="22"/>
      <c r="G1130" s="22"/>
      <c r="H1130" s="22"/>
      <c r="I1130" s="24"/>
      <c r="J1130" s="24"/>
      <c r="K1130" s="24"/>
      <c r="L1130" s="24"/>
      <c r="M1130" s="26"/>
      <c r="N1130" s="26"/>
      <c r="O1130" s="26"/>
      <c r="P1130" s="27"/>
      <c r="Q1130" s="27"/>
      <c r="R1130" s="27"/>
      <c r="S1130" s="22"/>
      <c r="T1130" s="22"/>
      <c r="U1130" s="28"/>
    </row>
    <row r="1131">
      <c r="A1131" s="189"/>
      <c r="B1131" s="22"/>
      <c r="C1131" s="22"/>
      <c r="D1131" s="22"/>
      <c r="E1131" s="22"/>
      <c r="F1131" s="22"/>
      <c r="G1131" s="22"/>
      <c r="H1131" s="22"/>
      <c r="I1131" s="24"/>
      <c r="J1131" s="24"/>
      <c r="K1131" s="24"/>
      <c r="L1131" s="24"/>
      <c r="M1131" s="26"/>
      <c r="N1131" s="26"/>
      <c r="O1131" s="26"/>
      <c r="P1131" s="27"/>
      <c r="Q1131" s="27"/>
      <c r="R1131" s="27"/>
      <c r="S1131" s="22"/>
      <c r="T1131" s="22"/>
      <c r="U1131" s="28"/>
    </row>
    <row r="1132">
      <c r="A1132" s="189"/>
      <c r="B1132" s="22"/>
      <c r="C1132" s="22"/>
      <c r="D1132" s="22"/>
      <c r="E1132" s="22"/>
      <c r="F1132" s="22"/>
      <c r="G1132" s="22"/>
      <c r="H1132" s="22"/>
      <c r="I1132" s="24"/>
      <c r="J1132" s="24"/>
      <c r="K1132" s="24"/>
      <c r="L1132" s="24"/>
      <c r="M1132" s="26"/>
      <c r="N1132" s="26"/>
      <c r="O1132" s="26"/>
      <c r="P1132" s="27"/>
      <c r="Q1132" s="27"/>
      <c r="R1132" s="27"/>
      <c r="S1132" s="22"/>
      <c r="T1132" s="22"/>
      <c r="U1132" s="28"/>
    </row>
    <row r="1133">
      <c r="A1133" s="189"/>
      <c r="B1133" s="22"/>
      <c r="C1133" s="22"/>
      <c r="D1133" s="22"/>
      <c r="E1133" s="22"/>
      <c r="F1133" s="22"/>
      <c r="G1133" s="22"/>
      <c r="H1133" s="22"/>
      <c r="I1133" s="24"/>
      <c r="J1133" s="24"/>
      <c r="K1133" s="24"/>
      <c r="L1133" s="24"/>
      <c r="M1133" s="26"/>
      <c r="N1133" s="26"/>
      <c r="O1133" s="26"/>
      <c r="P1133" s="27"/>
      <c r="Q1133" s="27"/>
      <c r="R1133" s="27"/>
      <c r="S1133" s="22"/>
      <c r="T1133" s="22"/>
      <c r="U1133" s="28"/>
    </row>
    <row r="1134">
      <c r="A1134" s="189"/>
      <c r="B1134" s="22"/>
      <c r="C1134" s="22"/>
      <c r="D1134" s="22"/>
      <c r="E1134" s="22"/>
      <c r="F1134" s="22"/>
      <c r="G1134" s="22"/>
      <c r="H1134" s="22"/>
      <c r="I1134" s="24"/>
      <c r="J1134" s="24"/>
      <c r="K1134" s="24"/>
      <c r="L1134" s="24"/>
      <c r="M1134" s="26"/>
      <c r="N1134" s="26"/>
      <c r="O1134" s="26"/>
      <c r="P1134" s="27"/>
      <c r="Q1134" s="27"/>
      <c r="R1134" s="27"/>
      <c r="S1134" s="22"/>
      <c r="T1134" s="22"/>
      <c r="U1134" s="28"/>
    </row>
    <row r="1135">
      <c r="A1135" s="189"/>
      <c r="B1135" s="22"/>
      <c r="C1135" s="22"/>
      <c r="D1135" s="22"/>
      <c r="E1135" s="22"/>
      <c r="F1135" s="22"/>
      <c r="G1135" s="22"/>
      <c r="H1135" s="22"/>
      <c r="I1135" s="24"/>
      <c r="J1135" s="24"/>
      <c r="K1135" s="24"/>
      <c r="L1135" s="24"/>
      <c r="M1135" s="26"/>
      <c r="N1135" s="26"/>
      <c r="O1135" s="26"/>
      <c r="P1135" s="27"/>
      <c r="Q1135" s="27"/>
      <c r="R1135" s="27"/>
      <c r="S1135" s="22"/>
      <c r="T1135" s="22"/>
      <c r="U1135" s="28"/>
    </row>
    <row r="1136">
      <c r="A1136" s="189"/>
      <c r="B1136" s="22"/>
      <c r="C1136" s="22"/>
      <c r="D1136" s="22"/>
      <c r="E1136" s="22"/>
      <c r="F1136" s="22"/>
      <c r="G1136" s="22"/>
      <c r="H1136" s="22"/>
      <c r="I1136" s="24"/>
      <c r="J1136" s="24"/>
      <c r="K1136" s="24"/>
      <c r="L1136" s="24"/>
      <c r="M1136" s="26"/>
      <c r="N1136" s="26"/>
      <c r="O1136" s="26"/>
      <c r="P1136" s="27"/>
      <c r="Q1136" s="27"/>
      <c r="R1136" s="27"/>
      <c r="S1136" s="22"/>
      <c r="T1136" s="22"/>
      <c r="U1136" s="28"/>
    </row>
    <row r="1137">
      <c r="A1137" s="189"/>
      <c r="B1137" s="22"/>
      <c r="C1137" s="22"/>
      <c r="D1137" s="22"/>
      <c r="E1137" s="22"/>
      <c r="F1137" s="22"/>
      <c r="G1137" s="22"/>
      <c r="H1137" s="22"/>
      <c r="I1137" s="24"/>
      <c r="J1137" s="24"/>
      <c r="K1137" s="24"/>
      <c r="L1137" s="24"/>
      <c r="M1137" s="26"/>
      <c r="N1137" s="26"/>
      <c r="O1137" s="26"/>
      <c r="P1137" s="27"/>
      <c r="Q1137" s="27"/>
      <c r="R1137" s="27"/>
      <c r="S1137" s="22"/>
      <c r="T1137" s="22"/>
      <c r="U1137" s="28"/>
    </row>
    <row r="1138">
      <c r="A1138" s="189"/>
      <c r="B1138" s="22"/>
      <c r="C1138" s="22"/>
      <c r="D1138" s="22"/>
      <c r="E1138" s="22"/>
      <c r="F1138" s="22"/>
      <c r="G1138" s="22"/>
      <c r="H1138" s="22"/>
      <c r="I1138" s="24"/>
      <c r="J1138" s="24"/>
      <c r="K1138" s="24"/>
      <c r="L1138" s="24"/>
      <c r="M1138" s="26"/>
      <c r="N1138" s="26"/>
      <c r="O1138" s="26"/>
      <c r="P1138" s="27"/>
      <c r="Q1138" s="27"/>
      <c r="R1138" s="27"/>
      <c r="S1138" s="22"/>
      <c r="T1138" s="22"/>
      <c r="U1138" s="28"/>
    </row>
    <row r="1139">
      <c r="A1139" s="189"/>
      <c r="B1139" s="22"/>
      <c r="C1139" s="22"/>
      <c r="D1139" s="22"/>
      <c r="E1139" s="22"/>
      <c r="F1139" s="22"/>
      <c r="G1139" s="22"/>
      <c r="H1139" s="22"/>
      <c r="I1139" s="24"/>
      <c r="J1139" s="24"/>
      <c r="K1139" s="24"/>
      <c r="L1139" s="24"/>
      <c r="M1139" s="26"/>
      <c r="N1139" s="26"/>
      <c r="O1139" s="26"/>
      <c r="P1139" s="27"/>
      <c r="Q1139" s="27"/>
      <c r="R1139" s="27"/>
      <c r="S1139" s="22"/>
      <c r="T1139" s="22"/>
      <c r="U1139" s="28"/>
    </row>
    <row r="1140">
      <c r="A1140" s="189"/>
      <c r="B1140" s="22"/>
      <c r="C1140" s="22"/>
      <c r="D1140" s="22"/>
      <c r="E1140" s="22"/>
      <c r="F1140" s="22"/>
      <c r="G1140" s="22"/>
      <c r="H1140" s="22"/>
      <c r="I1140" s="24"/>
      <c r="J1140" s="24"/>
      <c r="K1140" s="24"/>
      <c r="L1140" s="24"/>
      <c r="M1140" s="26"/>
      <c r="N1140" s="26"/>
      <c r="O1140" s="26"/>
      <c r="P1140" s="27"/>
      <c r="Q1140" s="27"/>
      <c r="R1140" s="27"/>
      <c r="S1140" s="22"/>
      <c r="T1140" s="22"/>
      <c r="U1140" s="28"/>
    </row>
    <row r="1141">
      <c r="A1141" s="189"/>
      <c r="B1141" s="22"/>
      <c r="C1141" s="22"/>
      <c r="D1141" s="22"/>
      <c r="E1141" s="22"/>
      <c r="F1141" s="22"/>
      <c r="G1141" s="22"/>
      <c r="H1141" s="22"/>
      <c r="I1141" s="24"/>
      <c r="J1141" s="24"/>
      <c r="K1141" s="24"/>
      <c r="L1141" s="24"/>
      <c r="M1141" s="26"/>
      <c r="N1141" s="26"/>
      <c r="O1141" s="26"/>
      <c r="P1141" s="27"/>
      <c r="Q1141" s="27"/>
      <c r="R1141" s="27"/>
      <c r="S1141" s="22"/>
      <c r="T1141" s="22"/>
      <c r="U1141" s="28"/>
    </row>
    <row r="1142">
      <c r="A1142" s="189"/>
      <c r="B1142" s="22"/>
      <c r="C1142" s="22"/>
      <c r="D1142" s="22"/>
      <c r="E1142" s="22"/>
      <c r="F1142" s="22"/>
      <c r="G1142" s="22"/>
      <c r="H1142" s="22"/>
      <c r="I1142" s="24"/>
      <c r="J1142" s="24"/>
      <c r="K1142" s="24"/>
      <c r="L1142" s="24"/>
      <c r="M1142" s="26"/>
      <c r="N1142" s="26"/>
      <c r="O1142" s="26"/>
      <c r="P1142" s="27"/>
      <c r="Q1142" s="27"/>
      <c r="R1142" s="27"/>
      <c r="S1142" s="22"/>
      <c r="T1142" s="22"/>
      <c r="U1142" s="28"/>
    </row>
    <row r="1143">
      <c r="A1143" s="189"/>
      <c r="B1143" s="22"/>
      <c r="C1143" s="22"/>
      <c r="D1143" s="22"/>
      <c r="E1143" s="22"/>
      <c r="F1143" s="22"/>
      <c r="G1143" s="22"/>
      <c r="H1143" s="22"/>
      <c r="I1143" s="24"/>
      <c r="J1143" s="24"/>
      <c r="K1143" s="24"/>
      <c r="L1143" s="24"/>
      <c r="M1143" s="26"/>
      <c r="N1143" s="26"/>
      <c r="O1143" s="26"/>
      <c r="P1143" s="27"/>
      <c r="Q1143" s="27"/>
      <c r="R1143" s="27"/>
      <c r="S1143" s="22"/>
      <c r="T1143" s="22"/>
      <c r="U1143" s="28"/>
    </row>
    <row r="1144">
      <c r="A1144" s="189"/>
      <c r="B1144" s="22"/>
      <c r="C1144" s="22"/>
      <c r="D1144" s="22"/>
      <c r="E1144" s="22"/>
      <c r="F1144" s="22"/>
      <c r="G1144" s="22"/>
      <c r="H1144" s="22"/>
      <c r="I1144" s="24"/>
      <c r="J1144" s="24"/>
      <c r="K1144" s="24"/>
      <c r="L1144" s="24"/>
      <c r="M1144" s="26"/>
      <c r="N1144" s="26"/>
      <c r="O1144" s="26"/>
      <c r="P1144" s="27"/>
      <c r="Q1144" s="27"/>
      <c r="R1144" s="27"/>
      <c r="S1144" s="22"/>
      <c r="T1144" s="22"/>
      <c r="U1144" s="28"/>
    </row>
    <row r="1145">
      <c r="A1145" s="189"/>
      <c r="B1145" s="22"/>
      <c r="C1145" s="22"/>
      <c r="D1145" s="22"/>
      <c r="E1145" s="22"/>
      <c r="F1145" s="22"/>
      <c r="G1145" s="22"/>
      <c r="H1145" s="22"/>
      <c r="I1145" s="24"/>
      <c r="J1145" s="24"/>
      <c r="K1145" s="24"/>
      <c r="L1145" s="24"/>
      <c r="M1145" s="26"/>
      <c r="N1145" s="26"/>
      <c r="O1145" s="26"/>
      <c r="P1145" s="27"/>
      <c r="Q1145" s="27"/>
      <c r="R1145" s="27"/>
      <c r="S1145" s="22"/>
      <c r="T1145" s="22"/>
      <c r="U1145" s="28"/>
    </row>
    <row r="1146">
      <c r="A1146" s="189"/>
      <c r="B1146" s="22"/>
      <c r="C1146" s="22"/>
      <c r="D1146" s="22"/>
      <c r="E1146" s="22"/>
      <c r="F1146" s="22"/>
      <c r="G1146" s="22"/>
      <c r="H1146" s="22"/>
      <c r="I1146" s="24"/>
      <c r="J1146" s="24"/>
      <c r="K1146" s="24"/>
      <c r="L1146" s="24"/>
      <c r="M1146" s="26"/>
      <c r="N1146" s="26"/>
      <c r="O1146" s="26"/>
      <c r="P1146" s="27"/>
      <c r="Q1146" s="27"/>
      <c r="R1146" s="27"/>
      <c r="S1146" s="22"/>
      <c r="T1146" s="22"/>
      <c r="U1146" s="28"/>
    </row>
    <row r="1147">
      <c r="A1147" s="189"/>
      <c r="B1147" s="22"/>
      <c r="C1147" s="22"/>
      <c r="D1147" s="22"/>
      <c r="E1147" s="22"/>
      <c r="F1147" s="22"/>
      <c r="G1147" s="22"/>
      <c r="H1147" s="22"/>
      <c r="I1147" s="24"/>
      <c r="J1147" s="24"/>
      <c r="K1147" s="24"/>
      <c r="L1147" s="24"/>
      <c r="M1147" s="26"/>
      <c r="N1147" s="26"/>
      <c r="O1147" s="26"/>
      <c r="P1147" s="27"/>
      <c r="Q1147" s="27"/>
      <c r="R1147" s="27"/>
      <c r="S1147" s="22"/>
      <c r="T1147" s="22"/>
      <c r="U1147" s="28"/>
    </row>
    <row r="1148">
      <c r="A1148" s="189"/>
      <c r="B1148" s="22"/>
      <c r="C1148" s="22"/>
      <c r="D1148" s="22"/>
      <c r="E1148" s="22"/>
      <c r="F1148" s="22"/>
      <c r="G1148" s="22"/>
      <c r="H1148" s="22"/>
      <c r="I1148" s="24"/>
      <c r="J1148" s="24"/>
      <c r="K1148" s="24"/>
      <c r="L1148" s="24"/>
      <c r="M1148" s="26"/>
      <c r="N1148" s="26"/>
      <c r="O1148" s="26"/>
      <c r="P1148" s="27"/>
      <c r="Q1148" s="27"/>
      <c r="R1148" s="27"/>
      <c r="S1148" s="22"/>
      <c r="T1148" s="22"/>
      <c r="U1148" s="28"/>
    </row>
    <row r="1149">
      <c r="A1149" s="189"/>
      <c r="B1149" s="22"/>
      <c r="C1149" s="22"/>
      <c r="D1149" s="22"/>
      <c r="E1149" s="22"/>
      <c r="F1149" s="22"/>
      <c r="G1149" s="22"/>
      <c r="H1149" s="22"/>
      <c r="I1149" s="24"/>
      <c r="J1149" s="24"/>
      <c r="K1149" s="24"/>
      <c r="L1149" s="24"/>
      <c r="M1149" s="26"/>
      <c r="N1149" s="26"/>
      <c r="O1149" s="26"/>
      <c r="P1149" s="27"/>
      <c r="Q1149" s="27"/>
      <c r="R1149" s="27"/>
      <c r="S1149" s="22"/>
      <c r="T1149" s="22"/>
      <c r="U1149" s="28"/>
    </row>
    <row r="1150">
      <c r="A1150" s="189"/>
      <c r="B1150" s="22"/>
      <c r="C1150" s="22"/>
      <c r="D1150" s="22"/>
      <c r="E1150" s="22"/>
      <c r="F1150" s="22"/>
      <c r="G1150" s="22"/>
      <c r="H1150" s="22"/>
      <c r="I1150" s="24"/>
      <c r="J1150" s="24"/>
      <c r="K1150" s="24"/>
      <c r="L1150" s="24"/>
      <c r="M1150" s="26"/>
      <c r="N1150" s="26"/>
      <c r="O1150" s="26"/>
      <c r="P1150" s="27"/>
      <c r="Q1150" s="27"/>
      <c r="R1150" s="27"/>
      <c r="S1150" s="22"/>
      <c r="T1150" s="22"/>
      <c r="U1150" s="28"/>
    </row>
    <row r="1151">
      <c r="A1151" s="189"/>
      <c r="B1151" s="22"/>
      <c r="C1151" s="22"/>
      <c r="D1151" s="22"/>
      <c r="E1151" s="22"/>
      <c r="F1151" s="22"/>
      <c r="G1151" s="22"/>
      <c r="H1151" s="22"/>
      <c r="I1151" s="24"/>
      <c r="J1151" s="24"/>
      <c r="K1151" s="24"/>
      <c r="L1151" s="24"/>
      <c r="M1151" s="26"/>
      <c r="N1151" s="26"/>
      <c r="O1151" s="26"/>
      <c r="P1151" s="27"/>
      <c r="Q1151" s="27"/>
      <c r="R1151" s="27"/>
      <c r="S1151" s="22"/>
      <c r="T1151" s="22"/>
      <c r="U1151" s="28"/>
    </row>
    <row r="1152">
      <c r="A1152" s="189"/>
      <c r="B1152" s="22"/>
      <c r="C1152" s="22"/>
      <c r="D1152" s="22"/>
      <c r="E1152" s="22"/>
      <c r="F1152" s="22"/>
      <c r="G1152" s="22"/>
      <c r="H1152" s="22"/>
      <c r="I1152" s="24"/>
      <c r="J1152" s="24"/>
      <c r="K1152" s="24"/>
      <c r="L1152" s="24"/>
      <c r="M1152" s="26"/>
      <c r="N1152" s="26"/>
      <c r="O1152" s="26"/>
      <c r="P1152" s="27"/>
      <c r="Q1152" s="27"/>
      <c r="R1152" s="27"/>
      <c r="S1152" s="22"/>
      <c r="T1152" s="22"/>
      <c r="U1152" s="28"/>
    </row>
    <row r="1153">
      <c r="A1153" s="189"/>
      <c r="B1153" s="22"/>
      <c r="C1153" s="22"/>
      <c r="D1153" s="22"/>
      <c r="E1153" s="22"/>
      <c r="F1153" s="22"/>
      <c r="G1153" s="22"/>
      <c r="H1153" s="22"/>
      <c r="I1153" s="24"/>
      <c r="J1153" s="24"/>
      <c r="K1153" s="24"/>
      <c r="L1153" s="24"/>
      <c r="M1153" s="26"/>
      <c r="N1153" s="26"/>
      <c r="O1153" s="26"/>
      <c r="P1153" s="27"/>
      <c r="Q1153" s="27"/>
      <c r="R1153" s="27"/>
      <c r="S1153" s="22"/>
      <c r="T1153" s="22"/>
      <c r="U1153" s="28"/>
    </row>
    <row r="1154">
      <c r="A1154" s="189"/>
      <c r="B1154" s="22"/>
      <c r="C1154" s="22"/>
      <c r="D1154" s="22"/>
      <c r="E1154" s="22"/>
      <c r="F1154" s="22"/>
      <c r="G1154" s="22"/>
      <c r="H1154" s="22"/>
      <c r="I1154" s="24"/>
      <c r="J1154" s="24"/>
      <c r="K1154" s="24"/>
      <c r="L1154" s="24"/>
      <c r="M1154" s="26"/>
      <c r="N1154" s="26"/>
      <c r="O1154" s="26"/>
      <c r="P1154" s="27"/>
      <c r="Q1154" s="27"/>
      <c r="R1154" s="27"/>
      <c r="S1154" s="22"/>
      <c r="T1154" s="22"/>
      <c r="U1154" s="28"/>
    </row>
    <row r="1155">
      <c r="A1155" s="189"/>
      <c r="B1155" s="22"/>
      <c r="C1155" s="22"/>
      <c r="D1155" s="22"/>
      <c r="E1155" s="22"/>
      <c r="F1155" s="22"/>
      <c r="G1155" s="22"/>
      <c r="H1155" s="22"/>
      <c r="I1155" s="24"/>
      <c r="J1155" s="24"/>
      <c r="K1155" s="24"/>
      <c r="L1155" s="24"/>
      <c r="M1155" s="26"/>
      <c r="N1155" s="26"/>
      <c r="O1155" s="26"/>
      <c r="P1155" s="27"/>
      <c r="Q1155" s="27"/>
      <c r="R1155" s="27"/>
      <c r="S1155" s="22"/>
      <c r="T1155" s="22"/>
      <c r="U1155" s="28"/>
    </row>
    <row r="1156">
      <c r="A1156" s="189"/>
      <c r="B1156" s="22"/>
      <c r="C1156" s="22"/>
      <c r="D1156" s="22"/>
      <c r="E1156" s="22"/>
      <c r="F1156" s="22"/>
      <c r="G1156" s="22"/>
      <c r="H1156" s="22"/>
      <c r="I1156" s="24"/>
      <c r="J1156" s="24"/>
      <c r="K1156" s="24"/>
      <c r="L1156" s="24"/>
      <c r="M1156" s="26"/>
      <c r="N1156" s="26"/>
      <c r="O1156" s="26"/>
      <c r="P1156" s="27"/>
      <c r="Q1156" s="27"/>
      <c r="R1156" s="27"/>
      <c r="S1156" s="22"/>
      <c r="T1156" s="22"/>
      <c r="U1156" s="28"/>
    </row>
    <row r="1157">
      <c r="A1157" s="189"/>
      <c r="B1157" s="22"/>
      <c r="C1157" s="22"/>
      <c r="D1157" s="22"/>
      <c r="E1157" s="22"/>
      <c r="F1157" s="22"/>
      <c r="G1157" s="22"/>
      <c r="H1157" s="22"/>
      <c r="I1157" s="24"/>
      <c r="J1157" s="24"/>
      <c r="K1157" s="24"/>
      <c r="L1157" s="24"/>
      <c r="M1157" s="26"/>
      <c r="N1157" s="26"/>
      <c r="O1157" s="26"/>
      <c r="P1157" s="27"/>
      <c r="Q1157" s="27"/>
      <c r="R1157" s="27"/>
      <c r="S1157" s="22"/>
      <c r="T1157" s="22"/>
      <c r="U1157" s="28"/>
    </row>
    <row r="1158">
      <c r="A1158" s="189"/>
      <c r="B1158" s="22"/>
      <c r="C1158" s="22"/>
      <c r="D1158" s="22"/>
      <c r="E1158" s="22"/>
      <c r="F1158" s="22"/>
      <c r="G1158" s="22"/>
      <c r="H1158" s="22"/>
      <c r="I1158" s="24"/>
      <c r="J1158" s="24"/>
      <c r="K1158" s="24"/>
      <c r="L1158" s="24"/>
      <c r="M1158" s="26"/>
      <c r="N1158" s="26"/>
      <c r="O1158" s="26"/>
      <c r="P1158" s="27"/>
      <c r="Q1158" s="27"/>
      <c r="R1158" s="27"/>
      <c r="S1158" s="22"/>
      <c r="T1158" s="22"/>
      <c r="U1158" s="28"/>
    </row>
    <row r="1159">
      <c r="A1159" s="189"/>
      <c r="B1159" s="22"/>
      <c r="C1159" s="22"/>
      <c r="D1159" s="22"/>
      <c r="E1159" s="22"/>
      <c r="F1159" s="22"/>
      <c r="G1159" s="22"/>
      <c r="H1159" s="22"/>
      <c r="I1159" s="24"/>
      <c r="J1159" s="24"/>
      <c r="K1159" s="24"/>
      <c r="L1159" s="24"/>
      <c r="M1159" s="26"/>
      <c r="N1159" s="26"/>
      <c r="O1159" s="26"/>
      <c r="P1159" s="27"/>
      <c r="Q1159" s="27"/>
      <c r="R1159" s="27"/>
      <c r="S1159" s="22"/>
      <c r="T1159" s="22"/>
      <c r="U1159" s="28"/>
    </row>
    <row r="1160">
      <c r="A1160" s="189"/>
      <c r="B1160" s="22"/>
      <c r="C1160" s="22"/>
      <c r="D1160" s="22"/>
      <c r="E1160" s="22"/>
      <c r="F1160" s="22"/>
      <c r="G1160" s="22"/>
      <c r="H1160" s="22"/>
      <c r="I1160" s="24"/>
      <c r="J1160" s="24"/>
      <c r="K1160" s="24"/>
      <c r="L1160" s="24"/>
      <c r="M1160" s="26"/>
      <c r="N1160" s="26"/>
      <c r="O1160" s="26"/>
      <c r="P1160" s="27"/>
      <c r="Q1160" s="27"/>
      <c r="R1160" s="27"/>
      <c r="S1160" s="22"/>
      <c r="T1160" s="22"/>
      <c r="U1160" s="28"/>
    </row>
    <row r="1161">
      <c r="A1161" s="189"/>
      <c r="B1161" s="22"/>
      <c r="C1161" s="22"/>
      <c r="D1161" s="22"/>
      <c r="E1161" s="22"/>
      <c r="F1161" s="22"/>
      <c r="G1161" s="22"/>
      <c r="H1161" s="22"/>
      <c r="I1161" s="24"/>
      <c r="J1161" s="24"/>
      <c r="K1161" s="24"/>
      <c r="L1161" s="24"/>
      <c r="M1161" s="26"/>
      <c r="N1161" s="26"/>
      <c r="O1161" s="26"/>
      <c r="P1161" s="27"/>
      <c r="Q1161" s="27"/>
      <c r="R1161" s="27"/>
      <c r="S1161" s="22"/>
      <c r="T1161" s="22"/>
      <c r="U1161" s="28"/>
    </row>
    <row r="1162">
      <c r="A1162" s="189"/>
      <c r="B1162" s="22"/>
      <c r="C1162" s="22"/>
      <c r="D1162" s="22"/>
      <c r="E1162" s="22"/>
      <c r="F1162" s="22"/>
      <c r="G1162" s="22"/>
      <c r="H1162" s="22"/>
      <c r="I1162" s="24"/>
      <c r="J1162" s="24"/>
      <c r="K1162" s="24"/>
      <c r="L1162" s="24"/>
      <c r="M1162" s="26"/>
      <c r="N1162" s="26"/>
      <c r="O1162" s="26"/>
      <c r="P1162" s="27"/>
      <c r="Q1162" s="27"/>
      <c r="R1162" s="27"/>
      <c r="S1162" s="22"/>
      <c r="T1162" s="22"/>
      <c r="U1162" s="28"/>
    </row>
    <row r="1163">
      <c r="A1163" s="189"/>
      <c r="B1163" s="22"/>
      <c r="C1163" s="22"/>
      <c r="D1163" s="22"/>
      <c r="E1163" s="22"/>
      <c r="F1163" s="22"/>
      <c r="G1163" s="22"/>
      <c r="H1163" s="22"/>
      <c r="I1163" s="24"/>
      <c r="J1163" s="24"/>
      <c r="K1163" s="24"/>
      <c r="L1163" s="24"/>
      <c r="M1163" s="26"/>
      <c r="N1163" s="26"/>
      <c r="O1163" s="26"/>
      <c r="P1163" s="27"/>
      <c r="Q1163" s="27"/>
      <c r="R1163" s="27"/>
      <c r="S1163" s="22"/>
      <c r="T1163" s="22"/>
      <c r="U1163" s="28"/>
    </row>
    <row r="1164">
      <c r="A1164" s="189"/>
      <c r="B1164" s="22"/>
      <c r="C1164" s="22"/>
      <c r="D1164" s="22"/>
      <c r="E1164" s="22"/>
      <c r="F1164" s="22"/>
      <c r="G1164" s="22"/>
      <c r="H1164" s="22"/>
      <c r="I1164" s="24"/>
      <c r="J1164" s="24"/>
      <c r="K1164" s="24"/>
      <c r="L1164" s="24"/>
      <c r="M1164" s="26"/>
      <c r="N1164" s="26"/>
      <c r="O1164" s="26"/>
      <c r="P1164" s="27"/>
      <c r="Q1164" s="27"/>
      <c r="R1164" s="27"/>
      <c r="S1164" s="22"/>
      <c r="T1164" s="22"/>
      <c r="U1164" s="28"/>
    </row>
    <row r="1165">
      <c r="A1165" s="189"/>
      <c r="B1165" s="22"/>
      <c r="C1165" s="22"/>
      <c r="D1165" s="22"/>
      <c r="E1165" s="22"/>
      <c r="F1165" s="22"/>
      <c r="G1165" s="22"/>
      <c r="H1165" s="22"/>
      <c r="I1165" s="24"/>
      <c r="J1165" s="24"/>
      <c r="K1165" s="24"/>
      <c r="L1165" s="24"/>
      <c r="M1165" s="26"/>
      <c r="N1165" s="26"/>
      <c r="O1165" s="26"/>
      <c r="P1165" s="27"/>
      <c r="Q1165" s="27"/>
      <c r="R1165" s="27"/>
      <c r="S1165" s="22"/>
      <c r="T1165" s="22"/>
      <c r="U1165" s="28"/>
    </row>
    <row r="1166">
      <c r="A1166" s="189"/>
      <c r="B1166" s="22"/>
      <c r="C1166" s="22"/>
      <c r="D1166" s="22"/>
      <c r="E1166" s="22"/>
      <c r="F1166" s="22"/>
      <c r="G1166" s="22"/>
      <c r="H1166" s="22"/>
      <c r="I1166" s="24"/>
      <c r="J1166" s="24"/>
      <c r="K1166" s="24"/>
      <c r="L1166" s="24"/>
      <c r="M1166" s="26"/>
      <c r="N1166" s="26"/>
      <c r="O1166" s="26"/>
      <c r="P1166" s="27"/>
      <c r="Q1166" s="27"/>
      <c r="R1166" s="27"/>
      <c r="S1166" s="22"/>
      <c r="T1166" s="22"/>
      <c r="U1166" s="28"/>
    </row>
    <row r="1167">
      <c r="A1167" s="189"/>
      <c r="B1167" s="22"/>
      <c r="C1167" s="22"/>
      <c r="D1167" s="22"/>
      <c r="E1167" s="22"/>
      <c r="F1167" s="22"/>
      <c r="G1167" s="22"/>
      <c r="H1167" s="22"/>
      <c r="I1167" s="24"/>
      <c r="J1167" s="24"/>
      <c r="K1167" s="24"/>
      <c r="L1167" s="24"/>
      <c r="M1167" s="26"/>
      <c r="N1167" s="26"/>
      <c r="O1167" s="26"/>
      <c r="P1167" s="27"/>
      <c r="Q1167" s="27"/>
      <c r="R1167" s="27"/>
      <c r="S1167" s="22"/>
      <c r="T1167" s="22"/>
      <c r="U1167" s="28"/>
    </row>
    <row r="1168">
      <c r="A1168" s="189"/>
      <c r="B1168" s="22"/>
      <c r="C1168" s="22"/>
      <c r="D1168" s="22"/>
      <c r="E1168" s="22"/>
      <c r="F1168" s="22"/>
      <c r="G1168" s="22"/>
      <c r="H1168" s="22"/>
      <c r="I1168" s="24"/>
      <c r="J1168" s="24"/>
      <c r="K1168" s="24"/>
      <c r="L1168" s="24"/>
      <c r="M1168" s="26"/>
      <c r="N1168" s="26"/>
      <c r="O1168" s="26"/>
      <c r="P1168" s="27"/>
      <c r="Q1168" s="27"/>
      <c r="R1168" s="27"/>
      <c r="S1168" s="22"/>
      <c r="T1168" s="22"/>
      <c r="U1168" s="28"/>
    </row>
    <row r="1169">
      <c r="A1169" s="189"/>
      <c r="B1169" s="22"/>
      <c r="C1169" s="22"/>
      <c r="D1169" s="22"/>
      <c r="E1169" s="22"/>
      <c r="F1169" s="22"/>
      <c r="G1169" s="22"/>
      <c r="H1169" s="22"/>
      <c r="I1169" s="24"/>
      <c r="J1169" s="24"/>
      <c r="K1169" s="24"/>
      <c r="L1169" s="24"/>
      <c r="M1169" s="26"/>
      <c r="N1169" s="26"/>
      <c r="O1169" s="26"/>
      <c r="P1169" s="27"/>
      <c r="Q1169" s="27"/>
      <c r="R1169" s="27"/>
      <c r="S1169" s="22"/>
      <c r="T1169" s="22"/>
      <c r="U1169" s="28"/>
    </row>
    <row r="1170">
      <c r="A1170" s="189"/>
      <c r="B1170" s="22"/>
      <c r="C1170" s="22"/>
      <c r="D1170" s="22"/>
      <c r="E1170" s="22"/>
      <c r="F1170" s="22"/>
      <c r="G1170" s="22"/>
      <c r="H1170" s="22"/>
      <c r="I1170" s="24"/>
      <c r="J1170" s="24"/>
      <c r="K1170" s="24"/>
      <c r="L1170" s="24"/>
      <c r="M1170" s="26"/>
      <c r="N1170" s="26"/>
      <c r="O1170" s="26"/>
      <c r="P1170" s="27"/>
      <c r="Q1170" s="27"/>
      <c r="R1170" s="27"/>
      <c r="S1170" s="22"/>
      <c r="T1170" s="22"/>
      <c r="U1170" s="28"/>
    </row>
    <row r="1171">
      <c r="A1171" s="189"/>
      <c r="B1171" s="22"/>
      <c r="C1171" s="22"/>
      <c r="D1171" s="22"/>
      <c r="E1171" s="22"/>
      <c r="F1171" s="22"/>
      <c r="G1171" s="22"/>
      <c r="H1171" s="22"/>
      <c r="I1171" s="24"/>
      <c r="J1171" s="24"/>
      <c r="K1171" s="24"/>
      <c r="L1171" s="24"/>
      <c r="M1171" s="26"/>
      <c r="N1171" s="26"/>
      <c r="O1171" s="26"/>
      <c r="P1171" s="27"/>
      <c r="Q1171" s="27"/>
      <c r="R1171" s="27"/>
      <c r="S1171" s="22"/>
      <c r="T1171" s="22"/>
      <c r="U1171" s="28"/>
    </row>
    <row r="1172">
      <c r="A1172" s="189"/>
      <c r="B1172" s="22"/>
      <c r="C1172" s="22"/>
      <c r="D1172" s="22"/>
      <c r="E1172" s="22"/>
      <c r="F1172" s="22"/>
      <c r="G1172" s="22"/>
      <c r="H1172" s="22"/>
      <c r="I1172" s="24"/>
      <c r="J1172" s="24"/>
      <c r="K1172" s="24"/>
      <c r="L1172" s="24"/>
      <c r="M1172" s="26"/>
      <c r="N1172" s="26"/>
      <c r="O1172" s="26"/>
      <c r="P1172" s="27"/>
      <c r="Q1172" s="27"/>
      <c r="R1172" s="27"/>
      <c r="S1172" s="22"/>
      <c r="T1172" s="22"/>
      <c r="U1172" s="28"/>
    </row>
    <row r="1173">
      <c r="A1173" s="189"/>
      <c r="B1173" s="22"/>
      <c r="C1173" s="22"/>
      <c r="D1173" s="22"/>
      <c r="E1173" s="22"/>
      <c r="F1173" s="22"/>
      <c r="G1173" s="22"/>
      <c r="H1173" s="22"/>
      <c r="I1173" s="24"/>
      <c r="J1173" s="24"/>
      <c r="K1173" s="24"/>
      <c r="L1173" s="24"/>
      <c r="M1173" s="26"/>
      <c r="N1173" s="26"/>
      <c r="O1173" s="26"/>
      <c r="P1173" s="27"/>
      <c r="Q1173" s="27"/>
      <c r="R1173" s="27"/>
      <c r="S1173" s="22"/>
      <c r="T1173" s="22"/>
      <c r="U1173" s="28"/>
    </row>
    <row r="1174">
      <c r="A1174" s="189"/>
      <c r="B1174" s="22"/>
      <c r="C1174" s="22"/>
      <c r="D1174" s="22"/>
      <c r="E1174" s="22"/>
      <c r="F1174" s="22"/>
      <c r="G1174" s="22"/>
      <c r="H1174" s="22"/>
      <c r="I1174" s="24"/>
      <c r="J1174" s="24"/>
      <c r="K1174" s="24"/>
      <c r="L1174" s="24"/>
      <c r="M1174" s="26"/>
      <c r="N1174" s="26"/>
      <c r="O1174" s="26"/>
      <c r="P1174" s="27"/>
      <c r="Q1174" s="27"/>
      <c r="R1174" s="27"/>
      <c r="S1174" s="22"/>
      <c r="T1174" s="22"/>
      <c r="U1174" s="28"/>
    </row>
    <row r="1175">
      <c r="A1175" s="189"/>
      <c r="B1175" s="22"/>
      <c r="C1175" s="22"/>
      <c r="D1175" s="22"/>
      <c r="E1175" s="22"/>
      <c r="F1175" s="22"/>
      <c r="G1175" s="22"/>
      <c r="H1175" s="22"/>
      <c r="I1175" s="24"/>
      <c r="J1175" s="24"/>
      <c r="K1175" s="24"/>
      <c r="L1175" s="24"/>
      <c r="M1175" s="26"/>
      <c r="N1175" s="26"/>
      <c r="O1175" s="26"/>
      <c r="P1175" s="27"/>
      <c r="Q1175" s="27"/>
      <c r="R1175" s="27"/>
      <c r="S1175" s="22"/>
      <c r="T1175" s="22"/>
      <c r="U1175" s="28"/>
    </row>
    <row r="1176">
      <c r="A1176" s="189"/>
      <c r="B1176" s="22"/>
      <c r="C1176" s="22"/>
      <c r="D1176" s="22"/>
      <c r="E1176" s="22"/>
      <c r="F1176" s="22"/>
      <c r="G1176" s="22"/>
      <c r="H1176" s="22"/>
      <c r="I1176" s="24"/>
      <c r="J1176" s="24"/>
      <c r="K1176" s="24"/>
      <c r="L1176" s="24"/>
      <c r="M1176" s="26"/>
      <c r="N1176" s="26"/>
      <c r="O1176" s="26"/>
      <c r="P1176" s="27"/>
      <c r="Q1176" s="27"/>
      <c r="R1176" s="27"/>
      <c r="S1176" s="22"/>
      <c r="T1176" s="22"/>
      <c r="U1176" s="28"/>
    </row>
    <row r="1177">
      <c r="A1177" s="189"/>
      <c r="B1177" s="22"/>
      <c r="C1177" s="22"/>
      <c r="D1177" s="22"/>
      <c r="E1177" s="22"/>
      <c r="F1177" s="22"/>
      <c r="G1177" s="22"/>
      <c r="H1177" s="22"/>
      <c r="I1177" s="24"/>
      <c r="J1177" s="24"/>
      <c r="K1177" s="24"/>
      <c r="L1177" s="24"/>
      <c r="M1177" s="26"/>
      <c r="N1177" s="26"/>
      <c r="O1177" s="26"/>
      <c r="P1177" s="27"/>
      <c r="Q1177" s="27"/>
      <c r="R1177" s="27"/>
      <c r="S1177" s="22"/>
      <c r="T1177" s="22"/>
      <c r="U1177" s="28"/>
    </row>
    <row r="1178">
      <c r="A1178" s="189"/>
      <c r="B1178" s="22"/>
      <c r="C1178" s="22"/>
      <c r="D1178" s="22"/>
      <c r="E1178" s="22"/>
      <c r="F1178" s="22"/>
      <c r="G1178" s="22"/>
      <c r="H1178" s="22"/>
      <c r="I1178" s="24"/>
      <c r="J1178" s="24"/>
      <c r="K1178" s="24"/>
      <c r="L1178" s="24"/>
      <c r="M1178" s="26"/>
      <c r="N1178" s="26"/>
      <c r="O1178" s="26"/>
      <c r="P1178" s="27"/>
      <c r="Q1178" s="27"/>
      <c r="R1178" s="27"/>
      <c r="S1178" s="22"/>
      <c r="T1178" s="22"/>
      <c r="U1178" s="28"/>
    </row>
    <row r="1179">
      <c r="A1179" s="189"/>
      <c r="B1179" s="22"/>
      <c r="C1179" s="22"/>
      <c r="D1179" s="22"/>
      <c r="E1179" s="22"/>
      <c r="F1179" s="22"/>
      <c r="G1179" s="22"/>
      <c r="H1179" s="22"/>
      <c r="I1179" s="24"/>
      <c r="J1179" s="24"/>
      <c r="K1179" s="24"/>
      <c r="L1179" s="24"/>
      <c r="M1179" s="26"/>
      <c r="N1179" s="26"/>
      <c r="O1179" s="26"/>
      <c r="P1179" s="27"/>
      <c r="Q1179" s="27"/>
      <c r="R1179" s="27"/>
      <c r="S1179" s="22"/>
      <c r="T1179" s="22"/>
      <c r="U1179" s="28"/>
    </row>
    <row r="1180">
      <c r="A1180" s="189"/>
      <c r="B1180" s="22"/>
      <c r="C1180" s="22"/>
      <c r="D1180" s="22"/>
      <c r="E1180" s="22"/>
      <c r="F1180" s="22"/>
      <c r="G1180" s="22"/>
      <c r="H1180" s="22"/>
      <c r="I1180" s="24"/>
      <c r="J1180" s="24"/>
      <c r="K1180" s="24"/>
      <c r="L1180" s="24"/>
      <c r="M1180" s="26"/>
      <c r="N1180" s="26"/>
      <c r="O1180" s="26"/>
      <c r="P1180" s="27"/>
      <c r="Q1180" s="27"/>
      <c r="R1180" s="27"/>
      <c r="S1180" s="22"/>
      <c r="T1180" s="22"/>
      <c r="U1180" s="28"/>
    </row>
    <row r="1181">
      <c r="A1181" s="189"/>
      <c r="B1181" s="22"/>
      <c r="C1181" s="22"/>
      <c r="D1181" s="22"/>
      <c r="E1181" s="22"/>
      <c r="F1181" s="22"/>
      <c r="G1181" s="22"/>
      <c r="H1181" s="22"/>
      <c r="I1181" s="24"/>
      <c r="J1181" s="24"/>
      <c r="K1181" s="24"/>
      <c r="L1181" s="24"/>
      <c r="M1181" s="26"/>
      <c r="N1181" s="26"/>
      <c r="O1181" s="26"/>
      <c r="P1181" s="27"/>
      <c r="Q1181" s="27"/>
      <c r="R1181" s="27"/>
      <c r="S1181" s="22"/>
      <c r="T1181" s="22"/>
      <c r="U1181" s="28"/>
    </row>
    <row r="1182">
      <c r="A1182" s="189"/>
      <c r="B1182" s="22"/>
      <c r="C1182" s="22"/>
      <c r="D1182" s="22"/>
      <c r="E1182" s="22"/>
      <c r="F1182" s="22"/>
      <c r="G1182" s="22"/>
      <c r="H1182" s="22"/>
      <c r="I1182" s="24"/>
      <c r="J1182" s="24"/>
      <c r="K1182" s="24"/>
      <c r="L1182" s="24"/>
      <c r="M1182" s="26"/>
      <c r="N1182" s="26"/>
      <c r="O1182" s="26"/>
      <c r="P1182" s="27"/>
      <c r="Q1182" s="27"/>
      <c r="R1182" s="27"/>
      <c r="S1182" s="22"/>
      <c r="T1182" s="22"/>
      <c r="U1182" s="28"/>
    </row>
    <row r="1183">
      <c r="A1183" s="189"/>
      <c r="B1183" s="22"/>
      <c r="C1183" s="22"/>
      <c r="D1183" s="22"/>
      <c r="E1183" s="22"/>
      <c r="F1183" s="22"/>
      <c r="G1183" s="22"/>
      <c r="H1183" s="22"/>
      <c r="I1183" s="24"/>
      <c r="J1183" s="24"/>
      <c r="K1183" s="24"/>
      <c r="L1183" s="24"/>
      <c r="M1183" s="26"/>
      <c r="N1183" s="26"/>
      <c r="O1183" s="26"/>
      <c r="P1183" s="27"/>
      <c r="Q1183" s="27"/>
      <c r="R1183" s="27"/>
      <c r="S1183" s="22"/>
      <c r="T1183" s="22"/>
      <c r="U1183" s="28"/>
    </row>
    <row r="1184">
      <c r="A1184" s="189"/>
      <c r="B1184" s="22"/>
      <c r="C1184" s="22"/>
      <c r="D1184" s="22"/>
      <c r="E1184" s="22"/>
      <c r="F1184" s="22"/>
      <c r="G1184" s="22"/>
      <c r="H1184" s="22"/>
      <c r="I1184" s="24"/>
      <c r="J1184" s="24"/>
      <c r="K1184" s="24"/>
      <c r="L1184" s="24"/>
      <c r="M1184" s="26"/>
      <c r="N1184" s="26"/>
      <c r="O1184" s="26"/>
      <c r="P1184" s="27"/>
      <c r="Q1184" s="27"/>
      <c r="R1184" s="27"/>
      <c r="S1184" s="22"/>
      <c r="T1184" s="22"/>
      <c r="U1184" s="28"/>
    </row>
    <row r="1185">
      <c r="A1185" s="189"/>
      <c r="B1185" s="22"/>
      <c r="C1185" s="22"/>
      <c r="D1185" s="22"/>
      <c r="E1185" s="22"/>
      <c r="F1185" s="22"/>
      <c r="G1185" s="22"/>
      <c r="H1185" s="22"/>
      <c r="I1185" s="24"/>
      <c r="J1185" s="24"/>
      <c r="K1185" s="24"/>
      <c r="L1185" s="24"/>
      <c r="M1185" s="26"/>
      <c r="N1185" s="26"/>
      <c r="O1185" s="26"/>
      <c r="P1185" s="27"/>
      <c r="Q1185" s="27"/>
      <c r="R1185" s="27"/>
      <c r="S1185" s="22"/>
      <c r="T1185" s="22"/>
      <c r="U1185" s="28"/>
    </row>
    <row r="1186">
      <c r="A1186" s="189"/>
      <c r="B1186" s="22"/>
      <c r="C1186" s="22"/>
      <c r="D1186" s="22"/>
      <c r="E1186" s="22"/>
      <c r="F1186" s="22"/>
      <c r="G1186" s="22"/>
      <c r="H1186" s="22"/>
      <c r="I1186" s="24"/>
      <c r="J1186" s="24"/>
      <c r="K1186" s="24"/>
      <c r="L1186" s="24"/>
      <c r="M1186" s="26"/>
      <c r="N1186" s="26"/>
      <c r="O1186" s="26"/>
      <c r="P1186" s="27"/>
      <c r="Q1186" s="27"/>
      <c r="R1186" s="27"/>
      <c r="S1186" s="22"/>
      <c r="T1186" s="22"/>
      <c r="U1186" s="28"/>
    </row>
    <row r="1187">
      <c r="A1187" s="189"/>
      <c r="B1187" s="22"/>
      <c r="C1187" s="22"/>
      <c r="D1187" s="22"/>
      <c r="E1187" s="22"/>
      <c r="F1187" s="22"/>
      <c r="G1187" s="22"/>
      <c r="H1187" s="22"/>
      <c r="I1187" s="24"/>
      <c r="J1187" s="24"/>
      <c r="K1187" s="24"/>
      <c r="L1187" s="24"/>
      <c r="M1187" s="26"/>
      <c r="N1187" s="26"/>
      <c r="O1187" s="26"/>
      <c r="P1187" s="27"/>
      <c r="Q1187" s="27"/>
      <c r="R1187" s="27"/>
      <c r="S1187" s="22"/>
      <c r="T1187" s="22"/>
      <c r="U1187" s="28"/>
    </row>
    <row r="1188">
      <c r="A1188" s="189"/>
      <c r="B1188" s="22"/>
      <c r="C1188" s="22"/>
      <c r="D1188" s="22"/>
      <c r="E1188" s="22"/>
      <c r="F1188" s="22"/>
      <c r="G1188" s="22"/>
      <c r="H1188" s="22"/>
      <c r="I1188" s="24"/>
      <c r="J1188" s="24"/>
      <c r="K1188" s="24"/>
      <c r="L1188" s="24"/>
      <c r="M1188" s="26"/>
      <c r="N1188" s="26"/>
      <c r="O1188" s="26"/>
      <c r="P1188" s="27"/>
      <c r="Q1188" s="27"/>
      <c r="R1188" s="27"/>
      <c r="S1188" s="22"/>
      <c r="T1188" s="22"/>
      <c r="U1188" s="28"/>
    </row>
    <row r="1189">
      <c r="A1189" s="189"/>
      <c r="B1189" s="22"/>
      <c r="C1189" s="22"/>
      <c r="D1189" s="22"/>
      <c r="E1189" s="22"/>
      <c r="F1189" s="22"/>
      <c r="G1189" s="22"/>
      <c r="H1189" s="22"/>
      <c r="I1189" s="24"/>
      <c r="J1189" s="24"/>
      <c r="K1189" s="24"/>
      <c r="L1189" s="24"/>
      <c r="M1189" s="26"/>
      <c r="N1189" s="26"/>
      <c r="O1189" s="26"/>
      <c r="P1189" s="27"/>
      <c r="Q1189" s="27"/>
      <c r="R1189" s="27"/>
      <c r="S1189" s="22"/>
      <c r="T1189" s="22"/>
      <c r="U1189" s="28"/>
    </row>
    <row r="1190">
      <c r="A1190" s="189"/>
      <c r="B1190" s="22"/>
      <c r="C1190" s="22"/>
      <c r="D1190" s="22"/>
      <c r="E1190" s="22"/>
      <c r="F1190" s="22"/>
      <c r="G1190" s="22"/>
      <c r="H1190" s="22"/>
      <c r="I1190" s="24"/>
      <c r="J1190" s="24"/>
      <c r="K1190" s="24"/>
      <c r="L1190" s="24"/>
      <c r="M1190" s="26"/>
      <c r="N1190" s="26"/>
      <c r="O1190" s="26"/>
      <c r="P1190" s="27"/>
      <c r="Q1190" s="27"/>
      <c r="R1190" s="27"/>
      <c r="S1190" s="22"/>
      <c r="T1190" s="22"/>
      <c r="U1190" s="28"/>
    </row>
    <row r="1191">
      <c r="A1191" s="189"/>
      <c r="B1191" s="22"/>
      <c r="C1191" s="22"/>
      <c r="D1191" s="22"/>
      <c r="E1191" s="22"/>
      <c r="F1191" s="22"/>
      <c r="G1191" s="22"/>
      <c r="H1191" s="22"/>
      <c r="I1191" s="24"/>
      <c r="J1191" s="24"/>
      <c r="K1191" s="24"/>
      <c r="L1191" s="24"/>
      <c r="M1191" s="26"/>
      <c r="N1191" s="26"/>
      <c r="O1191" s="26"/>
      <c r="P1191" s="27"/>
      <c r="Q1191" s="27"/>
      <c r="R1191" s="27"/>
      <c r="S1191" s="22"/>
      <c r="T1191" s="22"/>
      <c r="U1191" s="28"/>
    </row>
    <row r="1192">
      <c r="A1192" s="189"/>
      <c r="B1192" s="22"/>
      <c r="C1192" s="22"/>
      <c r="D1192" s="22"/>
      <c r="E1192" s="22"/>
      <c r="F1192" s="22"/>
      <c r="G1192" s="22"/>
      <c r="H1192" s="22"/>
      <c r="I1192" s="24"/>
      <c r="J1192" s="24"/>
      <c r="K1192" s="24"/>
      <c r="L1192" s="24"/>
      <c r="M1192" s="26"/>
      <c r="N1192" s="26"/>
      <c r="O1192" s="26"/>
      <c r="P1192" s="27"/>
      <c r="Q1192" s="27"/>
      <c r="R1192" s="27"/>
      <c r="S1192" s="22"/>
      <c r="T1192" s="22"/>
      <c r="U1192" s="28"/>
    </row>
    <row r="1193">
      <c r="A1193" s="189"/>
      <c r="B1193" s="22"/>
      <c r="C1193" s="22"/>
      <c r="D1193" s="22"/>
      <c r="E1193" s="22"/>
      <c r="F1193" s="22"/>
      <c r="G1193" s="22"/>
      <c r="H1193" s="22"/>
      <c r="I1193" s="24"/>
      <c r="J1193" s="24"/>
      <c r="K1193" s="24"/>
      <c r="L1193" s="24"/>
      <c r="M1193" s="26"/>
      <c r="N1193" s="26"/>
      <c r="O1193" s="26"/>
      <c r="P1193" s="27"/>
      <c r="Q1193" s="27"/>
      <c r="R1193" s="27"/>
      <c r="S1193" s="22"/>
      <c r="T1193" s="22"/>
      <c r="U1193" s="28"/>
    </row>
    <row r="1194">
      <c r="A1194" s="189"/>
      <c r="B1194" s="22"/>
      <c r="C1194" s="22"/>
      <c r="D1194" s="22"/>
      <c r="E1194" s="22"/>
      <c r="F1194" s="22"/>
      <c r="G1194" s="22"/>
      <c r="H1194" s="22"/>
      <c r="I1194" s="24"/>
      <c r="J1194" s="24"/>
      <c r="K1194" s="24"/>
      <c r="L1194" s="24"/>
      <c r="M1194" s="26"/>
      <c r="N1194" s="26"/>
      <c r="O1194" s="26"/>
      <c r="P1194" s="27"/>
      <c r="Q1194" s="27"/>
      <c r="R1194" s="27"/>
      <c r="S1194" s="22"/>
      <c r="T1194" s="22"/>
      <c r="U1194" s="28"/>
    </row>
    <row r="1195">
      <c r="A1195" s="189"/>
      <c r="B1195" s="22"/>
      <c r="C1195" s="22"/>
      <c r="D1195" s="22"/>
      <c r="E1195" s="22"/>
      <c r="F1195" s="22"/>
      <c r="G1195" s="22"/>
      <c r="H1195" s="22"/>
      <c r="I1195" s="24"/>
      <c r="J1195" s="24"/>
      <c r="K1195" s="24"/>
      <c r="L1195" s="24"/>
      <c r="M1195" s="26"/>
      <c r="N1195" s="26"/>
      <c r="O1195" s="26"/>
      <c r="P1195" s="27"/>
      <c r="Q1195" s="27"/>
      <c r="R1195" s="27"/>
      <c r="S1195" s="22"/>
      <c r="T1195" s="22"/>
      <c r="U1195" s="28"/>
    </row>
    <row r="1196">
      <c r="A1196" s="189"/>
      <c r="B1196" s="22"/>
      <c r="C1196" s="22"/>
      <c r="D1196" s="22"/>
      <c r="E1196" s="22"/>
      <c r="F1196" s="22"/>
      <c r="G1196" s="22"/>
      <c r="H1196" s="22"/>
      <c r="I1196" s="24"/>
      <c r="J1196" s="24"/>
      <c r="K1196" s="24"/>
      <c r="L1196" s="24"/>
      <c r="M1196" s="26"/>
      <c r="N1196" s="26"/>
      <c r="O1196" s="26"/>
      <c r="P1196" s="27"/>
      <c r="Q1196" s="27"/>
      <c r="R1196" s="27"/>
      <c r="S1196" s="22"/>
      <c r="T1196" s="22"/>
      <c r="U1196" s="28"/>
    </row>
    <row r="1197">
      <c r="A1197" s="189"/>
      <c r="B1197" s="22"/>
      <c r="C1197" s="22"/>
      <c r="D1197" s="22"/>
      <c r="E1197" s="22"/>
      <c r="F1197" s="22"/>
      <c r="G1197" s="22"/>
      <c r="H1197" s="22"/>
      <c r="I1197" s="24"/>
      <c r="J1197" s="24"/>
      <c r="K1197" s="24"/>
      <c r="L1197" s="24"/>
      <c r="M1197" s="26"/>
      <c r="N1197" s="26"/>
      <c r="O1197" s="26"/>
      <c r="P1197" s="27"/>
      <c r="Q1197" s="27"/>
      <c r="R1197" s="27"/>
      <c r="S1197" s="22"/>
      <c r="T1197" s="22"/>
      <c r="U1197" s="28"/>
    </row>
    <row r="1198">
      <c r="A1198" s="189"/>
      <c r="B1198" s="22"/>
      <c r="C1198" s="22"/>
      <c r="D1198" s="22"/>
      <c r="E1198" s="22"/>
      <c r="F1198" s="22"/>
      <c r="G1198" s="22"/>
      <c r="H1198" s="22"/>
      <c r="I1198" s="24"/>
      <c r="J1198" s="24"/>
      <c r="K1198" s="24"/>
      <c r="L1198" s="24"/>
      <c r="M1198" s="26"/>
      <c r="N1198" s="26"/>
      <c r="O1198" s="26"/>
      <c r="P1198" s="27"/>
      <c r="Q1198" s="27"/>
      <c r="R1198" s="27"/>
      <c r="S1198" s="22"/>
      <c r="T1198" s="22"/>
      <c r="U1198" s="28"/>
    </row>
    <row r="1199">
      <c r="A1199" s="189"/>
      <c r="B1199" s="22"/>
      <c r="C1199" s="22"/>
      <c r="D1199" s="22"/>
      <c r="E1199" s="22"/>
      <c r="F1199" s="22"/>
      <c r="G1199" s="22"/>
      <c r="H1199" s="22"/>
      <c r="I1199" s="24"/>
      <c r="J1199" s="24"/>
      <c r="K1199" s="24"/>
      <c r="L1199" s="24"/>
      <c r="M1199" s="26"/>
      <c r="N1199" s="26"/>
      <c r="O1199" s="26"/>
      <c r="P1199" s="27"/>
      <c r="Q1199" s="27"/>
      <c r="R1199" s="27"/>
      <c r="S1199" s="22"/>
      <c r="T1199" s="22"/>
      <c r="U1199" s="28"/>
    </row>
    <row r="1200">
      <c r="A1200" s="189"/>
      <c r="B1200" s="22"/>
      <c r="C1200" s="22"/>
      <c r="D1200" s="22"/>
      <c r="E1200" s="22"/>
      <c r="F1200" s="22"/>
      <c r="G1200" s="22"/>
      <c r="H1200" s="22"/>
      <c r="I1200" s="24"/>
      <c r="J1200" s="24"/>
      <c r="K1200" s="24"/>
      <c r="L1200" s="24"/>
      <c r="M1200" s="26"/>
      <c r="N1200" s="26"/>
      <c r="O1200" s="26"/>
      <c r="P1200" s="27"/>
      <c r="Q1200" s="27"/>
      <c r="R1200" s="27"/>
      <c r="S1200" s="22"/>
      <c r="T1200" s="22"/>
      <c r="U1200" s="28"/>
    </row>
    <row r="1201">
      <c r="A1201" s="189"/>
      <c r="B1201" s="22"/>
      <c r="C1201" s="22"/>
      <c r="D1201" s="22"/>
      <c r="E1201" s="22"/>
      <c r="F1201" s="22"/>
      <c r="G1201" s="22"/>
      <c r="H1201" s="22"/>
      <c r="I1201" s="24"/>
      <c r="J1201" s="24"/>
      <c r="K1201" s="24"/>
      <c r="L1201" s="24"/>
      <c r="M1201" s="26"/>
      <c r="N1201" s="26"/>
      <c r="O1201" s="26"/>
      <c r="P1201" s="27"/>
      <c r="Q1201" s="27"/>
      <c r="R1201" s="27"/>
      <c r="S1201" s="22"/>
      <c r="T1201" s="22"/>
      <c r="U1201" s="28"/>
    </row>
    <row r="1202">
      <c r="A1202" s="189"/>
      <c r="B1202" s="22"/>
      <c r="C1202" s="22"/>
      <c r="D1202" s="22"/>
      <c r="E1202" s="22"/>
      <c r="F1202" s="22"/>
      <c r="G1202" s="22"/>
      <c r="H1202" s="22"/>
      <c r="I1202" s="24"/>
      <c r="J1202" s="24"/>
      <c r="K1202" s="24"/>
      <c r="L1202" s="24"/>
      <c r="M1202" s="26"/>
      <c r="N1202" s="26"/>
      <c r="O1202" s="26"/>
      <c r="P1202" s="27"/>
      <c r="Q1202" s="27"/>
      <c r="R1202" s="27"/>
      <c r="S1202" s="22"/>
      <c r="T1202" s="22"/>
      <c r="U1202" s="28"/>
    </row>
    <row r="1203">
      <c r="A1203" s="189"/>
      <c r="B1203" s="22"/>
      <c r="C1203" s="22"/>
      <c r="D1203" s="22"/>
      <c r="E1203" s="22"/>
      <c r="F1203" s="22"/>
      <c r="G1203" s="22"/>
      <c r="H1203" s="22"/>
      <c r="I1203" s="24"/>
      <c r="J1203" s="24"/>
      <c r="K1203" s="24"/>
      <c r="L1203" s="24"/>
      <c r="M1203" s="26"/>
      <c r="N1203" s="26"/>
      <c r="O1203" s="26"/>
      <c r="P1203" s="27"/>
      <c r="Q1203" s="27"/>
      <c r="R1203" s="27"/>
      <c r="S1203" s="22"/>
      <c r="T1203" s="22"/>
      <c r="U1203" s="28"/>
    </row>
    <row r="1204">
      <c r="A1204" s="189"/>
      <c r="B1204" s="22"/>
      <c r="C1204" s="22"/>
      <c r="D1204" s="22"/>
      <c r="E1204" s="22"/>
      <c r="F1204" s="22"/>
      <c r="G1204" s="22"/>
      <c r="H1204" s="22"/>
      <c r="I1204" s="24"/>
      <c r="J1204" s="24"/>
      <c r="K1204" s="24"/>
      <c r="L1204" s="24"/>
      <c r="M1204" s="26"/>
      <c r="N1204" s="26"/>
      <c r="O1204" s="26"/>
      <c r="P1204" s="27"/>
      <c r="Q1204" s="27"/>
      <c r="R1204" s="27"/>
      <c r="S1204" s="22"/>
      <c r="T1204" s="22"/>
      <c r="U1204" s="28"/>
    </row>
    <row r="1205">
      <c r="A1205" s="189"/>
      <c r="B1205" s="22"/>
      <c r="C1205" s="22"/>
      <c r="D1205" s="22"/>
      <c r="E1205" s="22"/>
      <c r="F1205" s="22"/>
      <c r="G1205" s="22"/>
      <c r="H1205" s="22"/>
      <c r="I1205" s="24"/>
      <c r="J1205" s="24"/>
      <c r="K1205" s="24"/>
      <c r="L1205" s="24"/>
      <c r="M1205" s="26"/>
      <c r="N1205" s="26"/>
      <c r="O1205" s="26"/>
      <c r="P1205" s="27"/>
      <c r="Q1205" s="27"/>
      <c r="R1205" s="27"/>
      <c r="S1205" s="22"/>
      <c r="T1205" s="22"/>
      <c r="U1205" s="28"/>
    </row>
    <row r="1206">
      <c r="A1206" s="189"/>
      <c r="B1206" s="22"/>
      <c r="C1206" s="22"/>
      <c r="D1206" s="22"/>
      <c r="E1206" s="22"/>
      <c r="F1206" s="22"/>
      <c r="G1206" s="22"/>
      <c r="H1206" s="22"/>
      <c r="I1206" s="24"/>
      <c r="J1206" s="24"/>
      <c r="K1206" s="24"/>
      <c r="L1206" s="24"/>
      <c r="M1206" s="26"/>
      <c r="N1206" s="26"/>
      <c r="O1206" s="26"/>
      <c r="P1206" s="27"/>
      <c r="Q1206" s="27"/>
      <c r="R1206" s="27"/>
      <c r="S1206" s="22"/>
      <c r="T1206" s="22"/>
      <c r="U1206" s="28"/>
    </row>
    <row r="1207">
      <c r="A1207" s="189"/>
      <c r="B1207" s="22"/>
      <c r="C1207" s="22"/>
      <c r="D1207" s="22"/>
      <c r="E1207" s="22"/>
      <c r="F1207" s="22"/>
      <c r="G1207" s="22"/>
      <c r="H1207" s="22"/>
      <c r="I1207" s="24"/>
      <c r="J1207" s="24"/>
      <c r="K1207" s="24"/>
      <c r="L1207" s="24"/>
      <c r="M1207" s="26"/>
      <c r="N1207" s="26"/>
      <c r="O1207" s="26"/>
      <c r="P1207" s="27"/>
      <c r="Q1207" s="27"/>
      <c r="R1207" s="27"/>
      <c r="S1207" s="22"/>
      <c r="T1207" s="22"/>
      <c r="U1207" s="28"/>
    </row>
    <row r="1208">
      <c r="A1208" s="189"/>
      <c r="B1208" s="22"/>
      <c r="C1208" s="22"/>
      <c r="D1208" s="22"/>
      <c r="E1208" s="22"/>
      <c r="F1208" s="22"/>
      <c r="G1208" s="22"/>
      <c r="H1208" s="22"/>
      <c r="I1208" s="24"/>
      <c r="J1208" s="24"/>
      <c r="K1208" s="24"/>
      <c r="L1208" s="24"/>
      <c r="M1208" s="26"/>
      <c r="N1208" s="26"/>
      <c r="O1208" s="26"/>
      <c r="P1208" s="27"/>
      <c r="Q1208" s="27"/>
      <c r="R1208" s="27"/>
      <c r="S1208" s="22"/>
      <c r="T1208" s="22"/>
      <c r="U1208" s="28"/>
    </row>
    <row r="1209">
      <c r="A1209" s="189"/>
      <c r="B1209" s="22"/>
      <c r="C1209" s="22"/>
      <c r="D1209" s="22"/>
      <c r="E1209" s="22"/>
      <c r="F1209" s="22"/>
      <c r="G1209" s="22"/>
      <c r="H1209" s="22"/>
      <c r="I1209" s="24"/>
      <c r="J1209" s="24"/>
      <c r="K1209" s="24"/>
      <c r="L1209" s="24"/>
      <c r="M1209" s="26"/>
      <c r="N1209" s="26"/>
      <c r="O1209" s="26"/>
      <c r="P1209" s="27"/>
      <c r="Q1209" s="27"/>
      <c r="R1209" s="27"/>
      <c r="S1209" s="22"/>
      <c r="T1209" s="22"/>
      <c r="U1209" s="28"/>
    </row>
    <row r="1210">
      <c r="A1210" s="189"/>
      <c r="B1210" s="22"/>
      <c r="C1210" s="22"/>
      <c r="D1210" s="22"/>
      <c r="E1210" s="22"/>
      <c r="F1210" s="22"/>
      <c r="G1210" s="22"/>
      <c r="H1210" s="22"/>
      <c r="I1210" s="24"/>
      <c r="J1210" s="24"/>
      <c r="K1210" s="24"/>
      <c r="L1210" s="24"/>
      <c r="M1210" s="26"/>
      <c r="N1210" s="26"/>
      <c r="O1210" s="26"/>
      <c r="P1210" s="27"/>
      <c r="Q1210" s="27"/>
      <c r="R1210" s="27"/>
      <c r="S1210" s="22"/>
      <c r="T1210" s="22"/>
      <c r="U1210" s="28"/>
    </row>
    <row r="1211">
      <c r="A1211" s="189"/>
      <c r="B1211" s="22"/>
      <c r="C1211" s="22"/>
      <c r="D1211" s="22"/>
      <c r="E1211" s="22"/>
      <c r="F1211" s="22"/>
      <c r="G1211" s="22"/>
      <c r="H1211" s="22"/>
      <c r="I1211" s="24"/>
      <c r="J1211" s="24"/>
      <c r="K1211" s="24"/>
      <c r="L1211" s="24"/>
      <c r="M1211" s="26"/>
      <c r="N1211" s="26"/>
      <c r="O1211" s="26"/>
      <c r="P1211" s="27"/>
      <c r="Q1211" s="27"/>
      <c r="R1211" s="27"/>
      <c r="S1211" s="22"/>
      <c r="T1211" s="22"/>
      <c r="U1211" s="28"/>
    </row>
    <row r="1212">
      <c r="A1212" s="189"/>
      <c r="B1212" s="22"/>
      <c r="C1212" s="22"/>
      <c r="D1212" s="22"/>
      <c r="E1212" s="22"/>
      <c r="F1212" s="22"/>
      <c r="G1212" s="22"/>
      <c r="H1212" s="22"/>
      <c r="I1212" s="24"/>
      <c r="J1212" s="24"/>
      <c r="K1212" s="24"/>
      <c r="L1212" s="24"/>
      <c r="M1212" s="26"/>
      <c r="N1212" s="26"/>
      <c r="O1212" s="26"/>
      <c r="P1212" s="27"/>
      <c r="Q1212" s="27"/>
      <c r="R1212" s="27"/>
      <c r="S1212" s="22"/>
      <c r="T1212" s="22"/>
      <c r="U1212" s="28"/>
    </row>
    <row r="1213">
      <c r="A1213" s="189"/>
      <c r="B1213" s="22"/>
      <c r="C1213" s="22"/>
      <c r="D1213" s="22"/>
      <c r="E1213" s="22"/>
      <c r="F1213" s="22"/>
      <c r="G1213" s="22"/>
      <c r="H1213" s="22"/>
      <c r="I1213" s="24"/>
      <c r="J1213" s="24"/>
      <c r="K1213" s="24"/>
      <c r="L1213" s="24"/>
      <c r="M1213" s="26"/>
      <c r="N1213" s="26"/>
      <c r="O1213" s="26"/>
      <c r="P1213" s="27"/>
      <c r="Q1213" s="27"/>
      <c r="R1213" s="27"/>
      <c r="S1213" s="22"/>
      <c r="T1213" s="22"/>
      <c r="U1213" s="28"/>
    </row>
    <row r="1214">
      <c r="A1214" s="189"/>
      <c r="B1214" s="22"/>
      <c r="C1214" s="22"/>
      <c r="D1214" s="22"/>
      <c r="E1214" s="22"/>
      <c r="F1214" s="22"/>
      <c r="G1214" s="22"/>
      <c r="H1214" s="22"/>
      <c r="I1214" s="24"/>
      <c r="J1214" s="24"/>
      <c r="K1214" s="24"/>
      <c r="L1214" s="24"/>
      <c r="M1214" s="26"/>
      <c r="N1214" s="26"/>
      <c r="O1214" s="26"/>
      <c r="P1214" s="27"/>
      <c r="Q1214" s="27"/>
      <c r="R1214" s="27"/>
      <c r="S1214" s="22"/>
      <c r="T1214" s="22"/>
      <c r="U1214" s="28"/>
    </row>
    <row r="1215">
      <c r="A1215" s="189"/>
      <c r="B1215" s="22"/>
      <c r="C1215" s="22"/>
      <c r="D1215" s="22"/>
      <c r="E1215" s="22"/>
      <c r="F1215" s="22"/>
      <c r="G1215" s="22"/>
      <c r="H1215" s="22"/>
      <c r="I1215" s="24"/>
      <c r="J1215" s="24"/>
      <c r="K1215" s="24"/>
      <c r="L1215" s="24"/>
      <c r="M1215" s="26"/>
      <c r="N1215" s="26"/>
      <c r="O1215" s="26"/>
      <c r="P1215" s="27"/>
      <c r="Q1215" s="27"/>
      <c r="R1215" s="27"/>
      <c r="S1215" s="22"/>
      <c r="T1215" s="22"/>
      <c r="U1215" s="28"/>
    </row>
    <row r="1216">
      <c r="A1216" s="189"/>
      <c r="B1216" s="22"/>
      <c r="C1216" s="22"/>
      <c r="D1216" s="22"/>
      <c r="E1216" s="22"/>
      <c r="F1216" s="22"/>
      <c r="G1216" s="22"/>
      <c r="H1216" s="22"/>
      <c r="I1216" s="24"/>
      <c r="J1216" s="24"/>
      <c r="K1216" s="24"/>
      <c r="L1216" s="24"/>
      <c r="M1216" s="26"/>
      <c r="N1216" s="26"/>
      <c r="O1216" s="26"/>
      <c r="P1216" s="27"/>
      <c r="Q1216" s="27"/>
      <c r="R1216" s="27"/>
      <c r="S1216" s="22"/>
      <c r="T1216" s="22"/>
      <c r="U1216" s="28"/>
    </row>
    <row r="1217">
      <c r="A1217" s="189"/>
      <c r="B1217" s="22"/>
      <c r="C1217" s="22"/>
      <c r="D1217" s="22"/>
      <c r="E1217" s="22"/>
      <c r="F1217" s="22"/>
      <c r="G1217" s="22"/>
      <c r="H1217" s="22"/>
      <c r="I1217" s="24"/>
      <c r="J1217" s="24"/>
      <c r="K1217" s="24"/>
      <c r="L1217" s="24"/>
      <c r="M1217" s="26"/>
      <c r="N1217" s="26"/>
      <c r="O1217" s="26"/>
      <c r="P1217" s="27"/>
      <c r="Q1217" s="27"/>
      <c r="R1217" s="27"/>
      <c r="S1217" s="22"/>
      <c r="T1217" s="22"/>
      <c r="U1217" s="28"/>
    </row>
    <row r="1218">
      <c r="A1218" s="189"/>
      <c r="B1218" s="22"/>
      <c r="C1218" s="22"/>
      <c r="D1218" s="22"/>
      <c r="E1218" s="22"/>
      <c r="F1218" s="22"/>
      <c r="G1218" s="22"/>
      <c r="H1218" s="22"/>
      <c r="I1218" s="24"/>
      <c r="J1218" s="24"/>
      <c r="K1218" s="24"/>
      <c r="L1218" s="24"/>
      <c r="M1218" s="26"/>
      <c r="N1218" s="26"/>
      <c r="O1218" s="26"/>
      <c r="P1218" s="27"/>
      <c r="Q1218" s="27"/>
      <c r="R1218" s="27"/>
      <c r="S1218" s="22"/>
      <c r="T1218" s="22"/>
      <c r="U1218" s="28"/>
    </row>
    <row r="1219">
      <c r="A1219" s="189"/>
      <c r="B1219" s="22"/>
      <c r="C1219" s="22"/>
      <c r="D1219" s="22"/>
      <c r="E1219" s="22"/>
      <c r="F1219" s="22"/>
      <c r="G1219" s="22"/>
      <c r="H1219" s="22"/>
      <c r="I1219" s="24"/>
      <c r="J1219" s="24"/>
      <c r="K1219" s="24"/>
      <c r="L1219" s="24"/>
      <c r="M1219" s="26"/>
      <c r="N1219" s="26"/>
      <c r="O1219" s="26"/>
      <c r="P1219" s="27"/>
      <c r="Q1219" s="27"/>
      <c r="R1219" s="27"/>
      <c r="S1219" s="22"/>
      <c r="T1219" s="22"/>
      <c r="U1219" s="28"/>
    </row>
    <row r="1220">
      <c r="A1220" s="189"/>
      <c r="B1220" s="22"/>
      <c r="C1220" s="22"/>
      <c r="D1220" s="22"/>
      <c r="E1220" s="22"/>
      <c r="F1220" s="22"/>
      <c r="G1220" s="22"/>
      <c r="H1220" s="22"/>
      <c r="I1220" s="24"/>
      <c r="J1220" s="24"/>
      <c r="K1220" s="24"/>
      <c r="L1220" s="24"/>
      <c r="M1220" s="26"/>
      <c r="N1220" s="26"/>
      <c r="O1220" s="26"/>
      <c r="P1220" s="27"/>
      <c r="Q1220" s="27"/>
      <c r="R1220" s="27"/>
      <c r="S1220" s="22"/>
      <c r="T1220" s="22"/>
      <c r="U1220" s="28"/>
    </row>
    <row r="1221">
      <c r="A1221" s="189"/>
      <c r="B1221" s="22"/>
      <c r="C1221" s="22"/>
      <c r="D1221" s="22"/>
      <c r="E1221" s="22"/>
      <c r="F1221" s="22"/>
      <c r="G1221" s="22"/>
      <c r="H1221" s="22"/>
      <c r="I1221" s="24"/>
      <c r="J1221" s="24"/>
      <c r="K1221" s="24"/>
      <c r="L1221" s="24"/>
      <c r="M1221" s="26"/>
      <c r="N1221" s="26"/>
      <c r="O1221" s="26"/>
      <c r="P1221" s="27"/>
      <c r="Q1221" s="27"/>
      <c r="R1221" s="27"/>
      <c r="S1221" s="22"/>
      <c r="T1221" s="22"/>
      <c r="U1221" s="28"/>
    </row>
    <row r="1222">
      <c r="A1222" s="189"/>
      <c r="B1222" s="22"/>
      <c r="C1222" s="22"/>
      <c r="D1222" s="22"/>
      <c r="E1222" s="22"/>
      <c r="F1222" s="22"/>
      <c r="G1222" s="22"/>
      <c r="H1222" s="22"/>
      <c r="I1222" s="24"/>
      <c r="J1222" s="24"/>
      <c r="K1222" s="24"/>
      <c r="L1222" s="24"/>
      <c r="M1222" s="26"/>
      <c r="N1222" s="26"/>
      <c r="O1222" s="26"/>
      <c r="P1222" s="27"/>
      <c r="Q1222" s="27"/>
      <c r="R1222" s="27"/>
      <c r="S1222" s="22"/>
      <c r="T1222" s="22"/>
      <c r="U1222" s="28"/>
    </row>
    <row r="1223">
      <c r="A1223" s="189"/>
      <c r="B1223" s="22"/>
      <c r="C1223" s="22"/>
      <c r="D1223" s="22"/>
      <c r="E1223" s="22"/>
      <c r="F1223" s="22"/>
      <c r="G1223" s="22"/>
      <c r="H1223" s="22"/>
      <c r="I1223" s="24"/>
      <c r="J1223" s="24"/>
      <c r="K1223" s="24"/>
      <c r="L1223" s="24"/>
      <c r="M1223" s="26"/>
      <c r="N1223" s="26"/>
      <c r="O1223" s="26"/>
      <c r="P1223" s="27"/>
      <c r="Q1223" s="27"/>
      <c r="R1223" s="27"/>
      <c r="S1223" s="22"/>
      <c r="T1223" s="22"/>
      <c r="U1223" s="28"/>
    </row>
    <row r="1224">
      <c r="A1224" s="189"/>
      <c r="B1224" s="22"/>
      <c r="C1224" s="22"/>
      <c r="D1224" s="22"/>
      <c r="E1224" s="22"/>
      <c r="F1224" s="22"/>
      <c r="G1224" s="22"/>
      <c r="H1224" s="22"/>
      <c r="I1224" s="24"/>
      <c r="J1224" s="24"/>
      <c r="K1224" s="24"/>
      <c r="L1224" s="24"/>
      <c r="M1224" s="26"/>
      <c r="N1224" s="26"/>
      <c r="O1224" s="26"/>
      <c r="P1224" s="27"/>
      <c r="Q1224" s="27"/>
      <c r="R1224" s="27"/>
      <c r="S1224" s="22"/>
      <c r="T1224" s="22"/>
      <c r="U1224" s="28"/>
    </row>
    <row r="1225">
      <c r="A1225" s="189"/>
      <c r="B1225" s="22"/>
      <c r="C1225" s="22"/>
      <c r="D1225" s="22"/>
      <c r="E1225" s="22"/>
      <c r="F1225" s="22"/>
      <c r="G1225" s="22"/>
      <c r="H1225" s="22"/>
      <c r="I1225" s="24"/>
      <c r="J1225" s="24"/>
      <c r="K1225" s="24"/>
      <c r="L1225" s="24"/>
      <c r="M1225" s="26"/>
      <c r="N1225" s="26"/>
      <c r="O1225" s="26"/>
      <c r="P1225" s="27"/>
      <c r="Q1225" s="27"/>
      <c r="R1225" s="27"/>
      <c r="S1225" s="22"/>
      <c r="T1225" s="22"/>
      <c r="U1225" s="28"/>
    </row>
    <row r="1226">
      <c r="A1226" s="189"/>
      <c r="B1226" s="22"/>
      <c r="C1226" s="22"/>
      <c r="D1226" s="22"/>
      <c r="E1226" s="22"/>
      <c r="F1226" s="22"/>
      <c r="G1226" s="22"/>
      <c r="H1226" s="22"/>
      <c r="I1226" s="24"/>
      <c r="J1226" s="24"/>
      <c r="K1226" s="24"/>
      <c r="L1226" s="24"/>
      <c r="M1226" s="26"/>
      <c r="N1226" s="26"/>
      <c r="O1226" s="26"/>
      <c r="P1226" s="27"/>
      <c r="Q1226" s="27"/>
      <c r="R1226" s="27"/>
      <c r="S1226" s="22"/>
      <c r="T1226" s="22"/>
      <c r="U1226" s="28"/>
    </row>
    <row r="1227">
      <c r="A1227" s="189"/>
      <c r="B1227" s="22"/>
      <c r="C1227" s="22"/>
      <c r="D1227" s="22"/>
      <c r="E1227" s="22"/>
      <c r="F1227" s="22"/>
      <c r="G1227" s="22"/>
      <c r="H1227" s="22"/>
      <c r="I1227" s="24"/>
      <c r="J1227" s="24"/>
      <c r="K1227" s="24"/>
      <c r="L1227" s="24"/>
      <c r="M1227" s="26"/>
      <c r="N1227" s="26"/>
      <c r="O1227" s="26"/>
      <c r="P1227" s="27"/>
      <c r="Q1227" s="27"/>
      <c r="R1227" s="27"/>
      <c r="S1227" s="22"/>
      <c r="T1227" s="22"/>
      <c r="U1227" s="28"/>
    </row>
    <row r="1228">
      <c r="A1228" s="189"/>
      <c r="B1228" s="22"/>
      <c r="C1228" s="22"/>
      <c r="D1228" s="22"/>
      <c r="E1228" s="22"/>
      <c r="F1228" s="22"/>
      <c r="G1228" s="22"/>
      <c r="H1228" s="22"/>
      <c r="I1228" s="24"/>
      <c r="J1228" s="24"/>
      <c r="K1228" s="24"/>
      <c r="L1228" s="24"/>
      <c r="M1228" s="26"/>
      <c r="N1228" s="26"/>
      <c r="O1228" s="26"/>
      <c r="P1228" s="27"/>
      <c r="Q1228" s="27"/>
      <c r="R1228" s="27"/>
      <c r="S1228" s="22"/>
      <c r="T1228" s="22"/>
      <c r="U1228" s="28"/>
    </row>
    <row r="1229">
      <c r="A1229" s="189"/>
      <c r="B1229" s="22"/>
      <c r="C1229" s="22"/>
      <c r="D1229" s="22"/>
      <c r="E1229" s="22"/>
      <c r="F1229" s="22"/>
      <c r="G1229" s="22"/>
      <c r="H1229" s="22"/>
      <c r="I1229" s="24"/>
      <c r="J1229" s="24"/>
      <c r="K1229" s="24"/>
      <c r="L1229" s="24"/>
      <c r="M1229" s="26"/>
      <c r="N1229" s="26"/>
      <c r="O1229" s="26"/>
      <c r="P1229" s="27"/>
      <c r="Q1229" s="27"/>
      <c r="R1229" s="27"/>
      <c r="S1229" s="22"/>
      <c r="T1229" s="22"/>
      <c r="U1229" s="28"/>
    </row>
    <row r="1230">
      <c r="A1230" s="189"/>
      <c r="B1230" s="22"/>
      <c r="C1230" s="22"/>
      <c r="D1230" s="22"/>
      <c r="E1230" s="22"/>
      <c r="F1230" s="22"/>
      <c r="G1230" s="22"/>
      <c r="H1230" s="22"/>
      <c r="I1230" s="24"/>
      <c r="J1230" s="24"/>
      <c r="K1230" s="24"/>
      <c r="L1230" s="24"/>
      <c r="M1230" s="26"/>
      <c r="N1230" s="26"/>
      <c r="O1230" s="26"/>
      <c r="P1230" s="27"/>
      <c r="Q1230" s="27"/>
      <c r="R1230" s="27"/>
      <c r="S1230" s="22"/>
      <c r="T1230" s="22"/>
      <c r="U1230" s="28"/>
    </row>
    <row r="1231">
      <c r="A1231" s="189"/>
      <c r="B1231" s="22"/>
      <c r="C1231" s="22"/>
      <c r="D1231" s="22"/>
      <c r="E1231" s="22"/>
      <c r="F1231" s="22"/>
      <c r="G1231" s="22"/>
      <c r="H1231" s="22"/>
      <c r="I1231" s="24"/>
      <c r="J1231" s="24"/>
      <c r="K1231" s="24"/>
      <c r="L1231" s="24"/>
      <c r="M1231" s="26"/>
      <c r="N1231" s="26"/>
      <c r="O1231" s="26"/>
      <c r="P1231" s="27"/>
      <c r="Q1231" s="27"/>
      <c r="R1231" s="27"/>
      <c r="S1231" s="22"/>
      <c r="T1231" s="22"/>
      <c r="U1231" s="28"/>
    </row>
    <row r="1232">
      <c r="A1232" s="189"/>
      <c r="B1232" s="22"/>
      <c r="C1232" s="22"/>
      <c r="D1232" s="22"/>
      <c r="E1232" s="22"/>
      <c r="F1232" s="22"/>
      <c r="G1232" s="22"/>
      <c r="H1232" s="22"/>
      <c r="I1232" s="24"/>
      <c r="J1232" s="24"/>
      <c r="K1232" s="24"/>
      <c r="L1232" s="24"/>
      <c r="M1232" s="26"/>
      <c r="N1232" s="26"/>
      <c r="O1232" s="26"/>
      <c r="P1232" s="27"/>
      <c r="Q1232" s="27"/>
      <c r="R1232" s="27"/>
      <c r="S1232" s="22"/>
      <c r="T1232" s="22"/>
      <c r="U1232" s="28"/>
    </row>
    <row r="1233">
      <c r="A1233" s="189"/>
      <c r="B1233" s="22"/>
      <c r="C1233" s="22"/>
      <c r="D1233" s="22"/>
      <c r="E1233" s="22"/>
      <c r="F1233" s="22"/>
      <c r="G1233" s="22"/>
      <c r="H1233" s="22"/>
      <c r="I1233" s="24"/>
      <c r="J1233" s="24"/>
      <c r="K1233" s="24"/>
      <c r="L1233" s="24"/>
      <c r="M1233" s="26"/>
      <c r="N1233" s="26"/>
      <c r="O1233" s="26"/>
      <c r="P1233" s="27"/>
      <c r="Q1233" s="27"/>
      <c r="R1233" s="27"/>
      <c r="S1233" s="22"/>
      <c r="T1233" s="22"/>
      <c r="U1233" s="28"/>
    </row>
    <row r="1234">
      <c r="A1234" s="189"/>
      <c r="B1234" s="22"/>
      <c r="C1234" s="22"/>
      <c r="D1234" s="22"/>
      <c r="E1234" s="22"/>
      <c r="F1234" s="22"/>
      <c r="G1234" s="22"/>
      <c r="H1234" s="22"/>
      <c r="I1234" s="24"/>
      <c r="J1234" s="24"/>
      <c r="K1234" s="24"/>
      <c r="L1234" s="24"/>
      <c r="M1234" s="26"/>
      <c r="N1234" s="26"/>
      <c r="O1234" s="26"/>
      <c r="P1234" s="27"/>
      <c r="Q1234" s="27"/>
      <c r="R1234" s="27"/>
      <c r="S1234" s="22"/>
      <c r="T1234" s="22"/>
      <c r="U1234" s="28"/>
    </row>
    <row r="1235">
      <c r="A1235" s="189"/>
      <c r="B1235" s="22"/>
      <c r="C1235" s="22"/>
      <c r="D1235" s="22"/>
      <c r="E1235" s="22"/>
      <c r="F1235" s="22"/>
      <c r="G1235" s="22"/>
      <c r="H1235" s="22"/>
      <c r="I1235" s="24"/>
      <c r="J1235" s="24"/>
      <c r="K1235" s="24"/>
      <c r="L1235" s="24"/>
      <c r="M1235" s="26"/>
      <c r="N1235" s="26"/>
      <c r="O1235" s="26"/>
      <c r="P1235" s="27"/>
      <c r="Q1235" s="27"/>
      <c r="R1235" s="27"/>
      <c r="S1235" s="22"/>
      <c r="T1235" s="22"/>
      <c r="U1235" s="28"/>
    </row>
    <row r="1236">
      <c r="A1236" s="189"/>
      <c r="B1236" s="22"/>
      <c r="C1236" s="22"/>
      <c r="D1236" s="22"/>
      <c r="E1236" s="22"/>
      <c r="F1236" s="22"/>
      <c r="G1236" s="22"/>
      <c r="H1236" s="22"/>
      <c r="I1236" s="24"/>
      <c r="J1236" s="24"/>
      <c r="K1236" s="24"/>
      <c r="L1236" s="24"/>
      <c r="M1236" s="26"/>
      <c r="N1236" s="26"/>
      <c r="O1236" s="26"/>
      <c r="P1236" s="27"/>
      <c r="Q1236" s="27"/>
      <c r="R1236" s="27"/>
      <c r="S1236" s="22"/>
      <c r="T1236" s="22"/>
      <c r="U1236" s="28"/>
    </row>
    <row r="1237">
      <c r="A1237" s="189"/>
      <c r="B1237" s="22"/>
      <c r="C1237" s="22"/>
      <c r="D1237" s="22"/>
      <c r="E1237" s="22"/>
      <c r="F1237" s="22"/>
      <c r="G1237" s="22"/>
      <c r="H1237" s="22"/>
      <c r="I1237" s="24"/>
      <c r="J1237" s="24"/>
      <c r="K1237" s="24"/>
      <c r="L1237" s="24"/>
      <c r="M1237" s="26"/>
      <c r="N1237" s="26"/>
      <c r="O1237" s="26"/>
      <c r="P1237" s="27"/>
      <c r="Q1237" s="27"/>
      <c r="R1237" s="27"/>
      <c r="S1237" s="22"/>
      <c r="T1237" s="22"/>
      <c r="U1237" s="28"/>
    </row>
    <row r="1238">
      <c r="A1238" s="189"/>
      <c r="B1238" s="22"/>
      <c r="C1238" s="22"/>
      <c r="D1238" s="22"/>
      <c r="E1238" s="22"/>
      <c r="F1238" s="22"/>
      <c r="G1238" s="22"/>
      <c r="H1238" s="22"/>
      <c r="I1238" s="24"/>
      <c r="J1238" s="24"/>
      <c r="K1238" s="24"/>
      <c r="L1238" s="24"/>
      <c r="M1238" s="26"/>
      <c r="N1238" s="26"/>
      <c r="O1238" s="26"/>
      <c r="P1238" s="27"/>
      <c r="Q1238" s="27"/>
      <c r="R1238" s="27"/>
      <c r="S1238" s="22"/>
      <c r="T1238" s="22"/>
      <c r="U1238" s="28"/>
    </row>
    <row r="1239">
      <c r="A1239" s="189"/>
      <c r="B1239" s="22"/>
      <c r="C1239" s="22"/>
      <c r="D1239" s="22"/>
      <c r="E1239" s="22"/>
      <c r="F1239" s="22"/>
      <c r="G1239" s="22"/>
      <c r="H1239" s="22"/>
      <c r="I1239" s="24"/>
      <c r="J1239" s="24"/>
      <c r="K1239" s="24"/>
      <c r="L1239" s="24"/>
      <c r="M1239" s="26"/>
      <c r="N1239" s="26"/>
      <c r="O1239" s="26"/>
      <c r="P1239" s="27"/>
      <c r="Q1239" s="27"/>
      <c r="R1239" s="27"/>
      <c r="S1239" s="22"/>
      <c r="T1239" s="22"/>
      <c r="U1239" s="28"/>
    </row>
    <row r="1240">
      <c r="A1240" s="189"/>
      <c r="B1240" s="22"/>
      <c r="C1240" s="22"/>
      <c r="D1240" s="22"/>
      <c r="E1240" s="22"/>
      <c r="F1240" s="22"/>
      <c r="G1240" s="22"/>
      <c r="H1240" s="22"/>
      <c r="I1240" s="24"/>
      <c r="J1240" s="24"/>
      <c r="K1240" s="24"/>
      <c r="L1240" s="24"/>
      <c r="M1240" s="26"/>
      <c r="N1240" s="26"/>
      <c r="O1240" s="26"/>
      <c r="P1240" s="27"/>
      <c r="Q1240" s="27"/>
      <c r="R1240" s="27"/>
      <c r="S1240" s="22"/>
      <c r="T1240" s="22"/>
      <c r="U1240" s="28"/>
    </row>
    <row r="1241">
      <c r="A1241" s="189"/>
      <c r="B1241" s="22"/>
      <c r="C1241" s="22"/>
      <c r="D1241" s="22"/>
      <c r="E1241" s="22"/>
      <c r="F1241" s="22"/>
      <c r="G1241" s="22"/>
      <c r="H1241" s="22"/>
      <c r="I1241" s="24"/>
      <c r="J1241" s="24"/>
      <c r="K1241" s="24"/>
      <c r="L1241" s="24"/>
      <c r="M1241" s="26"/>
      <c r="N1241" s="26"/>
      <c r="O1241" s="26"/>
      <c r="P1241" s="27"/>
      <c r="Q1241" s="27"/>
      <c r="R1241" s="27"/>
      <c r="S1241" s="22"/>
      <c r="T1241" s="22"/>
      <c r="U1241" s="28"/>
    </row>
    <row r="1242">
      <c r="A1242" s="189"/>
      <c r="B1242" s="22"/>
      <c r="C1242" s="22"/>
      <c r="D1242" s="22"/>
      <c r="E1242" s="22"/>
      <c r="F1242" s="22"/>
      <c r="G1242" s="22"/>
      <c r="H1242" s="22"/>
      <c r="I1242" s="24"/>
      <c r="J1242" s="24"/>
      <c r="K1242" s="24"/>
      <c r="L1242" s="24"/>
      <c r="M1242" s="26"/>
      <c r="N1242" s="26"/>
      <c r="O1242" s="26"/>
      <c r="P1242" s="27"/>
      <c r="Q1242" s="27"/>
      <c r="R1242" s="27"/>
      <c r="S1242" s="22"/>
      <c r="T1242" s="22"/>
      <c r="U1242" s="28"/>
    </row>
    <row r="1243">
      <c r="A1243" s="189"/>
      <c r="B1243" s="22"/>
      <c r="C1243" s="22"/>
      <c r="D1243" s="22"/>
      <c r="E1243" s="22"/>
      <c r="F1243" s="22"/>
      <c r="G1243" s="22"/>
      <c r="H1243" s="22"/>
      <c r="I1243" s="24"/>
      <c r="J1243" s="24"/>
      <c r="K1243" s="24"/>
      <c r="L1243" s="24"/>
      <c r="M1243" s="26"/>
      <c r="N1243" s="26"/>
      <c r="O1243" s="26"/>
      <c r="P1243" s="27"/>
      <c r="Q1243" s="27"/>
      <c r="R1243" s="27"/>
      <c r="S1243" s="22"/>
      <c r="T1243" s="22"/>
      <c r="U1243" s="28"/>
    </row>
    <row r="1244">
      <c r="A1244" s="189"/>
      <c r="B1244" s="22"/>
      <c r="C1244" s="22"/>
      <c r="D1244" s="22"/>
      <c r="E1244" s="22"/>
      <c r="F1244" s="22"/>
      <c r="G1244" s="22"/>
      <c r="H1244" s="22"/>
      <c r="I1244" s="24"/>
      <c r="J1244" s="24"/>
      <c r="K1244" s="24"/>
      <c r="L1244" s="24"/>
      <c r="M1244" s="26"/>
      <c r="N1244" s="26"/>
      <c r="O1244" s="26"/>
      <c r="P1244" s="27"/>
      <c r="Q1244" s="27"/>
      <c r="R1244" s="27"/>
      <c r="S1244" s="22"/>
      <c r="T1244" s="22"/>
      <c r="U1244" s="28"/>
    </row>
    <row r="1245">
      <c r="A1245" s="189"/>
      <c r="B1245" s="22"/>
      <c r="C1245" s="22"/>
      <c r="D1245" s="22"/>
      <c r="E1245" s="22"/>
      <c r="F1245" s="22"/>
      <c r="G1245" s="22"/>
      <c r="H1245" s="22"/>
      <c r="I1245" s="24"/>
      <c r="J1245" s="24"/>
      <c r="K1245" s="24"/>
      <c r="L1245" s="24"/>
      <c r="M1245" s="26"/>
      <c r="N1245" s="26"/>
      <c r="O1245" s="26"/>
      <c r="P1245" s="27"/>
      <c r="Q1245" s="27"/>
      <c r="R1245" s="27"/>
      <c r="S1245" s="22"/>
      <c r="T1245" s="22"/>
      <c r="U1245" s="28"/>
    </row>
    <row r="1246">
      <c r="A1246" s="189"/>
      <c r="B1246" s="22"/>
      <c r="C1246" s="22"/>
      <c r="D1246" s="22"/>
      <c r="E1246" s="22"/>
      <c r="F1246" s="22"/>
      <c r="G1246" s="22"/>
      <c r="H1246" s="22"/>
      <c r="I1246" s="24"/>
      <c r="J1246" s="24"/>
      <c r="K1246" s="24"/>
      <c r="L1246" s="24"/>
      <c r="M1246" s="26"/>
      <c r="N1246" s="26"/>
      <c r="O1246" s="26"/>
      <c r="P1246" s="27"/>
      <c r="Q1246" s="27"/>
      <c r="R1246" s="27"/>
      <c r="S1246" s="22"/>
      <c r="T1246" s="22"/>
      <c r="U1246" s="28"/>
    </row>
    <row r="1247">
      <c r="A1247" s="189"/>
      <c r="B1247" s="22"/>
      <c r="C1247" s="22"/>
      <c r="D1247" s="22"/>
      <c r="E1247" s="22"/>
      <c r="F1247" s="22"/>
      <c r="G1247" s="22"/>
      <c r="H1247" s="22"/>
      <c r="I1247" s="24"/>
      <c r="J1247" s="24"/>
      <c r="K1247" s="24"/>
      <c r="L1247" s="24"/>
      <c r="M1247" s="26"/>
      <c r="N1247" s="26"/>
      <c r="O1247" s="26"/>
      <c r="P1247" s="27"/>
      <c r="Q1247" s="27"/>
      <c r="R1247" s="27"/>
      <c r="S1247" s="22"/>
      <c r="T1247" s="22"/>
      <c r="U1247" s="28"/>
    </row>
    <row r="1248">
      <c r="A1248" s="189"/>
      <c r="B1248" s="22"/>
      <c r="C1248" s="22"/>
      <c r="D1248" s="22"/>
      <c r="E1248" s="22"/>
      <c r="F1248" s="22"/>
      <c r="G1248" s="22"/>
      <c r="H1248" s="22"/>
      <c r="I1248" s="24"/>
      <c r="J1248" s="24"/>
      <c r="K1248" s="24"/>
      <c r="L1248" s="24"/>
      <c r="M1248" s="26"/>
      <c r="N1248" s="26"/>
      <c r="O1248" s="26"/>
      <c r="P1248" s="27"/>
      <c r="Q1248" s="27"/>
      <c r="R1248" s="27"/>
      <c r="S1248" s="22"/>
      <c r="T1248" s="22"/>
      <c r="U1248" s="28"/>
    </row>
    <row r="1249">
      <c r="A1249" s="189"/>
      <c r="B1249" s="22"/>
      <c r="C1249" s="22"/>
      <c r="D1249" s="22"/>
      <c r="E1249" s="22"/>
      <c r="F1249" s="22"/>
      <c r="G1249" s="22"/>
      <c r="H1249" s="22"/>
      <c r="I1249" s="24"/>
      <c r="J1249" s="24"/>
      <c r="K1249" s="24"/>
      <c r="L1249" s="24"/>
      <c r="M1249" s="26"/>
      <c r="N1249" s="26"/>
      <c r="O1249" s="26"/>
      <c r="P1249" s="27"/>
      <c r="Q1249" s="27"/>
      <c r="R1249" s="27"/>
      <c r="S1249" s="22"/>
      <c r="T1249" s="22"/>
      <c r="U1249" s="28"/>
    </row>
    <row r="1250">
      <c r="A1250" s="189"/>
      <c r="B1250" s="22"/>
      <c r="C1250" s="22"/>
      <c r="D1250" s="22"/>
      <c r="E1250" s="22"/>
      <c r="F1250" s="22"/>
      <c r="G1250" s="22"/>
      <c r="H1250" s="22"/>
      <c r="I1250" s="24"/>
      <c r="J1250" s="24"/>
      <c r="K1250" s="24"/>
      <c r="L1250" s="24"/>
      <c r="M1250" s="26"/>
      <c r="N1250" s="26"/>
      <c r="O1250" s="26"/>
      <c r="P1250" s="27"/>
      <c r="Q1250" s="27"/>
      <c r="R1250" s="27"/>
      <c r="S1250" s="22"/>
      <c r="T1250" s="22"/>
      <c r="U1250" s="28"/>
    </row>
    <row r="1251">
      <c r="A1251" s="189"/>
      <c r="B1251" s="22"/>
      <c r="C1251" s="22"/>
      <c r="D1251" s="22"/>
      <c r="E1251" s="22"/>
      <c r="F1251" s="22"/>
      <c r="G1251" s="22"/>
      <c r="H1251" s="22"/>
      <c r="I1251" s="24"/>
      <c r="J1251" s="24"/>
      <c r="K1251" s="24"/>
      <c r="L1251" s="24"/>
      <c r="M1251" s="26"/>
      <c r="N1251" s="26"/>
      <c r="O1251" s="26"/>
      <c r="P1251" s="27"/>
      <c r="Q1251" s="27"/>
      <c r="R1251" s="27"/>
      <c r="S1251" s="22"/>
      <c r="T1251" s="22"/>
      <c r="U1251" s="28"/>
    </row>
    <row r="1252">
      <c r="A1252" s="189"/>
      <c r="B1252" s="22"/>
      <c r="C1252" s="22"/>
      <c r="D1252" s="22"/>
      <c r="E1252" s="22"/>
      <c r="F1252" s="22"/>
      <c r="G1252" s="22"/>
      <c r="H1252" s="22"/>
      <c r="I1252" s="24"/>
      <c r="J1252" s="24"/>
      <c r="K1252" s="24"/>
      <c r="L1252" s="24"/>
      <c r="M1252" s="26"/>
      <c r="N1252" s="26"/>
      <c r="O1252" s="26"/>
      <c r="P1252" s="27"/>
      <c r="Q1252" s="27"/>
      <c r="R1252" s="27"/>
      <c r="S1252" s="22"/>
      <c r="T1252" s="22"/>
      <c r="U1252" s="28"/>
    </row>
    <row r="1253">
      <c r="A1253" s="189"/>
      <c r="B1253" s="22"/>
      <c r="C1253" s="22"/>
      <c r="D1253" s="22"/>
      <c r="E1253" s="22"/>
      <c r="F1253" s="22"/>
      <c r="G1253" s="22"/>
      <c r="H1253" s="22"/>
      <c r="I1253" s="24"/>
      <c r="J1253" s="24"/>
      <c r="K1253" s="24"/>
      <c r="L1253" s="24"/>
      <c r="M1253" s="26"/>
      <c r="N1253" s="26"/>
      <c r="O1253" s="26"/>
      <c r="P1253" s="27"/>
      <c r="Q1253" s="27"/>
      <c r="R1253" s="27"/>
      <c r="S1253" s="22"/>
      <c r="T1253" s="22"/>
      <c r="U1253" s="28"/>
    </row>
    <row r="1254">
      <c r="A1254" s="189"/>
      <c r="B1254" s="22"/>
      <c r="C1254" s="22"/>
      <c r="D1254" s="22"/>
      <c r="E1254" s="22"/>
      <c r="F1254" s="22"/>
      <c r="G1254" s="22"/>
      <c r="H1254" s="22"/>
      <c r="I1254" s="24"/>
      <c r="J1254" s="24"/>
      <c r="K1254" s="24"/>
      <c r="L1254" s="24"/>
      <c r="M1254" s="26"/>
      <c r="N1254" s="26"/>
      <c r="O1254" s="26"/>
      <c r="P1254" s="27"/>
      <c r="Q1254" s="27"/>
      <c r="R1254" s="27"/>
      <c r="S1254" s="22"/>
      <c r="T1254" s="22"/>
      <c r="U1254" s="28"/>
    </row>
    <row r="1255">
      <c r="A1255" s="189"/>
      <c r="B1255" s="22"/>
      <c r="C1255" s="22"/>
      <c r="D1255" s="22"/>
      <c r="E1255" s="22"/>
      <c r="F1255" s="22"/>
      <c r="G1255" s="22"/>
      <c r="H1255" s="22"/>
      <c r="I1255" s="24"/>
      <c r="J1255" s="24"/>
      <c r="K1255" s="24"/>
      <c r="L1255" s="24"/>
      <c r="M1255" s="26"/>
      <c r="N1255" s="26"/>
      <c r="O1255" s="26"/>
      <c r="P1255" s="27"/>
      <c r="Q1255" s="27"/>
      <c r="R1255" s="27"/>
      <c r="S1255" s="22"/>
      <c r="T1255" s="22"/>
      <c r="U1255" s="28"/>
    </row>
    <row r="1256">
      <c r="A1256" s="189"/>
      <c r="B1256" s="22"/>
      <c r="C1256" s="22"/>
      <c r="D1256" s="22"/>
      <c r="E1256" s="22"/>
      <c r="F1256" s="22"/>
      <c r="G1256" s="22"/>
      <c r="H1256" s="22"/>
      <c r="I1256" s="24"/>
      <c r="J1256" s="24"/>
      <c r="K1256" s="24"/>
      <c r="L1256" s="24"/>
      <c r="M1256" s="26"/>
      <c r="N1256" s="26"/>
      <c r="O1256" s="26"/>
      <c r="P1256" s="27"/>
      <c r="Q1256" s="27"/>
      <c r="R1256" s="27"/>
      <c r="S1256" s="22"/>
      <c r="T1256" s="22"/>
      <c r="U1256" s="28"/>
    </row>
    <row r="1257">
      <c r="A1257" s="189"/>
      <c r="B1257" s="22"/>
      <c r="C1257" s="22"/>
      <c r="D1257" s="22"/>
      <c r="E1257" s="22"/>
      <c r="F1257" s="22"/>
      <c r="G1257" s="22"/>
      <c r="H1257" s="22"/>
      <c r="I1257" s="24"/>
      <c r="J1257" s="24"/>
      <c r="K1257" s="24"/>
      <c r="L1257" s="24"/>
      <c r="M1257" s="26"/>
      <c r="N1257" s="26"/>
      <c r="O1257" s="26"/>
      <c r="P1257" s="27"/>
      <c r="Q1257" s="27"/>
      <c r="R1257" s="27"/>
      <c r="S1257" s="22"/>
      <c r="T1257" s="22"/>
      <c r="U1257" s="28"/>
    </row>
    <row r="1258">
      <c r="A1258" s="189"/>
      <c r="B1258" s="22"/>
      <c r="C1258" s="22"/>
      <c r="D1258" s="22"/>
      <c r="E1258" s="22"/>
      <c r="F1258" s="22"/>
      <c r="G1258" s="22"/>
      <c r="H1258" s="22"/>
      <c r="I1258" s="24"/>
      <c r="J1258" s="24"/>
      <c r="K1258" s="24"/>
      <c r="L1258" s="24"/>
      <c r="M1258" s="26"/>
      <c r="N1258" s="26"/>
      <c r="O1258" s="26"/>
      <c r="P1258" s="27"/>
      <c r="Q1258" s="27"/>
      <c r="R1258" s="27"/>
      <c r="S1258" s="22"/>
      <c r="T1258" s="22"/>
      <c r="U1258" s="28"/>
    </row>
    <row r="1259">
      <c r="A1259" s="189"/>
      <c r="B1259" s="22"/>
      <c r="C1259" s="22"/>
      <c r="D1259" s="22"/>
      <c r="E1259" s="22"/>
      <c r="F1259" s="22"/>
      <c r="G1259" s="22"/>
      <c r="H1259" s="22"/>
      <c r="I1259" s="24"/>
      <c r="J1259" s="24"/>
      <c r="K1259" s="24"/>
      <c r="L1259" s="24"/>
      <c r="M1259" s="26"/>
      <c r="N1259" s="26"/>
      <c r="O1259" s="26"/>
      <c r="P1259" s="27"/>
      <c r="Q1259" s="27"/>
      <c r="R1259" s="27"/>
      <c r="S1259" s="22"/>
      <c r="T1259" s="22"/>
      <c r="U1259" s="28"/>
    </row>
    <row r="1260">
      <c r="A1260" s="189"/>
      <c r="B1260" s="22"/>
      <c r="C1260" s="22"/>
      <c r="D1260" s="22"/>
      <c r="E1260" s="22"/>
      <c r="F1260" s="22"/>
      <c r="G1260" s="22"/>
      <c r="H1260" s="22"/>
      <c r="I1260" s="24"/>
      <c r="J1260" s="24"/>
      <c r="K1260" s="24"/>
      <c r="L1260" s="24"/>
      <c r="M1260" s="26"/>
      <c r="N1260" s="26"/>
      <c r="O1260" s="26"/>
      <c r="P1260" s="27"/>
      <c r="Q1260" s="27"/>
      <c r="R1260" s="27"/>
      <c r="S1260" s="22"/>
      <c r="T1260" s="22"/>
      <c r="U1260" s="28"/>
    </row>
    <row r="1261">
      <c r="A1261" s="189"/>
      <c r="B1261" s="22"/>
      <c r="C1261" s="22"/>
      <c r="D1261" s="22"/>
      <c r="E1261" s="22"/>
      <c r="F1261" s="22"/>
      <c r="G1261" s="22"/>
      <c r="H1261" s="22"/>
      <c r="I1261" s="24"/>
      <c r="J1261" s="24"/>
      <c r="K1261" s="24"/>
      <c r="L1261" s="24"/>
      <c r="M1261" s="26"/>
      <c r="N1261" s="26"/>
      <c r="O1261" s="26"/>
      <c r="P1261" s="27"/>
      <c r="Q1261" s="27"/>
      <c r="R1261" s="27"/>
      <c r="S1261" s="22"/>
      <c r="T1261" s="22"/>
      <c r="U1261" s="28"/>
    </row>
    <row r="1262">
      <c r="A1262" s="189"/>
      <c r="B1262" s="22"/>
      <c r="C1262" s="22"/>
      <c r="D1262" s="22"/>
      <c r="E1262" s="22"/>
      <c r="F1262" s="22"/>
      <c r="G1262" s="22"/>
      <c r="H1262" s="22"/>
      <c r="I1262" s="24"/>
      <c r="J1262" s="24"/>
      <c r="K1262" s="24"/>
      <c r="L1262" s="24"/>
      <c r="M1262" s="26"/>
      <c r="N1262" s="26"/>
      <c r="O1262" s="26"/>
      <c r="P1262" s="27"/>
      <c r="Q1262" s="27"/>
      <c r="R1262" s="27"/>
      <c r="S1262" s="22"/>
      <c r="T1262" s="22"/>
      <c r="U1262" s="28"/>
    </row>
    <row r="1263">
      <c r="A1263" s="189"/>
      <c r="B1263" s="22"/>
      <c r="C1263" s="22"/>
      <c r="D1263" s="22"/>
      <c r="E1263" s="22"/>
      <c r="F1263" s="22"/>
      <c r="G1263" s="22"/>
      <c r="H1263" s="22"/>
      <c r="I1263" s="24"/>
      <c r="J1263" s="24"/>
      <c r="K1263" s="24"/>
      <c r="L1263" s="24"/>
      <c r="M1263" s="26"/>
      <c r="N1263" s="26"/>
      <c r="O1263" s="26"/>
      <c r="P1263" s="27"/>
      <c r="Q1263" s="27"/>
      <c r="R1263" s="27"/>
      <c r="S1263" s="22"/>
      <c r="T1263" s="22"/>
      <c r="U1263" s="28"/>
    </row>
    <row r="1264">
      <c r="A1264" s="189"/>
      <c r="B1264" s="22"/>
      <c r="C1264" s="22"/>
      <c r="D1264" s="22"/>
      <c r="E1264" s="22"/>
      <c r="F1264" s="22"/>
      <c r="G1264" s="22"/>
      <c r="H1264" s="22"/>
      <c r="I1264" s="24"/>
      <c r="J1264" s="24"/>
      <c r="K1264" s="24"/>
      <c r="L1264" s="24"/>
      <c r="M1264" s="26"/>
      <c r="N1264" s="26"/>
      <c r="O1264" s="26"/>
      <c r="P1264" s="27"/>
      <c r="Q1264" s="27"/>
      <c r="R1264" s="27"/>
      <c r="S1264" s="22"/>
      <c r="T1264" s="22"/>
      <c r="U1264" s="28"/>
    </row>
    <row r="1265">
      <c r="A1265" s="189"/>
      <c r="B1265" s="22"/>
      <c r="C1265" s="22"/>
      <c r="D1265" s="22"/>
      <c r="E1265" s="22"/>
      <c r="F1265" s="22"/>
      <c r="G1265" s="22"/>
      <c r="H1265" s="22"/>
      <c r="I1265" s="24"/>
      <c r="J1265" s="24"/>
      <c r="K1265" s="24"/>
      <c r="L1265" s="24"/>
      <c r="M1265" s="26"/>
      <c r="N1265" s="26"/>
      <c r="O1265" s="26"/>
      <c r="P1265" s="27"/>
      <c r="Q1265" s="27"/>
      <c r="R1265" s="27"/>
      <c r="S1265" s="22"/>
      <c r="T1265" s="22"/>
      <c r="U1265" s="28"/>
    </row>
    <row r="1266">
      <c r="A1266" s="189"/>
      <c r="B1266" s="22"/>
      <c r="C1266" s="22"/>
      <c r="D1266" s="22"/>
      <c r="E1266" s="22"/>
      <c r="F1266" s="22"/>
      <c r="G1266" s="22"/>
      <c r="H1266" s="22"/>
      <c r="I1266" s="24"/>
      <c r="J1266" s="24"/>
      <c r="K1266" s="24"/>
      <c r="L1266" s="24"/>
      <c r="M1266" s="26"/>
      <c r="N1266" s="26"/>
      <c r="O1266" s="26"/>
      <c r="P1266" s="27"/>
      <c r="Q1266" s="27"/>
      <c r="R1266" s="27"/>
      <c r="S1266" s="22"/>
      <c r="T1266" s="22"/>
      <c r="U1266" s="28"/>
    </row>
    <row r="1267">
      <c r="A1267" s="189"/>
      <c r="B1267" s="22"/>
      <c r="C1267" s="22"/>
      <c r="D1267" s="22"/>
      <c r="E1267" s="22"/>
      <c r="F1267" s="22"/>
      <c r="G1267" s="22"/>
      <c r="H1267" s="22"/>
      <c r="I1267" s="24"/>
      <c r="J1267" s="24"/>
      <c r="K1267" s="24"/>
      <c r="L1267" s="24"/>
      <c r="M1267" s="26"/>
      <c r="N1267" s="26"/>
      <c r="O1267" s="26"/>
      <c r="P1267" s="27"/>
      <c r="Q1267" s="27"/>
      <c r="R1267" s="27"/>
      <c r="S1267" s="22"/>
      <c r="T1267" s="22"/>
      <c r="U1267" s="28"/>
    </row>
    <row r="1268">
      <c r="A1268" s="189"/>
      <c r="B1268" s="22"/>
      <c r="C1268" s="22"/>
      <c r="D1268" s="22"/>
      <c r="E1268" s="22"/>
      <c r="F1268" s="22"/>
      <c r="G1268" s="22"/>
      <c r="H1268" s="22"/>
      <c r="I1268" s="24"/>
      <c r="J1268" s="24"/>
      <c r="K1268" s="24"/>
      <c r="L1268" s="24"/>
      <c r="M1268" s="26"/>
      <c r="N1268" s="26"/>
      <c r="O1268" s="26"/>
      <c r="P1268" s="27"/>
      <c r="Q1268" s="27"/>
      <c r="R1268" s="27"/>
      <c r="S1268" s="22"/>
      <c r="T1268" s="22"/>
      <c r="U1268" s="28"/>
    </row>
    <row r="1269">
      <c r="A1269" s="189"/>
      <c r="B1269" s="22"/>
      <c r="C1269" s="22"/>
      <c r="D1269" s="22"/>
      <c r="E1269" s="22"/>
      <c r="F1269" s="22"/>
      <c r="G1269" s="22"/>
      <c r="H1269" s="22"/>
      <c r="I1269" s="24"/>
      <c r="J1269" s="24"/>
      <c r="K1269" s="24"/>
      <c r="L1269" s="24"/>
      <c r="M1269" s="26"/>
      <c r="N1269" s="26"/>
      <c r="O1269" s="26"/>
      <c r="P1269" s="27"/>
      <c r="Q1269" s="27"/>
      <c r="R1269" s="27"/>
      <c r="S1269" s="22"/>
      <c r="T1269" s="22"/>
      <c r="U1269" s="28"/>
    </row>
    <row r="1270">
      <c r="A1270" s="189"/>
      <c r="B1270" s="22"/>
      <c r="C1270" s="22"/>
      <c r="D1270" s="22"/>
      <c r="E1270" s="22"/>
      <c r="F1270" s="22"/>
      <c r="G1270" s="22"/>
      <c r="H1270" s="22"/>
      <c r="I1270" s="24"/>
      <c r="J1270" s="24"/>
      <c r="K1270" s="24"/>
      <c r="L1270" s="24"/>
      <c r="M1270" s="26"/>
      <c r="N1270" s="26"/>
      <c r="O1270" s="26"/>
      <c r="P1270" s="27"/>
      <c r="Q1270" s="27"/>
      <c r="R1270" s="27"/>
      <c r="S1270" s="22"/>
      <c r="T1270" s="22"/>
      <c r="U1270" s="28"/>
    </row>
    <row r="1271">
      <c r="A1271" s="189"/>
      <c r="B1271" s="22"/>
      <c r="C1271" s="22"/>
      <c r="D1271" s="22"/>
      <c r="E1271" s="22"/>
      <c r="F1271" s="22"/>
      <c r="G1271" s="22"/>
      <c r="H1271" s="22"/>
      <c r="I1271" s="24"/>
      <c r="J1271" s="24"/>
      <c r="K1271" s="24"/>
      <c r="L1271" s="24"/>
      <c r="M1271" s="26"/>
      <c r="N1271" s="26"/>
      <c r="O1271" s="26"/>
      <c r="P1271" s="27"/>
      <c r="Q1271" s="27"/>
      <c r="R1271" s="27"/>
      <c r="S1271" s="22"/>
      <c r="T1271" s="22"/>
      <c r="U1271" s="28"/>
    </row>
    <row r="1272">
      <c r="A1272" s="189"/>
      <c r="B1272" s="22"/>
      <c r="C1272" s="22"/>
      <c r="D1272" s="22"/>
      <c r="E1272" s="22"/>
      <c r="F1272" s="22"/>
      <c r="G1272" s="22"/>
      <c r="H1272" s="22"/>
      <c r="I1272" s="24"/>
      <c r="J1272" s="24"/>
      <c r="K1272" s="24"/>
      <c r="L1272" s="24"/>
      <c r="M1272" s="26"/>
      <c r="N1272" s="26"/>
      <c r="O1272" s="26"/>
      <c r="P1272" s="27"/>
      <c r="Q1272" s="27"/>
      <c r="R1272" s="27"/>
      <c r="S1272" s="22"/>
      <c r="T1272" s="22"/>
      <c r="U1272" s="28"/>
    </row>
    <row r="1273">
      <c r="A1273" s="189"/>
      <c r="B1273" s="22"/>
      <c r="C1273" s="22"/>
      <c r="D1273" s="22"/>
      <c r="E1273" s="22"/>
      <c r="F1273" s="22"/>
      <c r="G1273" s="22"/>
      <c r="H1273" s="22"/>
      <c r="I1273" s="24"/>
      <c r="J1273" s="24"/>
      <c r="K1273" s="24"/>
      <c r="L1273" s="24"/>
      <c r="M1273" s="26"/>
      <c r="N1273" s="26"/>
      <c r="O1273" s="26"/>
      <c r="P1273" s="27"/>
      <c r="Q1273" s="27"/>
      <c r="R1273" s="27"/>
      <c r="S1273" s="22"/>
      <c r="T1273" s="22"/>
      <c r="U1273" s="28"/>
    </row>
    <row r="1274">
      <c r="A1274" s="189"/>
      <c r="B1274" s="22"/>
      <c r="C1274" s="22"/>
      <c r="D1274" s="22"/>
      <c r="E1274" s="22"/>
      <c r="F1274" s="22"/>
      <c r="G1274" s="22"/>
      <c r="H1274" s="22"/>
      <c r="I1274" s="24"/>
      <c r="J1274" s="24"/>
      <c r="K1274" s="24"/>
      <c r="L1274" s="24"/>
      <c r="M1274" s="26"/>
      <c r="N1274" s="26"/>
      <c r="O1274" s="26"/>
      <c r="P1274" s="27"/>
      <c r="Q1274" s="27"/>
      <c r="R1274" s="27"/>
      <c r="S1274" s="22"/>
      <c r="T1274" s="22"/>
      <c r="U1274" s="28"/>
    </row>
    <row r="1275">
      <c r="A1275" s="189"/>
      <c r="B1275" s="22"/>
      <c r="C1275" s="22"/>
      <c r="D1275" s="22"/>
      <c r="E1275" s="22"/>
      <c r="F1275" s="22"/>
      <c r="G1275" s="22"/>
      <c r="H1275" s="22"/>
      <c r="I1275" s="24"/>
      <c r="J1275" s="24"/>
      <c r="K1275" s="24"/>
      <c r="L1275" s="24"/>
      <c r="M1275" s="26"/>
      <c r="N1275" s="26"/>
      <c r="O1275" s="26"/>
      <c r="P1275" s="27"/>
      <c r="Q1275" s="27"/>
      <c r="R1275" s="27"/>
      <c r="S1275" s="22"/>
      <c r="T1275" s="22"/>
      <c r="U1275" s="28"/>
    </row>
    <row r="1276">
      <c r="A1276" s="189"/>
      <c r="B1276" s="22"/>
      <c r="C1276" s="22"/>
      <c r="D1276" s="22"/>
      <c r="E1276" s="22"/>
      <c r="F1276" s="22"/>
      <c r="G1276" s="22"/>
      <c r="H1276" s="22"/>
      <c r="I1276" s="24"/>
      <c r="J1276" s="24"/>
      <c r="K1276" s="24"/>
      <c r="L1276" s="24"/>
      <c r="M1276" s="26"/>
      <c r="N1276" s="26"/>
      <c r="O1276" s="26"/>
      <c r="P1276" s="27"/>
      <c r="Q1276" s="27"/>
      <c r="R1276" s="27"/>
      <c r="S1276" s="22"/>
      <c r="T1276" s="22"/>
      <c r="U1276" s="28"/>
    </row>
    <row r="1277">
      <c r="A1277" s="189"/>
      <c r="B1277" s="22"/>
      <c r="C1277" s="22"/>
      <c r="D1277" s="22"/>
      <c r="E1277" s="22"/>
      <c r="F1277" s="22"/>
      <c r="G1277" s="22"/>
      <c r="H1277" s="22"/>
      <c r="I1277" s="24"/>
      <c r="J1277" s="24"/>
      <c r="K1277" s="24"/>
      <c r="L1277" s="24"/>
      <c r="M1277" s="26"/>
      <c r="N1277" s="26"/>
      <c r="O1277" s="26"/>
      <c r="P1277" s="27"/>
      <c r="Q1277" s="27"/>
      <c r="R1277" s="27"/>
      <c r="S1277" s="22"/>
      <c r="T1277" s="22"/>
      <c r="U1277" s="28"/>
    </row>
    <row r="1278">
      <c r="A1278" s="189"/>
      <c r="B1278" s="22"/>
      <c r="C1278" s="22"/>
      <c r="D1278" s="22"/>
      <c r="E1278" s="22"/>
      <c r="F1278" s="22"/>
      <c r="G1278" s="22"/>
      <c r="H1278" s="22"/>
      <c r="I1278" s="24"/>
      <c r="J1278" s="24"/>
      <c r="K1278" s="24"/>
      <c r="L1278" s="24"/>
      <c r="M1278" s="26"/>
      <c r="N1278" s="26"/>
      <c r="O1278" s="26"/>
      <c r="P1278" s="27"/>
      <c r="Q1278" s="27"/>
      <c r="R1278" s="27"/>
      <c r="S1278" s="22"/>
      <c r="T1278" s="22"/>
      <c r="U1278" s="28"/>
    </row>
    <row r="1279">
      <c r="A1279" s="189"/>
      <c r="B1279" s="22"/>
      <c r="C1279" s="22"/>
      <c r="D1279" s="22"/>
      <c r="E1279" s="22"/>
      <c r="F1279" s="22"/>
      <c r="G1279" s="22"/>
      <c r="H1279" s="22"/>
      <c r="I1279" s="24"/>
      <c r="J1279" s="24"/>
      <c r="K1279" s="24"/>
      <c r="L1279" s="24"/>
      <c r="M1279" s="26"/>
      <c r="N1279" s="26"/>
      <c r="O1279" s="26"/>
      <c r="P1279" s="27"/>
      <c r="Q1279" s="27"/>
      <c r="R1279" s="27"/>
      <c r="S1279" s="22"/>
      <c r="T1279" s="22"/>
      <c r="U1279" s="28"/>
    </row>
    <row r="1280">
      <c r="A1280" s="189"/>
      <c r="B1280" s="22"/>
      <c r="C1280" s="22"/>
      <c r="D1280" s="22"/>
      <c r="E1280" s="22"/>
      <c r="F1280" s="22"/>
      <c r="G1280" s="22"/>
      <c r="H1280" s="22"/>
      <c r="I1280" s="24"/>
      <c r="J1280" s="24"/>
      <c r="K1280" s="24"/>
      <c r="L1280" s="24"/>
      <c r="M1280" s="26"/>
      <c r="N1280" s="26"/>
      <c r="O1280" s="26"/>
      <c r="P1280" s="27"/>
      <c r="Q1280" s="27"/>
      <c r="R1280" s="27"/>
      <c r="S1280" s="22"/>
      <c r="T1280" s="22"/>
      <c r="U1280" s="28"/>
    </row>
    <row r="1281">
      <c r="A1281" s="189"/>
      <c r="B1281" s="22"/>
      <c r="C1281" s="22"/>
      <c r="D1281" s="22"/>
      <c r="E1281" s="22"/>
      <c r="F1281" s="22"/>
      <c r="G1281" s="22"/>
      <c r="H1281" s="22"/>
      <c r="I1281" s="24"/>
      <c r="J1281" s="24"/>
      <c r="K1281" s="24"/>
      <c r="L1281" s="24"/>
      <c r="M1281" s="26"/>
      <c r="N1281" s="26"/>
      <c r="O1281" s="26"/>
      <c r="P1281" s="27"/>
      <c r="Q1281" s="27"/>
      <c r="R1281" s="27"/>
      <c r="S1281" s="22"/>
      <c r="T1281" s="22"/>
      <c r="U1281" s="28"/>
    </row>
    <row r="1282">
      <c r="A1282" s="189"/>
      <c r="B1282" s="22"/>
      <c r="C1282" s="22"/>
      <c r="D1282" s="22"/>
      <c r="E1282" s="22"/>
      <c r="F1282" s="22"/>
      <c r="G1282" s="22"/>
      <c r="H1282" s="22"/>
      <c r="I1282" s="24"/>
      <c r="J1282" s="24"/>
      <c r="K1282" s="24"/>
      <c r="L1282" s="24"/>
      <c r="M1282" s="26"/>
      <c r="N1282" s="26"/>
      <c r="O1282" s="26"/>
      <c r="P1282" s="27"/>
      <c r="Q1282" s="27"/>
      <c r="R1282" s="27"/>
      <c r="S1282" s="22"/>
      <c r="T1282" s="22"/>
      <c r="U1282" s="28"/>
    </row>
    <row r="1283">
      <c r="A1283" s="189"/>
      <c r="B1283" s="22"/>
      <c r="C1283" s="22"/>
      <c r="D1283" s="22"/>
      <c r="E1283" s="22"/>
      <c r="F1283" s="22"/>
      <c r="G1283" s="22"/>
      <c r="H1283" s="22"/>
      <c r="I1283" s="24"/>
      <c r="J1283" s="24"/>
      <c r="K1283" s="24"/>
      <c r="L1283" s="24"/>
      <c r="M1283" s="26"/>
      <c r="N1283" s="26"/>
      <c r="O1283" s="26"/>
      <c r="P1283" s="27"/>
      <c r="Q1283" s="27"/>
      <c r="R1283" s="27"/>
      <c r="S1283" s="22"/>
      <c r="T1283" s="22"/>
      <c r="U1283" s="28"/>
    </row>
    <row r="1284">
      <c r="A1284" s="189"/>
      <c r="B1284" s="22"/>
      <c r="C1284" s="22"/>
      <c r="D1284" s="22"/>
      <c r="E1284" s="22"/>
      <c r="F1284" s="22"/>
      <c r="G1284" s="22"/>
      <c r="H1284" s="22"/>
      <c r="I1284" s="24"/>
      <c r="J1284" s="24"/>
      <c r="K1284" s="24"/>
      <c r="L1284" s="24"/>
      <c r="M1284" s="26"/>
      <c r="N1284" s="26"/>
      <c r="O1284" s="26"/>
      <c r="P1284" s="27"/>
      <c r="Q1284" s="27"/>
      <c r="R1284" s="27"/>
      <c r="S1284" s="22"/>
      <c r="T1284" s="22"/>
      <c r="U1284" s="28"/>
    </row>
    <row r="1285">
      <c r="A1285" s="189"/>
      <c r="B1285" s="22"/>
      <c r="C1285" s="22"/>
      <c r="D1285" s="22"/>
      <c r="E1285" s="22"/>
      <c r="F1285" s="22"/>
      <c r="G1285" s="22"/>
      <c r="H1285" s="22"/>
      <c r="I1285" s="24"/>
      <c r="J1285" s="24"/>
      <c r="K1285" s="24"/>
      <c r="L1285" s="24"/>
      <c r="M1285" s="26"/>
      <c r="N1285" s="26"/>
      <c r="O1285" s="26"/>
      <c r="P1285" s="27"/>
      <c r="Q1285" s="27"/>
      <c r="R1285" s="27"/>
      <c r="S1285" s="22"/>
      <c r="T1285" s="22"/>
      <c r="U1285" s="28"/>
    </row>
    <row r="1286">
      <c r="A1286" s="189"/>
      <c r="B1286" s="22"/>
      <c r="C1286" s="22"/>
      <c r="D1286" s="22"/>
      <c r="E1286" s="22"/>
      <c r="F1286" s="22"/>
      <c r="G1286" s="22"/>
      <c r="H1286" s="22"/>
      <c r="I1286" s="24"/>
      <c r="J1286" s="24"/>
      <c r="K1286" s="24"/>
      <c r="L1286" s="24"/>
      <c r="M1286" s="26"/>
      <c r="N1286" s="26"/>
      <c r="O1286" s="26"/>
      <c r="P1286" s="27"/>
      <c r="Q1286" s="27"/>
      <c r="R1286" s="27"/>
      <c r="S1286" s="22"/>
      <c r="T1286" s="22"/>
      <c r="U1286" s="28"/>
    </row>
    <row r="1287">
      <c r="A1287" s="189"/>
      <c r="B1287" s="22"/>
      <c r="C1287" s="22"/>
      <c r="D1287" s="22"/>
      <c r="E1287" s="22"/>
      <c r="F1287" s="22"/>
      <c r="G1287" s="22"/>
      <c r="H1287" s="22"/>
      <c r="I1287" s="24"/>
      <c r="J1287" s="24"/>
      <c r="K1287" s="24"/>
      <c r="L1287" s="24"/>
      <c r="M1287" s="26"/>
      <c r="N1287" s="26"/>
      <c r="O1287" s="26"/>
      <c r="P1287" s="27"/>
      <c r="Q1287" s="27"/>
      <c r="R1287" s="27"/>
      <c r="S1287" s="22"/>
      <c r="T1287" s="22"/>
      <c r="U1287" s="28"/>
    </row>
    <row r="1288">
      <c r="A1288" s="189"/>
      <c r="B1288" s="22"/>
      <c r="C1288" s="22"/>
      <c r="D1288" s="22"/>
      <c r="E1288" s="22"/>
      <c r="F1288" s="22"/>
      <c r="G1288" s="22"/>
      <c r="H1288" s="22"/>
      <c r="I1288" s="24"/>
      <c r="J1288" s="24"/>
      <c r="K1288" s="24"/>
      <c r="L1288" s="24"/>
      <c r="M1288" s="26"/>
      <c r="N1288" s="26"/>
      <c r="O1288" s="26"/>
      <c r="P1288" s="27"/>
      <c r="Q1288" s="27"/>
      <c r="R1288" s="27"/>
      <c r="S1288" s="22"/>
      <c r="T1288" s="22"/>
      <c r="U1288" s="28"/>
    </row>
    <row r="1289">
      <c r="A1289" s="189"/>
      <c r="B1289" s="22"/>
      <c r="C1289" s="22"/>
      <c r="D1289" s="22"/>
      <c r="E1289" s="22"/>
      <c r="F1289" s="22"/>
      <c r="G1289" s="22"/>
      <c r="H1289" s="22"/>
      <c r="I1289" s="24"/>
      <c r="J1289" s="24"/>
      <c r="K1289" s="24"/>
      <c r="L1289" s="24"/>
      <c r="M1289" s="26"/>
      <c r="N1289" s="26"/>
      <c r="O1289" s="26"/>
      <c r="P1289" s="27"/>
      <c r="Q1289" s="27"/>
      <c r="R1289" s="27"/>
      <c r="S1289" s="22"/>
      <c r="T1289" s="22"/>
      <c r="U1289" s="28"/>
    </row>
    <row r="1290">
      <c r="A1290" s="189"/>
      <c r="B1290" s="22"/>
      <c r="C1290" s="22"/>
      <c r="D1290" s="22"/>
      <c r="E1290" s="22"/>
      <c r="F1290" s="22"/>
      <c r="G1290" s="22"/>
      <c r="H1290" s="22"/>
      <c r="I1290" s="24"/>
      <c r="J1290" s="24"/>
      <c r="K1290" s="24"/>
      <c r="L1290" s="24"/>
      <c r="M1290" s="26"/>
      <c r="N1290" s="26"/>
      <c r="O1290" s="26"/>
      <c r="P1290" s="27"/>
      <c r="Q1290" s="27"/>
      <c r="R1290" s="27"/>
      <c r="S1290" s="22"/>
      <c r="T1290" s="22"/>
      <c r="U1290" s="28"/>
    </row>
    <row r="1291">
      <c r="A1291" s="189"/>
      <c r="B1291" s="22"/>
      <c r="C1291" s="22"/>
      <c r="D1291" s="22"/>
      <c r="E1291" s="22"/>
      <c r="F1291" s="22"/>
      <c r="G1291" s="22"/>
      <c r="H1291" s="22"/>
      <c r="I1291" s="24"/>
      <c r="J1291" s="24"/>
      <c r="K1291" s="24"/>
      <c r="L1291" s="24"/>
      <c r="M1291" s="26"/>
      <c r="N1291" s="26"/>
      <c r="O1291" s="26"/>
      <c r="P1291" s="27"/>
      <c r="Q1291" s="27"/>
      <c r="R1291" s="27"/>
      <c r="S1291" s="22"/>
      <c r="T1291" s="22"/>
      <c r="U1291" s="28"/>
    </row>
    <row r="1292">
      <c r="A1292" s="189"/>
      <c r="B1292" s="22"/>
      <c r="C1292" s="22"/>
      <c r="D1292" s="22"/>
      <c r="E1292" s="22"/>
      <c r="F1292" s="22"/>
      <c r="G1292" s="22"/>
      <c r="H1292" s="22"/>
      <c r="I1292" s="24"/>
      <c r="J1292" s="24"/>
      <c r="K1292" s="24"/>
      <c r="L1292" s="24"/>
      <c r="M1292" s="26"/>
      <c r="N1292" s="26"/>
      <c r="O1292" s="26"/>
      <c r="P1292" s="27"/>
      <c r="Q1292" s="27"/>
      <c r="R1292" s="27"/>
      <c r="S1292" s="22"/>
      <c r="T1292" s="22"/>
      <c r="U1292" s="28"/>
    </row>
    <row r="1293">
      <c r="A1293" s="189"/>
      <c r="B1293" s="22"/>
      <c r="C1293" s="22"/>
      <c r="D1293" s="22"/>
      <c r="E1293" s="22"/>
      <c r="F1293" s="22"/>
      <c r="G1293" s="22"/>
      <c r="H1293" s="22"/>
      <c r="I1293" s="24"/>
      <c r="J1293" s="24"/>
      <c r="K1293" s="24"/>
      <c r="L1293" s="24"/>
      <c r="M1293" s="26"/>
      <c r="N1293" s="26"/>
      <c r="O1293" s="26"/>
      <c r="P1293" s="27"/>
      <c r="Q1293" s="27"/>
      <c r="R1293" s="27"/>
      <c r="S1293" s="22"/>
      <c r="T1293" s="22"/>
      <c r="U1293" s="28"/>
    </row>
    <row r="1294">
      <c r="A1294" s="189"/>
      <c r="B1294" s="22"/>
      <c r="C1294" s="22"/>
      <c r="D1294" s="22"/>
      <c r="E1294" s="22"/>
      <c r="F1294" s="22"/>
      <c r="G1294" s="22"/>
      <c r="H1294" s="22"/>
      <c r="I1294" s="24"/>
      <c r="J1294" s="24"/>
      <c r="K1294" s="24"/>
      <c r="L1294" s="24"/>
      <c r="M1294" s="26"/>
      <c r="N1294" s="26"/>
      <c r="O1294" s="26"/>
      <c r="P1294" s="27"/>
      <c r="Q1294" s="27"/>
      <c r="R1294" s="27"/>
      <c r="S1294" s="22"/>
      <c r="T1294" s="22"/>
      <c r="U1294" s="28"/>
    </row>
    <row r="1295">
      <c r="A1295" s="189"/>
      <c r="B1295" s="22"/>
      <c r="C1295" s="22"/>
      <c r="D1295" s="22"/>
      <c r="E1295" s="22"/>
      <c r="F1295" s="22"/>
      <c r="G1295" s="22"/>
      <c r="H1295" s="22"/>
      <c r="I1295" s="24"/>
      <c r="J1295" s="24"/>
      <c r="K1295" s="24"/>
      <c r="L1295" s="24"/>
      <c r="M1295" s="26"/>
      <c r="N1295" s="26"/>
      <c r="O1295" s="26"/>
      <c r="P1295" s="27"/>
      <c r="Q1295" s="27"/>
      <c r="R1295" s="27"/>
      <c r="S1295" s="22"/>
      <c r="T1295" s="22"/>
      <c r="U1295" s="28"/>
    </row>
    <row r="1296">
      <c r="A1296" s="189"/>
      <c r="B1296" s="22"/>
      <c r="C1296" s="22"/>
      <c r="D1296" s="22"/>
      <c r="E1296" s="22"/>
      <c r="F1296" s="22"/>
      <c r="G1296" s="22"/>
      <c r="H1296" s="22"/>
      <c r="I1296" s="24"/>
      <c r="J1296" s="24"/>
      <c r="K1296" s="24"/>
      <c r="L1296" s="24"/>
      <c r="M1296" s="26"/>
      <c r="N1296" s="26"/>
      <c r="O1296" s="26"/>
      <c r="P1296" s="27"/>
      <c r="Q1296" s="27"/>
      <c r="R1296" s="27"/>
      <c r="S1296" s="22"/>
      <c r="T1296" s="22"/>
      <c r="U1296" s="28"/>
    </row>
    <row r="1297">
      <c r="A1297" s="189"/>
      <c r="B1297" s="22"/>
      <c r="C1297" s="22"/>
      <c r="D1297" s="22"/>
      <c r="E1297" s="22"/>
      <c r="F1297" s="22"/>
      <c r="G1297" s="22"/>
      <c r="H1297" s="22"/>
      <c r="I1297" s="24"/>
      <c r="J1297" s="24"/>
      <c r="K1297" s="24"/>
      <c r="L1297" s="24"/>
      <c r="M1297" s="26"/>
      <c r="N1297" s="26"/>
      <c r="O1297" s="26"/>
      <c r="P1297" s="27"/>
      <c r="Q1297" s="27"/>
      <c r="R1297" s="27"/>
      <c r="S1297" s="22"/>
      <c r="T1297" s="22"/>
      <c r="U1297" s="28"/>
    </row>
    <row r="1298">
      <c r="A1298" s="189"/>
      <c r="B1298" s="22"/>
      <c r="C1298" s="22"/>
      <c r="D1298" s="22"/>
      <c r="E1298" s="22"/>
      <c r="F1298" s="22"/>
      <c r="G1298" s="22"/>
      <c r="H1298" s="22"/>
      <c r="I1298" s="24"/>
      <c r="J1298" s="24"/>
      <c r="K1298" s="24"/>
      <c r="L1298" s="24"/>
      <c r="M1298" s="26"/>
      <c r="N1298" s="26"/>
      <c r="O1298" s="26"/>
      <c r="P1298" s="27"/>
      <c r="Q1298" s="27"/>
      <c r="R1298" s="27"/>
      <c r="S1298" s="22"/>
      <c r="T1298" s="22"/>
      <c r="U1298" s="28"/>
    </row>
    <row r="1299">
      <c r="A1299" s="189"/>
      <c r="B1299" s="22"/>
      <c r="C1299" s="22"/>
      <c r="D1299" s="22"/>
      <c r="E1299" s="22"/>
      <c r="F1299" s="22"/>
      <c r="G1299" s="22"/>
      <c r="H1299" s="22"/>
      <c r="I1299" s="24"/>
      <c r="J1299" s="24"/>
      <c r="K1299" s="24"/>
      <c r="L1299" s="24"/>
      <c r="M1299" s="26"/>
      <c r="N1299" s="26"/>
      <c r="O1299" s="26"/>
      <c r="P1299" s="27"/>
      <c r="Q1299" s="27"/>
      <c r="R1299" s="27"/>
      <c r="S1299" s="22"/>
      <c r="T1299" s="22"/>
      <c r="U1299" s="28"/>
    </row>
    <row r="1300">
      <c r="A1300" s="189"/>
      <c r="B1300" s="22"/>
      <c r="C1300" s="22"/>
      <c r="D1300" s="22"/>
      <c r="E1300" s="22"/>
      <c r="F1300" s="22"/>
      <c r="G1300" s="22"/>
      <c r="H1300" s="22"/>
      <c r="I1300" s="24"/>
      <c r="J1300" s="24"/>
      <c r="K1300" s="24"/>
      <c r="L1300" s="24"/>
      <c r="M1300" s="26"/>
      <c r="N1300" s="26"/>
      <c r="O1300" s="26"/>
      <c r="P1300" s="27"/>
      <c r="Q1300" s="27"/>
      <c r="R1300" s="27"/>
      <c r="S1300" s="22"/>
      <c r="T1300" s="22"/>
      <c r="U1300" s="28"/>
    </row>
    <row r="1301">
      <c r="A1301" s="189"/>
      <c r="B1301" s="22"/>
      <c r="C1301" s="22"/>
      <c r="D1301" s="22"/>
      <c r="E1301" s="22"/>
      <c r="F1301" s="22"/>
      <c r="G1301" s="22"/>
      <c r="H1301" s="22"/>
      <c r="I1301" s="24"/>
      <c r="J1301" s="24"/>
      <c r="K1301" s="24"/>
      <c r="L1301" s="24"/>
      <c r="M1301" s="26"/>
      <c r="N1301" s="26"/>
      <c r="O1301" s="26"/>
      <c r="P1301" s="27"/>
      <c r="Q1301" s="27"/>
      <c r="R1301" s="27"/>
      <c r="S1301" s="22"/>
      <c r="T1301" s="22"/>
      <c r="U1301" s="28"/>
    </row>
    <row r="1302">
      <c r="A1302" s="189"/>
      <c r="B1302" s="22"/>
      <c r="C1302" s="22"/>
      <c r="D1302" s="22"/>
      <c r="E1302" s="22"/>
      <c r="F1302" s="22"/>
      <c r="G1302" s="22"/>
      <c r="H1302" s="22"/>
      <c r="I1302" s="24"/>
      <c r="J1302" s="24"/>
      <c r="K1302" s="24"/>
      <c r="L1302" s="24"/>
      <c r="M1302" s="26"/>
      <c r="N1302" s="26"/>
      <c r="O1302" s="26"/>
      <c r="P1302" s="27"/>
      <c r="Q1302" s="27"/>
      <c r="R1302" s="27"/>
      <c r="S1302" s="22"/>
      <c r="T1302" s="22"/>
      <c r="U1302" s="28"/>
    </row>
    <row r="1303">
      <c r="A1303" s="189"/>
      <c r="B1303" s="22"/>
      <c r="C1303" s="22"/>
      <c r="D1303" s="22"/>
      <c r="E1303" s="22"/>
      <c r="F1303" s="22"/>
      <c r="G1303" s="22"/>
      <c r="H1303" s="22"/>
      <c r="I1303" s="24"/>
      <c r="J1303" s="24"/>
      <c r="K1303" s="24"/>
      <c r="L1303" s="24"/>
      <c r="M1303" s="26"/>
      <c r="N1303" s="26"/>
      <c r="O1303" s="26"/>
      <c r="P1303" s="27"/>
      <c r="Q1303" s="27"/>
      <c r="R1303" s="27"/>
      <c r="S1303" s="22"/>
      <c r="T1303" s="22"/>
      <c r="U1303" s="28"/>
    </row>
    <row r="1304">
      <c r="A1304" s="189"/>
      <c r="B1304" s="22"/>
      <c r="C1304" s="22"/>
      <c r="D1304" s="22"/>
      <c r="E1304" s="22"/>
      <c r="F1304" s="22"/>
      <c r="G1304" s="22"/>
      <c r="H1304" s="22"/>
      <c r="I1304" s="24"/>
      <c r="J1304" s="24"/>
      <c r="K1304" s="24"/>
      <c r="L1304" s="24"/>
      <c r="M1304" s="26"/>
      <c r="N1304" s="26"/>
      <c r="O1304" s="26"/>
      <c r="P1304" s="27"/>
      <c r="Q1304" s="27"/>
      <c r="R1304" s="27"/>
      <c r="S1304" s="22"/>
      <c r="T1304" s="22"/>
      <c r="U1304" s="28"/>
    </row>
    <row r="1305">
      <c r="A1305" s="189"/>
      <c r="B1305" s="22"/>
      <c r="C1305" s="22"/>
      <c r="D1305" s="22"/>
      <c r="E1305" s="22"/>
      <c r="F1305" s="22"/>
      <c r="G1305" s="22"/>
      <c r="H1305" s="22"/>
      <c r="I1305" s="24"/>
      <c r="J1305" s="24"/>
      <c r="K1305" s="24"/>
      <c r="L1305" s="24"/>
      <c r="M1305" s="26"/>
      <c r="N1305" s="26"/>
      <c r="O1305" s="26"/>
      <c r="P1305" s="27"/>
      <c r="Q1305" s="27"/>
      <c r="R1305" s="27"/>
      <c r="S1305" s="22"/>
      <c r="T1305" s="22"/>
      <c r="U1305" s="28"/>
    </row>
    <row r="1306">
      <c r="A1306" s="189"/>
      <c r="B1306" s="22"/>
      <c r="C1306" s="22"/>
      <c r="D1306" s="22"/>
      <c r="E1306" s="22"/>
      <c r="F1306" s="22"/>
      <c r="G1306" s="22"/>
      <c r="H1306" s="22"/>
      <c r="I1306" s="24"/>
      <c r="J1306" s="24"/>
      <c r="K1306" s="24"/>
      <c r="L1306" s="24"/>
      <c r="M1306" s="26"/>
      <c r="N1306" s="26"/>
      <c r="O1306" s="26"/>
      <c r="P1306" s="27"/>
      <c r="Q1306" s="27"/>
      <c r="R1306" s="27"/>
      <c r="S1306" s="22"/>
      <c r="T1306" s="22"/>
      <c r="U1306" s="28"/>
    </row>
    <row r="1307">
      <c r="A1307" s="189"/>
      <c r="B1307" s="22"/>
      <c r="C1307" s="22"/>
      <c r="D1307" s="22"/>
      <c r="E1307" s="22"/>
      <c r="F1307" s="22"/>
      <c r="G1307" s="22"/>
      <c r="H1307" s="22"/>
      <c r="I1307" s="24"/>
      <c r="J1307" s="24"/>
      <c r="K1307" s="24"/>
      <c r="L1307" s="24"/>
      <c r="M1307" s="26"/>
      <c r="N1307" s="26"/>
      <c r="O1307" s="26"/>
      <c r="P1307" s="27"/>
      <c r="Q1307" s="27"/>
      <c r="R1307" s="27"/>
      <c r="S1307" s="22"/>
      <c r="T1307" s="22"/>
      <c r="U1307" s="28"/>
    </row>
    <row r="1308">
      <c r="A1308" s="189"/>
      <c r="B1308" s="22"/>
      <c r="C1308" s="22"/>
      <c r="D1308" s="22"/>
      <c r="E1308" s="22"/>
      <c r="F1308" s="22"/>
      <c r="G1308" s="22"/>
      <c r="H1308" s="22"/>
      <c r="I1308" s="24"/>
      <c r="J1308" s="24"/>
      <c r="K1308" s="24"/>
      <c r="L1308" s="24"/>
      <c r="M1308" s="26"/>
      <c r="N1308" s="26"/>
      <c r="O1308" s="26"/>
      <c r="P1308" s="27"/>
      <c r="Q1308" s="27"/>
      <c r="R1308" s="27"/>
      <c r="S1308" s="22"/>
      <c r="T1308" s="22"/>
      <c r="U1308" s="28"/>
    </row>
    <row r="1309">
      <c r="A1309" s="189"/>
      <c r="B1309" s="22"/>
      <c r="C1309" s="22"/>
      <c r="D1309" s="22"/>
      <c r="E1309" s="22"/>
      <c r="F1309" s="22"/>
      <c r="G1309" s="22"/>
      <c r="H1309" s="22"/>
      <c r="I1309" s="24"/>
      <c r="J1309" s="24"/>
      <c r="K1309" s="24"/>
      <c r="L1309" s="24"/>
      <c r="M1309" s="26"/>
      <c r="N1309" s="26"/>
      <c r="O1309" s="26"/>
      <c r="P1309" s="27"/>
      <c r="Q1309" s="27"/>
      <c r="R1309" s="27"/>
      <c r="S1309" s="22"/>
      <c r="T1309" s="22"/>
      <c r="U1309" s="28"/>
    </row>
    <row r="1310">
      <c r="A1310" s="189"/>
      <c r="B1310" s="22"/>
      <c r="C1310" s="22"/>
      <c r="D1310" s="22"/>
      <c r="E1310" s="22"/>
      <c r="F1310" s="22"/>
      <c r="G1310" s="22"/>
      <c r="H1310" s="22"/>
      <c r="I1310" s="24"/>
      <c r="J1310" s="24"/>
      <c r="K1310" s="24"/>
      <c r="L1310" s="24"/>
      <c r="M1310" s="26"/>
      <c r="N1310" s="26"/>
      <c r="O1310" s="26"/>
      <c r="P1310" s="27"/>
      <c r="Q1310" s="27"/>
      <c r="R1310" s="27"/>
      <c r="S1310" s="22"/>
      <c r="T1310" s="22"/>
      <c r="U1310" s="28"/>
    </row>
    <row r="1311">
      <c r="A1311" s="189"/>
      <c r="B1311" s="22"/>
      <c r="C1311" s="22"/>
      <c r="D1311" s="22"/>
      <c r="E1311" s="22"/>
      <c r="F1311" s="22"/>
      <c r="G1311" s="22"/>
      <c r="H1311" s="22"/>
      <c r="I1311" s="24"/>
      <c r="J1311" s="24"/>
      <c r="K1311" s="24"/>
      <c r="L1311" s="24"/>
      <c r="M1311" s="26"/>
      <c r="N1311" s="26"/>
      <c r="O1311" s="26"/>
      <c r="P1311" s="27"/>
      <c r="Q1311" s="27"/>
      <c r="R1311" s="27"/>
      <c r="S1311" s="22"/>
      <c r="T1311" s="22"/>
      <c r="U1311" s="28"/>
    </row>
    <row r="1312">
      <c r="A1312" s="189"/>
      <c r="B1312" s="22"/>
      <c r="C1312" s="22"/>
      <c r="D1312" s="22"/>
      <c r="E1312" s="22"/>
      <c r="F1312" s="22"/>
      <c r="G1312" s="22"/>
      <c r="H1312" s="22"/>
      <c r="I1312" s="24"/>
      <c r="J1312" s="24"/>
      <c r="K1312" s="24"/>
      <c r="L1312" s="24"/>
      <c r="M1312" s="26"/>
      <c r="N1312" s="26"/>
      <c r="O1312" s="26"/>
      <c r="P1312" s="27"/>
      <c r="Q1312" s="27"/>
      <c r="R1312" s="27"/>
      <c r="S1312" s="22"/>
      <c r="T1312" s="22"/>
      <c r="U1312" s="28"/>
    </row>
    <row r="1313">
      <c r="A1313" s="189"/>
      <c r="B1313" s="22"/>
      <c r="C1313" s="22"/>
      <c r="D1313" s="22"/>
      <c r="E1313" s="22"/>
      <c r="F1313" s="22"/>
      <c r="G1313" s="22"/>
      <c r="H1313" s="22"/>
      <c r="I1313" s="24"/>
      <c r="J1313" s="24"/>
      <c r="K1313" s="24"/>
      <c r="L1313" s="24"/>
      <c r="M1313" s="26"/>
      <c r="N1313" s="26"/>
      <c r="O1313" s="26"/>
      <c r="P1313" s="27"/>
      <c r="Q1313" s="27"/>
      <c r="R1313" s="27"/>
      <c r="S1313" s="22"/>
      <c r="T1313" s="22"/>
      <c r="U1313" s="28"/>
    </row>
    <row r="1314">
      <c r="A1314" s="189"/>
      <c r="B1314" s="22"/>
      <c r="C1314" s="22"/>
      <c r="D1314" s="22"/>
      <c r="E1314" s="22"/>
      <c r="F1314" s="22"/>
      <c r="G1314" s="22"/>
      <c r="H1314" s="22"/>
      <c r="I1314" s="24"/>
      <c r="J1314" s="24"/>
      <c r="K1314" s="24"/>
      <c r="L1314" s="24"/>
      <c r="M1314" s="26"/>
      <c r="N1314" s="26"/>
      <c r="O1314" s="26"/>
      <c r="P1314" s="27"/>
      <c r="Q1314" s="27"/>
      <c r="R1314" s="27"/>
      <c r="S1314" s="22"/>
      <c r="T1314" s="22"/>
      <c r="U1314" s="28"/>
    </row>
    <row r="1315">
      <c r="A1315" s="189"/>
      <c r="B1315" s="22"/>
      <c r="C1315" s="22"/>
      <c r="D1315" s="22"/>
      <c r="E1315" s="22"/>
      <c r="F1315" s="22"/>
      <c r="G1315" s="22"/>
      <c r="H1315" s="22"/>
      <c r="I1315" s="24"/>
      <c r="J1315" s="24"/>
      <c r="K1315" s="24"/>
      <c r="L1315" s="24"/>
      <c r="M1315" s="26"/>
      <c r="N1315" s="26"/>
      <c r="O1315" s="26"/>
      <c r="P1315" s="27"/>
      <c r="Q1315" s="27"/>
      <c r="R1315" s="27"/>
      <c r="S1315" s="22"/>
      <c r="T1315" s="22"/>
      <c r="U1315" s="28"/>
    </row>
    <row r="1316">
      <c r="A1316" s="189"/>
      <c r="B1316" s="22"/>
      <c r="C1316" s="22"/>
      <c r="D1316" s="22"/>
      <c r="E1316" s="22"/>
      <c r="F1316" s="22"/>
      <c r="G1316" s="22"/>
      <c r="H1316" s="22"/>
      <c r="I1316" s="24"/>
      <c r="J1316" s="24"/>
      <c r="K1316" s="24"/>
      <c r="L1316" s="24"/>
      <c r="M1316" s="26"/>
      <c r="N1316" s="26"/>
      <c r="O1316" s="26"/>
      <c r="P1316" s="27"/>
      <c r="Q1316" s="27"/>
      <c r="R1316" s="27"/>
      <c r="S1316" s="22"/>
      <c r="T1316" s="22"/>
      <c r="U1316" s="28"/>
    </row>
    <row r="1317">
      <c r="A1317" s="189"/>
      <c r="B1317" s="22"/>
      <c r="C1317" s="22"/>
      <c r="D1317" s="22"/>
      <c r="E1317" s="22"/>
      <c r="F1317" s="22"/>
      <c r="G1317" s="22"/>
      <c r="H1317" s="22"/>
      <c r="I1317" s="24"/>
      <c r="J1317" s="24"/>
      <c r="K1317" s="24"/>
      <c r="L1317" s="24"/>
      <c r="M1317" s="26"/>
      <c r="N1317" s="26"/>
      <c r="O1317" s="26"/>
      <c r="P1317" s="27"/>
      <c r="Q1317" s="27"/>
      <c r="R1317" s="27"/>
      <c r="S1317" s="22"/>
      <c r="T1317" s="22"/>
      <c r="U1317" s="28"/>
    </row>
    <row r="1318">
      <c r="A1318" s="189"/>
      <c r="B1318" s="22"/>
      <c r="C1318" s="22"/>
      <c r="D1318" s="22"/>
      <c r="E1318" s="22"/>
      <c r="F1318" s="22"/>
      <c r="G1318" s="22"/>
      <c r="H1318" s="22"/>
      <c r="I1318" s="24"/>
      <c r="J1318" s="24"/>
      <c r="K1318" s="24"/>
      <c r="L1318" s="24"/>
      <c r="M1318" s="26"/>
      <c r="N1318" s="26"/>
      <c r="O1318" s="26"/>
      <c r="P1318" s="27"/>
      <c r="Q1318" s="27"/>
      <c r="R1318" s="27"/>
      <c r="S1318" s="22"/>
      <c r="T1318" s="22"/>
      <c r="U1318" s="28"/>
    </row>
    <row r="1319">
      <c r="A1319" s="189"/>
      <c r="B1319" s="22"/>
      <c r="C1319" s="22"/>
      <c r="D1319" s="22"/>
      <c r="E1319" s="22"/>
      <c r="F1319" s="22"/>
      <c r="G1319" s="22"/>
      <c r="H1319" s="22"/>
      <c r="I1319" s="24"/>
      <c r="J1319" s="24"/>
      <c r="K1319" s="24"/>
      <c r="L1319" s="24"/>
      <c r="M1319" s="26"/>
      <c r="N1319" s="26"/>
      <c r="O1319" s="26"/>
      <c r="P1319" s="27"/>
      <c r="Q1319" s="27"/>
      <c r="R1319" s="27"/>
      <c r="S1319" s="22"/>
      <c r="T1319" s="22"/>
      <c r="U1319" s="28"/>
    </row>
    <row r="1320">
      <c r="A1320" s="189"/>
      <c r="B1320" s="22"/>
      <c r="C1320" s="22"/>
      <c r="D1320" s="22"/>
      <c r="E1320" s="22"/>
      <c r="F1320" s="22"/>
      <c r="G1320" s="22"/>
      <c r="H1320" s="22"/>
      <c r="I1320" s="24"/>
      <c r="J1320" s="24"/>
      <c r="K1320" s="24"/>
      <c r="L1320" s="24"/>
      <c r="M1320" s="26"/>
      <c r="N1320" s="26"/>
      <c r="O1320" s="26"/>
      <c r="P1320" s="27"/>
      <c r="Q1320" s="27"/>
      <c r="R1320" s="27"/>
      <c r="S1320" s="22"/>
      <c r="T1320" s="22"/>
      <c r="U1320" s="28"/>
    </row>
    <row r="1321">
      <c r="A1321" s="189"/>
      <c r="B1321" s="22"/>
      <c r="C1321" s="22"/>
      <c r="D1321" s="22"/>
      <c r="E1321" s="22"/>
      <c r="F1321" s="22"/>
      <c r="G1321" s="22"/>
      <c r="H1321" s="22"/>
      <c r="I1321" s="24"/>
      <c r="J1321" s="24"/>
      <c r="K1321" s="24"/>
      <c r="L1321" s="24"/>
      <c r="M1321" s="26"/>
      <c r="N1321" s="26"/>
      <c r="O1321" s="26"/>
      <c r="P1321" s="27"/>
      <c r="Q1321" s="27"/>
      <c r="R1321" s="27"/>
      <c r="S1321" s="22"/>
      <c r="T1321" s="22"/>
      <c r="U1321" s="28"/>
    </row>
    <row r="1322">
      <c r="A1322" s="189"/>
      <c r="B1322" s="22"/>
      <c r="C1322" s="22"/>
      <c r="D1322" s="22"/>
      <c r="E1322" s="22"/>
      <c r="F1322" s="22"/>
      <c r="G1322" s="22"/>
      <c r="H1322" s="22"/>
      <c r="I1322" s="24"/>
      <c r="J1322" s="24"/>
      <c r="K1322" s="24"/>
      <c r="L1322" s="24"/>
      <c r="M1322" s="26"/>
      <c r="N1322" s="26"/>
      <c r="O1322" s="26"/>
      <c r="P1322" s="27"/>
      <c r="Q1322" s="27"/>
      <c r="R1322" s="27"/>
      <c r="S1322" s="22"/>
      <c r="T1322" s="22"/>
      <c r="U1322" s="28"/>
    </row>
    <row r="1323">
      <c r="A1323" s="189"/>
      <c r="B1323" s="22"/>
      <c r="C1323" s="22"/>
      <c r="D1323" s="22"/>
      <c r="E1323" s="22"/>
      <c r="F1323" s="22"/>
      <c r="G1323" s="22"/>
      <c r="H1323" s="22"/>
      <c r="I1323" s="24"/>
      <c r="J1323" s="24"/>
      <c r="K1323" s="24"/>
      <c r="L1323" s="24"/>
      <c r="M1323" s="26"/>
      <c r="N1323" s="26"/>
      <c r="O1323" s="26"/>
      <c r="P1323" s="27"/>
      <c r="Q1323" s="27"/>
      <c r="R1323" s="27"/>
      <c r="S1323" s="22"/>
      <c r="T1323" s="22"/>
      <c r="U1323" s="28"/>
    </row>
    <row r="1324">
      <c r="A1324" s="189"/>
      <c r="B1324" s="22"/>
      <c r="C1324" s="22"/>
      <c r="D1324" s="22"/>
      <c r="E1324" s="22"/>
      <c r="F1324" s="22"/>
      <c r="G1324" s="22"/>
      <c r="H1324" s="22"/>
      <c r="I1324" s="24"/>
      <c r="J1324" s="24"/>
      <c r="K1324" s="24"/>
      <c r="L1324" s="24"/>
      <c r="M1324" s="26"/>
      <c r="N1324" s="26"/>
      <c r="O1324" s="26"/>
      <c r="P1324" s="27"/>
      <c r="Q1324" s="27"/>
      <c r="R1324" s="27"/>
      <c r="S1324" s="22"/>
      <c r="T1324" s="22"/>
      <c r="U1324" s="28"/>
    </row>
    <row r="1325">
      <c r="A1325" s="189"/>
      <c r="B1325" s="22"/>
      <c r="C1325" s="22"/>
      <c r="D1325" s="22"/>
      <c r="E1325" s="22"/>
      <c r="F1325" s="22"/>
      <c r="G1325" s="22"/>
      <c r="H1325" s="22"/>
      <c r="I1325" s="24"/>
      <c r="J1325" s="24"/>
      <c r="K1325" s="24"/>
      <c r="L1325" s="24"/>
      <c r="M1325" s="26"/>
      <c r="N1325" s="26"/>
      <c r="O1325" s="26"/>
      <c r="P1325" s="27"/>
      <c r="Q1325" s="27"/>
      <c r="R1325" s="27"/>
      <c r="S1325" s="22"/>
      <c r="T1325" s="22"/>
      <c r="U1325" s="28"/>
    </row>
    <row r="1326">
      <c r="A1326" s="189"/>
      <c r="B1326" s="22"/>
      <c r="C1326" s="22"/>
      <c r="D1326" s="22"/>
      <c r="E1326" s="22"/>
      <c r="F1326" s="22"/>
      <c r="G1326" s="22"/>
      <c r="H1326" s="22"/>
      <c r="I1326" s="24"/>
      <c r="J1326" s="24"/>
      <c r="K1326" s="24"/>
      <c r="L1326" s="24"/>
      <c r="M1326" s="26"/>
      <c r="N1326" s="26"/>
      <c r="O1326" s="26"/>
      <c r="P1326" s="27"/>
      <c r="Q1326" s="27"/>
      <c r="R1326" s="27"/>
      <c r="S1326" s="22"/>
      <c r="T1326" s="22"/>
      <c r="U1326" s="28"/>
    </row>
    <row r="1327">
      <c r="A1327" s="189"/>
      <c r="B1327" s="22"/>
      <c r="C1327" s="22"/>
      <c r="D1327" s="22"/>
      <c r="E1327" s="22"/>
      <c r="F1327" s="22"/>
      <c r="G1327" s="22"/>
      <c r="H1327" s="22"/>
      <c r="I1327" s="24"/>
      <c r="J1327" s="24"/>
      <c r="K1327" s="24"/>
      <c r="L1327" s="24"/>
      <c r="M1327" s="26"/>
      <c r="N1327" s="26"/>
      <c r="O1327" s="26"/>
      <c r="P1327" s="27"/>
      <c r="Q1327" s="27"/>
      <c r="R1327" s="27"/>
      <c r="S1327" s="22"/>
      <c r="T1327" s="22"/>
      <c r="U1327" s="28"/>
    </row>
    <row r="1328">
      <c r="A1328" s="189"/>
      <c r="B1328" s="22"/>
      <c r="C1328" s="22"/>
      <c r="D1328" s="22"/>
      <c r="E1328" s="22"/>
      <c r="F1328" s="22"/>
      <c r="G1328" s="22"/>
      <c r="H1328" s="22"/>
      <c r="I1328" s="24"/>
      <c r="J1328" s="24"/>
      <c r="K1328" s="24"/>
      <c r="L1328" s="24"/>
      <c r="M1328" s="26"/>
      <c r="N1328" s="26"/>
      <c r="O1328" s="26"/>
      <c r="P1328" s="27"/>
      <c r="Q1328" s="27"/>
      <c r="R1328" s="27"/>
      <c r="S1328" s="22"/>
      <c r="T1328" s="22"/>
      <c r="U1328" s="28"/>
    </row>
    <row r="1329">
      <c r="A1329" s="189"/>
      <c r="B1329" s="22"/>
      <c r="C1329" s="22"/>
      <c r="D1329" s="22"/>
      <c r="E1329" s="22"/>
      <c r="F1329" s="22"/>
      <c r="G1329" s="22"/>
      <c r="H1329" s="22"/>
      <c r="I1329" s="24"/>
      <c r="J1329" s="24"/>
      <c r="K1329" s="24"/>
      <c r="L1329" s="24"/>
      <c r="M1329" s="26"/>
      <c r="N1329" s="26"/>
      <c r="O1329" s="26"/>
      <c r="P1329" s="27"/>
      <c r="Q1329" s="27"/>
      <c r="R1329" s="27"/>
      <c r="S1329" s="22"/>
      <c r="T1329" s="22"/>
      <c r="U1329" s="28"/>
    </row>
    <row r="1330">
      <c r="A1330" s="189"/>
      <c r="B1330" s="22"/>
      <c r="C1330" s="22"/>
      <c r="D1330" s="22"/>
      <c r="E1330" s="22"/>
      <c r="F1330" s="22"/>
      <c r="G1330" s="22"/>
      <c r="H1330" s="22"/>
      <c r="I1330" s="24"/>
      <c r="J1330" s="24"/>
      <c r="K1330" s="24"/>
      <c r="L1330" s="24"/>
      <c r="M1330" s="26"/>
      <c r="N1330" s="26"/>
      <c r="O1330" s="26"/>
      <c r="P1330" s="27"/>
      <c r="Q1330" s="27"/>
      <c r="R1330" s="27"/>
      <c r="S1330" s="22"/>
      <c r="T1330" s="22"/>
      <c r="U1330" s="28"/>
    </row>
    <row r="1331">
      <c r="A1331" s="189"/>
      <c r="B1331" s="22"/>
      <c r="C1331" s="22"/>
      <c r="D1331" s="22"/>
      <c r="E1331" s="22"/>
      <c r="F1331" s="22"/>
      <c r="G1331" s="22"/>
      <c r="H1331" s="22"/>
      <c r="I1331" s="24"/>
      <c r="J1331" s="24"/>
      <c r="K1331" s="24"/>
      <c r="L1331" s="24"/>
      <c r="M1331" s="26"/>
      <c r="N1331" s="26"/>
      <c r="O1331" s="26"/>
      <c r="P1331" s="27"/>
      <c r="Q1331" s="27"/>
      <c r="R1331" s="27"/>
      <c r="S1331" s="22"/>
      <c r="T1331" s="22"/>
      <c r="U1331" s="28"/>
    </row>
    <row r="1332">
      <c r="A1332" s="189"/>
      <c r="B1332" s="22"/>
      <c r="C1332" s="22"/>
      <c r="D1332" s="22"/>
      <c r="E1332" s="22"/>
      <c r="F1332" s="22"/>
      <c r="G1332" s="22"/>
      <c r="H1332" s="22"/>
      <c r="I1332" s="24"/>
      <c r="J1332" s="24"/>
      <c r="K1332" s="24"/>
      <c r="L1332" s="24"/>
      <c r="M1332" s="26"/>
      <c r="N1332" s="26"/>
      <c r="O1332" s="26"/>
      <c r="P1332" s="27"/>
      <c r="Q1332" s="27"/>
      <c r="R1332" s="27"/>
      <c r="S1332" s="22"/>
      <c r="T1332" s="22"/>
      <c r="U1332" s="28"/>
    </row>
    <row r="1333">
      <c r="A1333" s="189"/>
      <c r="B1333" s="22"/>
      <c r="C1333" s="22"/>
      <c r="D1333" s="22"/>
      <c r="E1333" s="22"/>
      <c r="F1333" s="22"/>
      <c r="G1333" s="22"/>
      <c r="H1333" s="22"/>
      <c r="I1333" s="24"/>
      <c r="J1333" s="24"/>
      <c r="K1333" s="24"/>
      <c r="L1333" s="24"/>
      <c r="M1333" s="26"/>
      <c r="N1333" s="26"/>
      <c r="O1333" s="26"/>
      <c r="P1333" s="27"/>
      <c r="Q1333" s="27"/>
      <c r="R1333" s="27"/>
      <c r="S1333" s="22"/>
      <c r="T1333" s="22"/>
      <c r="U1333" s="28"/>
    </row>
    <row r="1334">
      <c r="A1334" s="189"/>
      <c r="B1334" s="22"/>
      <c r="C1334" s="22"/>
      <c r="D1334" s="22"/>
      <c r="E1334" s="22"/>
      <c r="F1334" s="22"/>
      <c r="G1334" s="22"/>
      <c r="H1334" s="22"/>
      <c r="I1334" s="24"/>
      <c r="J1334" s="24"/>
      <c r="K1334" s="24"/>
      <c r="L1334" s="24"/>
      <c r="M1334" s="26"/>
      <c r="N1334" s="26"/>
      <c r="O1334" s="26"/>
      <c r="P1334" s="27"/>
      <c r="Q1334" s="27"/>
      <c r="R1334" s="27"/>
      <c r="S1334" s="22"/>
      <c r="T1334" s="22"/>
      <c r="U1334" s="28"/>
    </row>
    <row r="1335">
      <c r="A1335" s="189"/>
      <c r="B1335" s="22"/>
      <c r="C1335" s="22"/>
      <c r="D1335" s="22"/>
      <c r="E1335" s="22"/>
      <c r="F1335" s="22"/>
      <c r="G1335" s="22"/>
      <c r="H1335" s="22"/>
      <c r="I1335" s="24"/>
      <c r="J1335" s="24"/>
      <c r="K1335" s="24"/>
      <c r="L1335" s="24"/>
      <c r="M1335" s="26"/>
      <c r="N1335" s="26"/>
      <c r="O1335" s="26"/>
      <c r="P1335" s="27"/>
      <c r="Q1335" s="27"/>
      <c r="R1335" s="27"/>
      <c r="S1335" s="22"/>
      <c r="T1335" s="22"/>
      <c r="U1335" s="28"/>
    </row>
    <row r="1336">
      <c r="A1336" s="189"/>
      <c r="B1336" s="22"/>
      <c r="C1336" s="22"/>
      <c r="D1336" s="22"/>
      <c r="E1336" s="22"/>
      <c r="F1336" s="22"/>
      <c r="G1336" s="22"/>
      <c r="H1336" s="22"/>
      <c r="I1336" s="24"/>
      <c r="J1336" s="24"/>
      <c r="K1336" s="24"/>
      <c r="L1336" s="24"/>
      <c r="M1336" s="26"/>
      <c r="N1336" s="26"/>
      <c r="O1336" s="26"/>
      <c r="P1336" s="27"/>
      <c r="Q1336" s="27"/>
      <c r="R1336" s="27"/>
      <c r="S1336" s="22"/>
      <c r="T1336" s="22"/>
      <c r="U1336" s="28"/>
    </row>
    <row r="1337">
      <c r="A1337" s="189"/>
      <c r="B1337" s="22"/>
      <c r="C1337" s="22"/>
      <c r="D1337" s="22"/>
      <c r="E1337" s="22"/>
      <c r="F1337" s="22"/>
      <c r="G1337" s="22"/>
      <c r="H1337" s="22"/>
      <c r="I1337" s="24"/>
      <c r="J1337" s="24"/>
      <c r="K1337" s="24"/>
      <c r="L1337" s="24"/>
      <c r="M1337" s="26"/>
      <c r="N1337" s="26"/>
      <c r="O1337" s="26"/>
      <c r="P1337" s="27"/>
      <c r="Q1337" s="27"/>
      <c r="R1337" s="27"/>
      <c r="S1337" s="22"/>
      <c r="T1337" s="22"/>
      <c r="U1337" s="28"/>
    </row>
    <row r="1338">
      <c r="A1338" s="189"/>
      <c r="B1338" s="22"/>
      <c r="C1338" s="22"/>
      <c r="D1338" s="22"/>
      <c r="E1338" s="22"/>
      <c r="F1338" s="22"/>
      <c r="G1338" s="22"/>
      <c r="H1338" s="22"/>
      <c r="I1338" s="24"/>
      <c r="J1338" s="24"/>
      <c r="K1338" s="24"/>
      <c r="L1338" s="24"/>
      <c r="M1338" s="26"/>
      <c r="N1338" s="26"/>
      <c r="O1338" s="26"/>
      <c r="P1338" s="27"/>
      <c r="Q1338" s="27"/>
      <c r="R1338" s="27"/>
      <c r="S1338" s="22"/>
      <c r="T1338" s="22"/>
      <c r="U1338" s="28"/>
    </row>
    <row r="1339">
      <c r="A1339" s="189"/>
      <c r="B1339" s="22"/>
      <c r="C1339" s="22"/>
      <c r="D1339" s="22"/>
      <c r="E1339" s="22"/>
      <c r="F1339" s="22"/>
      <c r="G1339" s="22"/>
      <c r="H1339" s="22"/>
      <c r="I1339" s="24"/>
      <c r="J1339" s="24"/>
      <c r="K1339" s="24"/>
      <c r="L1339" s="24"/>
      <c r="M1339" s="26"/>
      <c r="N1339" s="26"/>
      <c r="O1339" s="26"/>
      <c r="P1339" s="27"/>
      <c r="Q1339" s="27"/>
      <c r="R1339" s="27"/>
      <c r="S1339" s="22"/>
      <c r="T1339" s="22"/>
      <c r="U1339" s="28"/>
    </row>
    <row r="1340">
      <c r="A1340" s="189"/>
      <c r="B1340" s="22"/>
      <c r="C1340" s="22"/>
      <c r="D1340" s="22"/>
      <c r="E1340" s="22"/>
      <c r="F1340" s="22"/>
      <c r="G1340" s="22"/>
      <c r="H1340" s="22"/>
      <c r="I1340" s="24"/>
      <c r="J1340" s="24"/>
      <c r="K1340" s="24"/>
      <c r="L1340" s="24"/>
      <c r="M1340" s="26"/>
      <c r="N1340" s="26"/>
      <c r="O1340" s="26"/>
      <c r="P1340" s="27"/>
      <c r="Q1340" s="27"/>
      <c r="R1340" s="27"/>
      <c r="S1340" s="22"/>
      <c r="T1340" s="22"/>
      <c r="U1340" s="28"/>
    </row>
    <row r="1341">
      <c r="A1341" s="189"/>
      <c r="B1341" s="22"/>
      <c r="C1341" s="22"/>
      <c r="D1341" s="22"/>
      <c r="E1341" s="22"/>
      <c r="F1341" s="22"/>
      <c r="G1341" s="22"/>
      <c r="H1341" s="22"/>
      <c r="I1341" s="24"/>
      <c r="J1341" s="24"/>
      <c r="K1341" s="24"/>
      <c r="L1341" s="24"/>
      <c r="M1341" s="26"/>
      <c r="N1341" s="26"/>
      <c r="O1341" s="26"/>
      <c r="P1341" s="27"/>
      <c r="Q1341" s="27"/>
      <c r="R1341" s="27"/>
      <c r="S1341" s="22"/>
      <c r="T1341" s="22"/>
      <c r="U1341" s="28"/>
    </row>
    <row r="1342">
      <c r="A1342" s="189"/>
      <c r="B1342" s="22"/>
      <c r="C1342" s="22"/>
      <c r="D1342" s="22"/>
      <c r="E1342" s="22"/>
      <c r="F1342" s="22"/>
      <c r="G1342" s="22"/>
      <c r="H1342" s="22"/>
      <c r="I1342" s="24"/>
      <c r="J1342" s="24"/>
      <c r="K1342" s="24"/>
      <c r="L1342" s="24"/>
      <c r="M1342" s="26"/>
      <c r="N1342" s="26"/>
      <c r="O1342" s="26"/>
      <c r="P1342" s="27"/>
      <c r="Q1342" s="27"/>
      <c r="R1342" s="27"/>
      <c r="S1342" s="22"/>
      <c r="T1342" s="22"/>
      <c r="U1342" s="28"/>
    </row>
    <row r="1343">
      <c r="A1343" s="189"/>
      <c r="B1343" s="22"/>
      <c r="C1343" s="22"/>
      <c r="D1343" s="22"/>
      <c r="E1343" s="22"/>
      <c r="F1343" s="22"/>
      <c r="G1343" s="22"/>
      <c r="H1343" s="22"/>
      <c r="I1343" s="24"/>
      <c r="J1343" s="24"/>
      <c r="K1343" s="24"/>
      <c r="L1343" s="24"/>
      <c r="M1343" s="26"/>
      <c r="N1343" s="26"/>
      <c r="O1343" s="26"/>
      <c r="P1343" s="27"/>
      <c r="Q1343" s="27"/>
      <c r="R1343" s="27"/>
      <c r="S1343" s="22"/>
      <c r="T1343" s="22"/>
      <c r="U1343" s="28"/>
    </row>
    <row r="1344">
      <c r="A1344" s="189"/>
      <c r="B1344" s="22"/>
      <c r="C1344" s="22"/>
      <c r="D1344" s="22"/>
      <c r="E1344" s="22"/>
      <c r="F1344" s="22"/>
      <c r="G1344" s="22"/>
      <c r="H1344" s="22"/>
      <c r="I1344" s="24"/>
      <c r="J1344" s="24"/>
      <c r="K1344" s="24"/>
      <c r="L1344" s="24"/>
      <c r="M1344" s="26"/>
      <c r="N1344" s="26"/>
      <c r="O1344" s="26"/>
      <c r="P1344" s="27"/>
      <c r="Q1344" s="27"/>
      <c r="R1344" s="27"/>
      <c r="S1344" s="22"/>
      <c r="T1344" s="22"/>
      <c r="U1344" s="28"/>
    </row>
    <row r="1345">
      <c r="A1345" s="189"/>
      <c r="B1345" s="22"/>
      <c r="C1345" s="22"/>
      <c r="D1345" s="22"/>
      <c r="E1345" s="22"/>
      <c r="F1345" s="22"/>
      <c r="G1345" s="22"/>
      <c r="H1345" s="22"/>
      <c r="I1345" s="24"/>
      <c r="J1345" s="24"/>
      <c r="K1345" s="24"/>
      <c r="L1345" s="24"/>
      <c r="M1345" s="26"/>
      <c r="N1345" s="26"/>
      <c r="O1345" s="26"/>
      <c r="P1345" s="27"/>
      <c r="Q1345" s="27"/>
      <c r="R1345" s="27"/>
      <c r="S1345" s="22"/>
      <c r="T1345" s="22"/>
      <c r="U1345" s="28"/>
    </row>
    <row r="1346">
      <c r="A1346" s="189"/>
      <c r="B1346" s="22"/>
      <c r="C1346" s="22"/>
      <c r="D1346" s="22"/>
      <c r="E1346" s="22"/>
      <c r="F1346" s="22"/>
      <c r="G1346" s="22"/>
      <c r="H1346" s="22"/>
      <c r="I1346" s="24"/>
      <c r="J1346" s="24"/>
      <c r="K1346" s="24"/>
      <c r="L1346" s="24"/>
      <c r="M1346" s="26"/>
      <c r="N1346" s="26"/>
      <c r="O1346" s="26"/>
      <c r="P1346" s="27"/>
      <c r="Q1346" s="27"/>
      <c r="R1346" s="27"/>
      <c r="S1346" s="22"/>
      <c r="T1346" s="22"/>
      <c r="U1346" s="28"/>
    </row>
    <row r="1347">
      <c r="A1347" s="189"/>
      <c r="B1347" s="22"/>
      <c r="C1347" s="22"/>
      <c r="D1347" s="22"/>
      <c r="E1347" s="22"/>
      <c r="F1347" s="22"/>
      <c r="G1347" s="22"/>
      <c r="H1347" s="22"/>
      <c r="I1347" s="24"/>
      <c r="J1347" s="24"/>
      <c r="K1347" s="24"/>
      <c r="L1347" s="24"/>
      <c r="M1347" s="26"/>
      <c r="N1347" s="26"/>
      <c r="O1347" s="26"/>
      <c r="P1347" s="27"/>
      <c r="Q1347" s="27"/>
      <c r="R1347" s="27"/>
      <c r="S1347" s="22"/>
      <c r="T1347" s="22"/>
      <c r="U1347" s="28"/>
    </row>
    <row r="1348">
      <c r="A1348" s="189"/>
      <c r="B1348" s="22"/>
      <c r="C1348" s="22"/>
      <c r="D1348" s="22"/>
      <c r="E1348" s="22"/>
      <c r="F1348" s="22"/>
      <c r="G1348" s="22"/>
      <c r="H1348" s="22"/>
      <c r="I1348" s="24"/>
      <c r="J1348" s="24"/>
      <c r="K1348" s="24"/>
      <c r="L1348" s="24"/>
      <c r="M1348" s="26"/>
      <c r="N1348" s="26"/>
      <c r="O1348" s="26"/>
      <c r="P1348" s="27"/>
      <c r="Q1348" s="27"/>
      <c r="R1348" s="27"/>
      <c r="S1348" s="22"/>
      <c r="T1348" s="22"/>
      <c r="U1348" s="28"/>
    </row>
    <row r="1349">
      <c r="A1349" s="189"/>
      <c r="B1349" s="22"/>
      <c r="C1349" s="22"/>
      <c r="D1349" s="22"/>
      <c r="E1349" s="22"/>
      <c r="F1349" s="22"/>
      <c r="G1349" s="22"/>
      <c r="H1349" s="22"/>
      <c r="I1349" s="24"/>
      <c r="J1349" s="24"/>
      <c r="K1349" s="24"/>
      <c r="L1349" s="24"/>
      <c r="M1349" s="26"/>
      <c r="N1349" s="26"/>
      <c r="O1349" s="26"/>
      <c r="P1349" s="27"/>
      <c r="Q1349" s="27"/>
      <c r="R1349" s="27"/>
      <c r="S1349" s="22"/>
      <c r="T1349" s="22"/>
      <c r="U1349" s="28"/>
    </row>
    <row r="1350">
      <c r="A1350" s="189"/>
      <c r="B1350" s="22"/>
      <c r="C1350" s="22"/>
      <c r="D1350" s="22"/>
      <c r="E1350" s="22"/>
      <c r="F1350" s="22"/>
      <c r="G1350" s="22"/>
      <c r="H1350" s="22"/>
      <c r="I1350" s="24"/>
      <c r="J1350" s="24"/>
      <c r="K1350" s="24"/>
      <c r="L1350" s="24"/>
      <c r="M1350" s="26"/>
      <c r="N1350" s="26"/>
      <c r="O1350" s="26"/>
      <c r="P1350" s="27"/>
      <c r="Q1350" s="27"/>
      <c r="R1350" s="27"/>
      <c r="S1350" s="22"/>
      <c r="T1350" s="22"/>
      <c r="U1350" s="28"/>
    </row>
    <row r="1351">
      <c r="A1351" s="189"/>
      <c r="B1351" s="22"/>
      <c r="C1351" s="22"/>
      <c r="D1351" s="22"/>
      <c r="E1351" s="22"/>
      <c r="F1351" s="22"/>
      <c r="G1351" s="22"/>
      <c r="H1351" s="22"/>
      <c r="I1351" s="24"/>
      <c r="J1351" s="24"/>
      <c r="K1351" s="24"/>
      <c r="L1351" s="24"/>
      <c r="M1351" s="26"/>
      <c r="N1351" s="26"/>
      <c r="O1351" s="26"/>
      <c r="P1351" s="27"/>
      <c r="Q1351" s="27"/>
      <c r="R1351" s="27"/>
      <c r="S1351" s="22"/>
      <c r="T1351" s="22"/>
      <c r="U1351" s="28"/>
    </row>
    <row r="1352">
      <c r="A1352" s="189"/>
      <c r="B1352" s="22"/>
      <c r="C1352" s="22"/>
      <c r="D1352" s="22"/>
      <c r="E1352" s="22"/>
      <c r="F1352" s="22"/>
      <c r="G1352" s="22"/>
      <c r="H1352" s="22"/>
      <c r="I1352" s="24"/>
      <c r="J1352" s="24"/>
      <c r="K1352" s="24"/>
      <c r="L1352" s="24"/>
      <c r="M1352" s="26"/>
      <c r="N1352" s="26"/>
      <c r="O1352" s="26"/>
      <c r="P1352" s="27"/>
      <c r="Q1352" s="27"/>
      <c r="R1352" s="27"/>
      <c r="S1352" s="22"/>
      <c r="T1352" s="22"/>
      <c r="U1352" s="28"/>
    </row>
    <row r="1353">
      <c r="A1353" s="189"/>
      <c r="B1353" s="22"/>
      <c r="C1353" s="22"/>
      <c r="D1353" s="22"/>
      <c r="E1353" s="22"/>
      <c r="F1353" s="22"/>
      <c r="G1353" s="22"/>
      <c r="H1353" s="22"/>
      <c r="I1353" s="24"/>
      <c r="J1353" s="24"/>
      <c r="K1353" s="24"/>
      <c r="L1353" s="24"/>
      <c r="M1353" s="26"/>
      <c r="N1353" s="26"/>
      <c r="O1353" s="26"/>
      <c r="P1353" s="27"/>
      <c r="Q1353" s="27"/>
      <c r="R1353" s="27"/>
      <c r="S1353" s="22"/>
      <c r="T1353" s="22"/>
      <c r="U1353" s="28"/>
    </row>
    <row r="1354">
      <c r="A1354" s="189"/>
      <c r="B1354" s="22"/>
      <c r="C1354" s="22"/>
      <c r="D1354" s="22"/>
      <c r="E1354" s="22"/>
      <c r="F1354" s="22"/>
      <c r="G1354" s="22"/>
      <c r="H1354" s="22"/>
      <c r="I1354" s="24"/>
      <c r="J1354" s="24"/>
      <c r="K1354" s="24"/>
      <c r="L1354" s="24"/>
      <c r="M1354" s="26"/>
      <c r="N1354" s="26"/>
      <c r="O1354" s="26"/>
      <c r="P1354" s="27"/>
      <c r="Q1354" s="27"/>
      <c r="R1354" s="27"/>
      <c r="S1354" s="22"/>
      <c r="T1354" s="22"/>
      <c r="U1354" s="28"/>
    </row>
    <row r="1355">
      <c r="A1355" s="189"/>
      <c r="B1355" s="22"/>
      <c r="C1355" s="22"/>
      <c r="D1355" s="22"/>
      <c r="E1355" s="22"/>
      <c r="F1355" s="22"/>
      <c r="G1355" s="22"/>
      <c r="H1355" s="22"/>
      <c r="I1355" s="24"/>
      <c r="J1355" s="24"/>
      <c r="K1355" s="24"/>
      <c r="L1355" s="24"/>
      <c r="M1355" s="26"/>
      <c r="N1355" s="26"/>
      <c r="O1355" s="26"/>
      <c r="P1355" s="27"/>
      <c r="Q1355" s="27"/>
      <c r="R1355" s="27"/>
      <c r="S1355" s="22"/>
      <c r="T1355" s="22"/>
      <c r="U1355" s="28"/>
    </row>
    <row r="1356">
      <c r="A1356" s="189"/>
      <c r="B1356" s="22"/>
      <c r="C1356" s="22"/>
      <c r="D1356" s="22"/>
      <c r="E1356" s="22"/>
      <c r="F1356" s="22"/>
      <c r="G1356" s="22"/>
      <c r="H1356" s="22"/>
      <c r="I1356" s="24"/>
      <c r="J1356" s="24"/>
      <c r="K1356" s="24"/>
      <c r="L1356" s="24"/>
      <c r="M1356" s="26"/>
      <c r="N1356" s="26"/>
      <c r="O1356" s="26"/>
      <c r="P1356" s="27"/>
      <c r="Q1356" s="27"/>
      <c r="R1356" s="27"/>
      <c r="S1356" s="22"/>
      <c r="T1356" s="22"/>
      <c r="U1356" s="28"/>
    </row>
    <row r="1357">
      <c r="A1357" s="189"/>
      <c r="B1357" s="22"/>
      <c r="C1357" s="22"/>
      <c r="D1357" s="22"/>
      <c r="E1357" s="22"/>
      <c r="F1357" s="22"/>
      <c r="G1357" s="22"/>
      <c r="H1357" s="22"/>
      <c r="I1357" s="24"/>
      <c r="J1357" s="24"/>
      <c r="K1357" s="24"/>
      <c r="L1357" s="24"/>
      <c r="M1357" s="26"/>
      <c r="N1357" s="26"/>
      <c r="O1357" s="26"/>
      <c r="P1357" s="27"/>
      <c r="Q1357" s="27"/>
      <c r="R1357" s="27"/>
      <c r="S1357" s="22"/>
      <c r="T1357" s="22"/>
      <c r="U1357" s="28"/>
    </row>
    <row r="1358">
      <c r="A1358" s="189"/>
      <c r="B1358" s="22"/>
      <c r="C1358" s="22"/>
      <c r="D1358" s="22"/>
      <c r="E1358" s="22"/>
      <c r="F1358" s="22"/>
      <c r="G1358" s="22"/>
      <c r="H1358" s="22"/>
      <c r="I1358" s="24"/>
      <c r="J1358" s="24"/>
      <c r="K1358" s="24"/>
      <c r="L1358" s="24"/>
      <c r="M1358" s="26"/>
      <c r="N1358" s="26"/>
      <c r="O1358" s="26"/>
      <c r="P1358" s="27"/>
      <c r="Q1358" s="27"/>
      <c r="R1358" s="27"/>
      <c r="S1358" s="22"/>
      <c r="T1358" s="22"/>
      <c r="U1358" s="28"/>
    </row>
    <row r="1359">
      <c r="A1359" s="189"/>
      <c r="B1359" s="22"/>
      <c r="C1359" s="22"/>
      <c r="D1359" s="22"/>
      <c r="E1359" s="22"/>
      <c r="F1359" s="22"/>
      <c r="G1359" s="22"/>
      <c r="H1359" s="22"/>
      <c r="I1359" s="24"/>
      <c r="J1359" s="24"/>
      <c r="K1359" s="24"/>
      <c r="L1359" s="24"/>
      <c r="M1359" s="26"/>
      <c r="N1359" s="26"/>
      <c r="O1359" s="26"/>
      <c r="P1359" s="27"/>
      <c r="Q1359" s="27"/>
      <c r="R1359" s="27"/>
      <c r="S1359" s="22"/>
      <c r="T1359" s="22"/>
      <c r="U1359" s="28"/>
    </row>
    <row r="1360">
      <c r="A1360" s="189"/>
      <c r="B1360" s="22"/>
      <c r="C1360" s="22"/>
      <c r="D1360" s="22"/>
      <c r="E1360" s="22"/>
      <c r="F1360" s="22"/>
      <c r="G1360" s="22"/>
      <c r="H1360" s="22"/>
      <c r="I1360" s="24"/>
      <c r="J1360" s="24"/>
      <c r="K1360" s="24"/>
      <c r="L1360" s="24"/>
      <c r="M1360" s="26"/>
      <c r="N1360" s="26"/>
      <c r="O1360" s="26"/>
      <c r="P1360" s="27"/>
      <c r="Q1360" s="27"/>
      <c r="R1360" s="27"/>
      <c r="S1360" s="22"/>
      <c r="T1360" s="22"/>
      <c r="U1360" s="28"/>
    </row>
    <row r="1361">
      <c r="A1361" s="189"/>
      <c r="B1361" s="22"/>
      <c r="C1361" s="22"/>
      <c r="D1361" s="22"/>
      <c r="E1361" s="22"/>
      <c r="F1361" s="22"/>
      <c r="G1361" s="22"/>
      <c r="H1361" s="22"/>
      <c r="I1361" s="24"/>
      <c r="J1361" s="24"/>
      <c r="K1361" s="24"/>
      <c r="L1361" s="24"/>
      <c r="M1361" s="26"/>
      <c r="N1361" s="26"/>
      <c r="O1361" s="26"/>
      <c r="P1361" s="27"/>
      <c r="Q1361" s="27"/>
      <c r="R1361" s="27"/>
      <c r="S1361" s="22"/>
      <c r="T1361" s="22"/>
      <c r="U1361" s="28"/>
    </row>
    <row r="1362">
      <c r="A1362" s="189"/>
      <c r="B1362" s="22"/>
      <c r="C1362" s="22"/>
      <c r="D1362" s="22"/>
      <c r="E1362" s="22"/>
      <c r="F1362" s="22"/>
      <c r="G1362" s="22"/>
      <c r="H1362" s="22"/>
      <c r="I1362" s="24"/>
      <c r="J1362" s="24"/>
      <c r="K1362" s="24"/>
      <c r="L1362" s="24"/>
      <c r="M1362" s="26"/>
      <c r="N1362" s="26"/>
      <c r="O1362" s="26"/>
      <c r="P1362" s="27"/>
      <c r="Q1362" s="27"/>
      <c r="R1362" s="27"/>
      <c r="S1362" s="22"/>
      <c r="T1362" s="22"/>
      <c r="U1362" s="28"/>
    </row>
    <row r="1363">
      <c r="A1363" s="189"/>
      <c r="B1363" s="22"/>
      <c r="C1363" s="22"/>
      <c r="D1363" s="22"/>
      <c r="E1363" s="22"/>
      <c r="F1363" s="22"/>
      <c r="G1363" s="22"/>
      <c r="H1363" s="22"/>
      <c r="I1363" s="24"/>
      <c r="J1363" s="24"/>
      <c r="K1363" s="24"/>
      <c r="L1363" s="24"/>
      <c r="M1363" s="26"/>
      <c r="N1363" s="26"/>
      <c r="O1363" s="26"/>
      <c r="P1363" s="27"/>
      <c r="Q1363" s="27"/>
      <c r="R1363" s="27"/>
      <c r="S1363" s="22"/>
      <c r="T1363" s="22"/>
      <c r="U1363" s="28"/>
    </row>
    <row r="1364">
      <c r="A1364" s="189"/>
      <c r="B1364" s="22"/>
      <c r="C1364" s="22"/>
      <c r="D1364" s="22"/>
      <c r="E1364" s="22"/>
      <c r="F1364" s="22"/>
      <c r="G1364" s="22"/>
      <c r="H1364" s="22"/>
      <c r="I1364" s="24"/>
      <c r="J1364" s="24"/>
      <c r="K1364" s="24"/>
      <c r="L1364" s="24"/>
      <c r="M1364" s="26"/>
      <c r="N1364" s="26"/>
      <c r="O1364" s="26"/>
      <c r="P1364" s="27"/>
      <c r="Q1364" s="27"/>
      <c r="R1364" s="27"/>
      <c r="S1364" s="22"/>
      <c r="T1364" s="22"/>
      <c r="U1364" s="28"/>
    </row>
    <row r="1365">
      <c r="A1365" s="189"/>
      <c r="B1365" s="22"/>
      <c r="C1365" s="22"/>
      <c r="D1365" s="22"/>
      <c r="E1365" s="22"/>
      <c r="F1365" s="22"/>
      <c r="G1365" s="22"/>
      <c r="H1365" s="22"/>
      <c r="I1365" s="24"/>
      <c r="J1365" s="24"/>
      <c r="K1365" s="24"/>
      <c r="L1365" s="24"/>
      <c r="M1365" s="26"/>
      <c r="N1365" s="26"/>
      <c r="O1365" s="26"/>
      <c r="P1365" s="27"/>
      <c r="Q1365" s="27"/>
      <c r="R1365" s="27"/>
      <c r="S1365" s="22"/>
      <c r="T1365" s="22"/>
      <c r="U1365" s="28"/>
    </row>
    <row r="1366">
      <c r="A1366" s="189"/>
      <c r="B1366" s="22"/>
      <c r="C1366" s="22"/>
      <c r="D1366" s="22"/>
      <c r="E1366" s="22"/>
      <c r="F1366" s="22"/>
      <c r="G1366" s="22"/>
      <c r="H1366" s="22"/>
      <c r="I1366" s="24"/>
      <c r="J1366" s="24"/>
      <c r="K1366" s="24"/>
      <c r="L1366" s="24"/>
      <c r="M1366" s="26"/>
      <c r="N1366" s="26"/>
      <c r="O1366" s="26"/>
      <c r="P1366" s="27"/>
      <c r="Q1366" s="27"/>
      <c r="R1366" s="27"/>
      <c r="S1366" s="22"/>
      <c r="T1366" s="22"/>
      <c r="U1366" s="28"/>
    </row>
    <row r="1367">
      <c r="A1367" s="189"/>
      <c r="B1367" s="22"/>
      <c r="C1367" s="22"/>
      <c r="D1367" s="22"/>
      <c r="E1367" s="22"/>
      <c r="F1367" s="22"/>
      <c r="G1367" s="22"/>
      <c r="H1367" s="22"/>
      <c r="I1367" s="24"/>
      <c r="J1367" s="24"/>
      <c r="K1367" s="24"/>
      <c r="L1367" s="24"/>
      <c r="M1367" s="26"/>
      <c r="N1367" s="26"/>
      <c r="O1367" s="26"/>
      <c r="P1367" s="27"/>
      <c r="Q1367" s="27"/>
      <c r="R1367" s="27"/>
      <c r="S1367" s="22"/>
      <c r="T1367" s="22"/>
      <c r="U1367" s="28"/>
    </row>
    <row r="1368">
      <c r="A1368" s="189"/>
      <c r="B1368" s="22"/>
      <c r="C1368" s="22"/>
      <c r="D1368" s="22"/>
      <c r="E1368" s="22"/>
      <c r="F1368" s="22"/>
      <c r="G1368" s="22"/>
      <c r="H1368" s="22"/>
      <c r="I1368" s="24"/>
      <c r="J1368" s="24"/>
      <c r="K1368" s="24"/>
      <c r="L1368" s="24"/>
      <c r="M1368" s="26"/>
      <c r="N1368" s="26"/>
      <c r="O1368" s="26"/>
      <c r="P1368" s="27"/>
      <c r="Q1368" s="27"/>
      <c r="R1368" s="27"/>
      <c r="S1368" s="22"/>
      <c r="T1368" s="22"/>
      <c r="U1368" s="28"/>
    </row>
    <row r="1369">
      <c r="A1369" s="189"/>
      <c r="B1369" s="22"/>
      <c r="C1369" s="22"/>
      <c r="D1369" s="22"/>
      <c r="E1369" s="22"/>
      <c r="F1369" s="22"/>
      <c r="G1369" s="22"/>
      <c r="H1369" s="22"/>
      <c r="I1369" s="24"/>
      <c r="J1369" s="24"/>
      <c r="K1369" s="24"/>
      <c r="L1369" s="24"/>
      <c r="M1369" s="26"/>
      <c r="N1369" s="26"/>
      <c r="O1369" s="26"/>
      <c r="P1369" s="27"/>
      <c r="Q1369" s="27"/>
      <c r="R1369" s="27"/>
      <c r="S1369" s="22"/>
      <c r="T1369" s="22"/>
      <c r="U1369" s="28"/>
    </row>
    <row r="1370">
      <c r="A1370" s="189"/>
      <c r="B1370" s="22"/>
      <c r="C1370" s="22"/>
      <c r="D1370" s="22"/>
      <c r="E1370" s="22"/>
      <c r="F1370" s="22"/>
      <c r="G1370" s="22"/>
      <c r="H1370" s="22"/>
      <c r="I1370" s="24"/>
      <c r="J1370" s="24"/>
      <c r="K1370" s="24"/>
      <c r="L1370" s="24"/>
      <c r="M1370" s="26"/>
      <c r="N1370" s="26"/>
      <c r="O1370" s="26"/>
      <c r="P1370" s="27"/>
      <c r="Q1370" s="27"/>
      <c r="R1370" s="27"/>
      <c r="S1370" s="22"/>
      <c r="T1370" s="22"/>
      <c r="U1370" s="28"/>
    </row>
    <row r="1371">
      <c r="A1371" s="189"/>
      <c r="B1371" s="22"/>
      <c r="C1371" s="22"/>
      <c r="D1371" s="22"/>
      <c r="E1371" s="22"/>
      <c r="F1371" s="22"/>
      <c r="G1371" s="22"/>
      <c r="H1371" s="22"/>
      <c r="I1371" s="24"/>
      <c r="J1371" s="24"/>
      <c r="K1371" s="24"/>
      <c r="L1371" s="24"/>
      <c r="M1371" s="26"/>
      <c r="N1371" s="26"/>
      <c r="O1371" s="26"/>
      <c r="P1371" s="27"/>
      <c r="Q1371" s="27"/>
      <c r="R1371" s="27"/>
      <c r="S1371" s="22"/>
      <c r="T1371" s="22"/>
      <c r="U1371" s="28"/>
    </row>
    <row r="1372">
      <c r="A1372" s="189"/>
      <c r="B1372" s="22"/>
      <c r="C1372" s="22"/>
      <c r="D1372" s="22"/>
      <c r="E1372" s="22"/>
      <c r="F1372" s="22"/>
      <c r="G1372" s="22"/>
      <c r="H1372" s="22"/>
      <c r="I1372" s="24"/>
      <c r="J1372" s="24"/>
      <c r="K1372" s="24"/>
      <c r="L1372" s="24"/>
      <c r="M1372" s="26"/>
      <c r="N1372" s="26"/>
      <c r="O1372" s="26"/>
      <c r="P1372" s="27"/>
      <c r="Q1372" s="27"/>
      <c r="R1372" s="27"/>
      <c r="S1372" s="22"/>
      <c r="T1372" s="22"/>
      <c r="U1372" s="28"/>
    </row>
    <row r="1373">
      <c r="A1373" s="189"/>
      <c r="B1373" s="22"/>
      <c r="C1373" s="22"/>
      <c r="D1373" s="22"/>
      <c r="E1373" s="22"/>
      <c r="F1373" s="22"/>
      <c r="G1373" s="22"/>
      <c r="H1373" s="22"/>
      <c r="I1373" s="24"/>
      <c r="J1373" s="24"/>
      <c r="K1373" s="24"/>
      <c r="L1373" s="24"/>
      <c r="M1373" s="26"/>
      <c r="N1373" s="26"/>
      <c r="O1373" s="26"/>
      <c r="P1373" s="27"/>
      <c r="Q1373" s="27"/>
      <c r="R1373" s="27"/>
      <c r="S1373" s="22"/>
      <c r="T1373" s="22"/>
      <c r="U1373" s="28"/>
    </row>
    <row r="1374">
      <c r="A1374" s="189"/>
      <c r="B1374" s="22"/>
      <c r="C1374" s="22"/>
      <c r="D1374" s="22"/>
      <c r="E1374" s="22"/>
      <c r="F1374" s="22"/>
      <c r="G1374" s="22"/>
      <c r="H1374" s="22"/>
      <c r="I1374" s="24"/>
      <c r="J1374" s="24"/>
      <c r="K1374" s="24"/>
      <c r="L1374" s="24"/>
      <c r="M1374" s="26"/>
      <c r="N1374" s="26"/>
      <c r="O1374" s="26"/>
      <c r="P1374" s="27"/>
      <c r="Q1374" s="27"/>
      <c r="R1374" s="27"/>
      <c r="S1374" s="22"/>
      <c r="T1374" s="22"/>
      <c r="U1374" s="28"/>
    </row>
    <row r="1375">
      <c r="A1375" s="189"/>
      <c r="B1375" s="22"/>
      <c r="C1375" s="22"/>
      <c r="D1375" s="22"/>
      <c r="E1375" s="22"/>
      <c r="F1375" s="22"/>
      <c r="G1375" s="22"/>
      <c r="H1375" s="22"/>
      <c r="I1375" s="24"/>
      <c r="J1375" s="24"/>
      <c r="K1375" s="24"/>
      <c r="L1375" s="24"/>
      <c r="M1375" s="26"/>
      <c r="N1375" s="26"/>
      <c r="O1375" s="26"/>
      <c r="P1375" s="27"/>
      <c r="Q1375" s="27"/>
      <c r="R1375" s="27"/>
      <c r="S1375" s="22"/>
      <c r="T1375" s="22"/>
      <c r="U1375" s="28"/>
    </row>
    <row r="1376">
      <c r="A1376" s="189"/>
      <c r="B1376" s="22"/>
      <c r="C1376" s="22"/>
      <c r="D1376" s="22"/>
      <c r="E1376" s="22"/>
      <c r="F1376" s="22"/>
      <c r="G1376" s="22"/>
      <c r="H1376" s="22"/>
      <c r="I1376" s="24"/>
      <c r="J1376" s="24"/>
      <c r="K1376" s="24"/>
      <c r="L1376" s="24"/>
      <c r="M1376" s="26"/>
      <c r="N1376" s="26"/>
      <c r="O1376" s="26"/>
      <c r="P1376" s="27"/>
      <c r="Q1376" s="27"/>
      <c r="R1376" s="27"/>
      <c r="S1376" s="22"/>
      <c r="T1376" s="22"/>
      <c r="U1376" s="28"/>
    </row>
    <row r="1377">
      <c r="A1377" s="189"/>
      <c r="B1377" s="22"/>
      <c r="C1377" s="22"/>
      <c r="D1377" s="22"/>
      <c r="E1377" s="22"/>
      <c r="F1377" s="22"/>
      <c r="G1377" s="22"/>
      <c r="H1377" s="22"/>
      <c r="I1377" s="24"/>
      <c r="J1377" s="24"/>
      <c r="K1377" s="24"/>
      <c r="L1377" s="24"/>
      <c r="M1377" s="26"/>
      <c r="N1377" s="26"/>
      <c r="O1377" s="26"/>
      <c r="P1377" s="27"/>
      <c r="Q1377" s="27"/>
      <c r="R1377" s="27"/>
      <c r="S1377" s="22"/>
      <c r="T1377" s="22"/>
      <c r="U1377" s="28"/>
    </row>
    <row r="1378">
      <c r="A1378" s="189"/>
      <c r="B1378" s="22"/>
      <c r="C1378" s="22"/>
      <c r="D1378" s="22"/>
      <c r="E1378" s="22"/>
      <c r="F1378" s="22"/>
      <c r="G1378" s="22"/>
      <c r="H1378" s="22"/>
      <c r="I1378" s="24"/>
      <c r="J1378" s="24"/>
      <c r="K1378" s="24"/>
      <c r="L1378" s="24"/>
      <c r="M1378" s="26"/>
      <c r="N1378" s="26"/>
      <c r="O1378" s="26"/>
      <c r="P1378" s="27"/>
      <c r="Q1378" s="27"/>
      <c r="R1378" s="27"/>
      <c r="S1378" s="22"/>
      <c r="T1378" s="22"/>
      <c r="U1378" s="28"/>
    </row>
    <row r="1379">
      <c r="A1379" s="189"/>
      <c r="B1379" s="22"/>
      <c r="C1379" s="22"/>
      <c r="D1379" s="22"/>
      <c r="E1379" s="22"/>
      <c r="F1379" s="22"/>
      <c r="G1379" s="22"/>
      <c r="H1379" s="22"/>
      <c r="I1379" s="24"/>
      <c r="J1379" s="24"/>
      <c r="K1379" s="24"/>
      <c r="L1379" s="24"/>
      <c r="M1379" s="26"/>
      <c r="N1379" s="26"/>
      <c r="O1379" s="26"/>
      <c r="P1379" s="27"/>
      <c r="Q1379" s="27"/>
      <c r="R1379" s="27"/>
      <c r="S1379" s="22"/>
      <c r="T1379" s="22"/>
      <c r="U1379" s="28"/>
    </row>
    <row r="1380">
      <c r="A1380" s="189"/>
      <c r="B1380" s="22"/>
      <c r="C1380" s="22"/>
      <c r="D1380" s="22"/>
      <c r="E1380" s="22"/>
      <c r="F1380" s="22"/>
      <c r="G1380" s="22"/>
      <c r="H1380" s="22"/>
      <c r="I1380" s="24"/>
      <c r="J1380" s="24"/>
      <c r="K1380" s="24"/>
      <c r="L1380" s="24"/>
      <c r="M1380" s="26"/>
      <c r="N1380" s="26"/>
      <c r="O1380" s="26"/>
      <c r="P1380" s="27"/>
      <c r="Q1380" s="27"/>
      <c r="R1380" s="27"/>
      <c r="S1380" s="22"/>
      <c r="T1380" s="22"/>
      <c r="U1380" s="28"/>
    </row>
    <row r="1381">
      <c r="A1381" s="189"/>
      <c r="B1381" s="22"/>
      <c r="C1381" s="22"/>
      <c r="D1381" s="22"/>
      <c r="E1381" s="22"/>
      <c r="F1381" s="22"/>
      <c r="G1381" s="22"/>
      <c r="H1381" s="22"/>
      <c r="I1381" s="24"/>
      <c r="J1381" s="24"/>
      <c r="K1381" s="24"/>
      <c r="L1381" s="24"/>
      <c r="M1381" s="26"/>
      <c r="N1381" s="26"/>
      <c r="O1381" s="26"/>
      <c r="P1381" s="27"/>
      <c r="Q1381" s="27"/>
      <c r="R1381" s="27"/>
      <c r="S1381" s="22"/>
      <c r="T1381" s="22"/>
      <c r="U1381" s="28"/>
    </row>
    <row r="1382">
      <c r="A1382" s="189"/>
      <c r="B1382" s="22"/>
      <c r="C1382" s="22"/>
      <c r="D1382" s="22"/>
      <c r="E1382" s="22"/>
      <c r="F1382" s="22"/>
      <c r="G1382" s="22"/>
      <c r="H1382" s="22"/>
      <c r="I1382" s="24"/>
      <c r="J1382" s="24"/>
      <c r="K1382" s="24"/>
      <c r="L1382" s="24"/>
      <c r="M1382" s="26"/>
      <c r="N1382" s="26"/>
      <c r="O1382" s="26"/>
      <c r="P1382" s="27"/>
      <c r="Q1382" s="27"/>
      <c r="R1382" s="27"/>
      <c r="S1382" s="22"/>
      <c r="T1382" s="22"/>
      <c r="U1382" s="28"/>
    </row>
    <row r="1383">
      <c r="A1383" s="189"/>
      <c r="B1383" s="22"/>
      <c r="C1383" s="22"/>
      <c r="D1383" s="22"/>
      <c r="E1383" s="22"/>
      <c r="F1383" s="22"/>
      <c r="G1383" s="22"/>
      <c r="H1383" s="22"/>
      <c r="I1383" s="24"/>
      <c r="J1383" s="24"/>
      <c r="K1383" s="24"/>
      <c r="L1383" s="24"/>
      <c r="M1383" s="26"/>
      <c r="N1383" s="26"/>
      <c r="O1383" s="26"/>
      <c r="P1383" s="27"/>
      <c r="Q1383" s="27"/>
      <c r="R1383" s="27"/>
      <c r="S1383" s="22"/>
      <c r="T1383" s="22"/>
      <c r="U1383" s="28"/>
    </row>
    <row r="1384">
      <c r="A1384" s="189"/>
      <c r="B1384" s="22"/>
      <c r="C1384" s="22"/>
      <c r="D1384" s="22"/>
      <c r="E1384" s="22"/>
      <c r="F1384" s="22"/>
      <c r="G1384" s="22"/>
      <c r="H1384" s="22"/>
      <c r="I1384" s="24"/>
      <c r="J1384" s="24"/>
      <c r="K1384" s="24"/>
      <c r="L1384" s="24"/>
      <c r="M1384" s="26"/>
      <c r="N1384" s="26"/>
      <c r="O1384" s="26"/>
      <c r="P1384" s="27"/>
      <c r="Q1384" s="27"/>
      <c r="R1384" s="27"/>
      <c r="S1384" s="22"/>
      <c r="T1384" s="22"/>
      <c r="U1384" s="28"/>
    </row>
    <row r="1385">
      <c r="A1385" s="189"/>
      <c r="B1385" s="22"/>
      <c r="C1385" s="22"/>
      <c r="D1385" s="22"/>
      <c r="E1385" s="22"/>
      <c r="F1385" s="22"/>
      <c r="G1385" s="22"/>
      <c r="H1385" s="22"/>
      <c r="I1385" s="24"/>
      <c r="J1385" s="24"/>
      <c r="K1385" s="24"/>
      <c r="L1385" s="24"/>
      <c r="M1385" s="26"/>
      <c r="N1385" s="26"/>
      <c r="O1385" s="26"/>
      <c r="P1385" s="27"/>
      <c r="Q1385" s="27"/>
      <c r="R1385" s="27"/>
      <c r="S1385" s="22"/>
      <c r="T1385" s="22"/>
      <c r="U1385" s="28"/>
    </row>
    <row r="1386">
      <c r="A1386" s="189"/>
      <c r="B1386" s="22"/>
      <c r="C1386" s="22"/>
      <c r="D1386" s="22"/>
      <c r="E1386" s="22"/>
      <c r="F1386" s="22"/>
      <c r="G1386" s="22"/>
      <c r="H1386" s="22"/>
      <c r="I1386" s="24"/>
      <c r="J1386" s="24"/>
      <c r="K1386" s="24"/>
      <c r="L1386" s="24"/>
      <c r="M1386" s="26"/>
      <c r="N1386" s="26"/>
      <c r="O1386" s="26"/>
      <c r="P1386" s="27"/>
      <c r="Q1386" s="27"/>
      <c r="R1386" s="27"/>
      <c r="S1386" s="22"/>
      <c r="T1386" s="22"/>
      <c r="U1386" s="28"/>
    </row>
    <row r="1387">
      <c r="A1387" s="189"/>
      <c r="B1387" s="22"/>
      <c r="C1387" s="22"/>
      <c r="D1387" s="22"/>
      <c r="E1387" s="22"/>
      <c r="F1387" s="22"/>
      <c r="G1387" s="22"/>
      <c r="H1387" s="22"/>
      <c r="I1387" s="24"/>
      <c r="J1387" s="24"/>
      <c r="K1387" s="24"/>
      <c r="L1387" s="24"/>
      <c r="M1387" s="26"/>
      <c r="N1387" s="26"/>
      <c r="O1387" s="26"/>
      <c r="P1387" s="27"/>
      <c r="Q1387" s="27"/>
      <c r="R1387" s="27"/>
      <c r="S1387" s="22"/>
      <c r="T1387" s="22"/>
      <c r="U1387" s="28"/>
    </row>
    <row r="1388">
      <c r="A1388" s="189"/>
      <c r="B1388" s="22"/>
      <c r="C1388" s="22"/>
      <c r="D1388" s="22"/>
      <c r="E1388" s="22"/>
      <c r="F1388" s="22"/>
      <c r="G1388" s="22"/>
      <c r="H1388" s="22"/>
      <c r="I1388" s="24"/>
      <c r="J1388" s="24"/>
      <c r="K1388" s="24"/>
      <c r="L1388" s="24"/>
      <c r="M1388" s="26"/>
      <c r="N1388" s="26"/>
      <c r="O1388" s="26"/>
      <c r="P1388" s="27"/>
      <c r="Q1388" s="27"/>
      <c r="R1388" s="27"/>
      <c r="S1388" s="22"/>
      <c r="T1388" s="22"/>
      <c r="U1388" s="28"/>
    </row>
    <row r="1389">
      <c r="A1389" s="189"/>
      <c r="B1389" s="22"/>
      <c r="C1389" s="22"/>
      <c r="D1389" s="22"/>
      <c r="E1389" s="22"/>
      <c r="F1389" s="22"/>
      <c r="G1389" s="22"/>
      <c r="H1389" s="22"/>
      <c r="I1389" s="24"/>
      <c r="J1389" s="24"/>
      <c r="K1389" s="24"/>
      <c r="L1389" s="24"/>
      <c r="M1389" s="26"/>
      <c r="N1389" s="26"/>
      <c r="O1389" s="26"/>
      <c r="P1389" s="27"/>
      <c r="Q1389" s="27"/>
      <c r="R1389" s="27"/>
      <c r="S1389" s="22"/>
      <c r="T1389" s="22"/>
      <c r="U1389" s="28"/>
    </row>
    <row r="1390">
      <c r="A1390" s="189"/>
      <c r="B1390" s="22"/>
      <c r="C1390" s="22"/>
      <c r="D1390" s="22"/>
      <c r="E1390" s="22"/>
      <c r="F1390" s="22"/>
      <c r="G1390" s="22"/>
      <c r="H1390" s="22"/>
      <c r="I1390" s="24"/>
      <c r="J1390" s="24"/>
      <c r="K1390" s="24"/>
      <c r="L1390" s="24"/>
      <c r="M1390" s="26"/>
      <c r="N1390" s="26"/>
      <c r="O1390" s="26"/>
      <c r="P1390" s="27"/>
      <c r="Q1390" s="27"/>
      <c r="R1390" s="27"/>
      <c r="S1390" s="22"/>
      <c r="T1390" s="22"/>
      <c r="U1390" s="28"/>
    </row>
    <row r="1391">
      <c r="A1391" s="189"/>
      <c r="B1391" s="22"/>
      <c r="C1391" s="22"/>
      <c r="D1391" s="22"/>
      <c r="E1391" s="22"/>
      <c r="F1391" s="22"/>
      <c r="G1391" s="22"/>
      <c r="H1391" s="22"/>
      <c r="I1391" s="24"/>
      <c r="J1391" s="24"/>
      <c r="K1391" s="24"/>
      <c r="L1391" s="24"/>
      <c r="M1391" s="26"/>
      <c r="N1391" s="26"/>
      <c r="O1391" s="26"/>
      <c r="P1391" s="27"/>
      <c r="Q1391" s="27"/>
      <c r="R1391" s="27"/>
      <c r="S1391" s="22"/>
      <c r="T1391" s="22"/>
      <c r="U1391" s="28"/>
    </row>
    <row r="1392">
      <c r="A1392" s="189"/>
      <c r="B1392" s="22"/>
      <c r="C1392" s="22"/>
      <c r="D1392" s="22"/>
      <c r="E1392" s="22"/>
      <c r="F1392" s="22"/>
      <c r="G1392" s="22"/>
      <c r="H1392" s="22"/>
      <c r="I1392" s="24"/>
      <c r="J1392" s="24"/>
      <c r="K1392" s="24"/>
      <c r="L1392" s="24"/>
      <c r="M1392" s="26"/>
      <c r="N1392" s="26"/>
      <c r="O1392" s="26"/>
      <c r="P1392" s="27"/>
      <c r="Q1392" s="27"/>
      <c r="R1392" s="27"/>
      <c r="S1392" s="22"/>
      <c r="T1392" s="22"/>
      <c r="U1392" s="28"/>
    </row>
    <row r="1393">
      <c r="A1393" s="189"/>
      <c r="B1393" s="22"/>
      <c r="C1393" s="22"/>
      <c r="D1393" s="22"/>
      <c r="E1393" s="22"/>
      <c r="F1393" s="22"/>
      <c r="G1393" s="22"/>
      <c r="H1393" s="22"/>
      <c r="I1393" s="24"/>
      <c r="J1393" s="24"/>
      <c r="K1393" s="24"/>
      <c r="L1393" s="24"/>
      <c r="M1393" s="26"/>
      <c r="N1393" s="26"/>
      <c r="O1393" s="26"/>
      <c r="P1393" s="27"/>
      <c r="Q1393" s="27"/>
      <c r="R1393" s="27"/>
      <c r="S1393" s="22"/>
      <c r="T1393" s="22"/>
      <c r="U1393" s="28"/>
    </row>
    <row r="1394">
      <c r="A1394" s="189"/>
      <c r="B1394" s="22"/>
      <c r="C1394" s="22"/>
      <c r="D1394" s="22"/>
      <c r="E1394" s="22"/>
      <c r="F1394" s="22"/>
      <c r="G1394" s="22"/>
      <c r="H1394" s="22"/>
      <c r="I1394" s="24"/>
      <c r="J1394" s="24"/>
      <c r="K1394" s="24"/>
      <c r="L1394" s="24"/>
      <c r="M1394" s="26"/>
      <c r="N1394" s="26"/>
      <c r="O1394" s="26"/>
      <c r="P1394" s="27"/>
      <c r="Q1394" s="27"/>
      <c r="R1394" s="27"/>
      <c r="S1394" s="22"/>
      <c r="T1394" s="22"/>
      <c r="U1394" s="28"/>
    </row>
    <row r="1395">
      <c r="A1395" s="189"/>
      <c r="B1395" s="22"/>
      <c r="C1395" s="22"/>
      <c r="D1395" s="22"/>
      <c r="E1395" s="22"/>
      <c r="F1395" s="22"/>
      <c r="G1395" s="22"/>
      <c r="H1395" s="22"/>
      <c r="I1395" s="24"/>
      <c r="J1395" s="24"/>
      <c r="K1395" s="24"/>
      <c r="L1395" s="24"/>
      <c r="M1395" s="26"/>
      <c r="N1395" s="26"/>
      <c r="O1395" s="26"/>
      <c r="P1395" s="27"/>
      <c r="Q1395" s="27"/>
      <c r="R1395" s="27"/>
      <c r="S1395" s="22"/>
      <c r="T1395" s="22"/>
      <c r="U1395" s="28"/>
    </row>
    <row r="1396">
      <c r="A1396" s="189"/>
      <c r="B1396" s="22"/>
      <c r="C1396" s="22"/>
      <c r="D1396" s="22"/>
      <c r="E1396" s="22"/>
      <c r="F1396" s="22"/>
      <c r="G1396" s="22"/>
      <c r="H1396" s="22"/>
      <c r="I1396" s="24"/>
      <c r="J1396" s="24"/>
      <c r="K1396" s="24"/>
      <c r="L1396" s="24"/>
      <c r="M1396" s="26"/>
      <c r="N1396" s="26"/>
      <c r="O1396" s="26"/>
      <c r="P1396" s="27"/>
      <c r="Q1396" s="27"/>
      <c r="R1396" s="27"/>
      <c r="S1396" s="22"/>
      <c r="T1396" s="22"/>
      <c r="U1396" s="28"/>
    </row>
    <row r="1397">
      <c r="A1397" s="189"/>
      <c r="B1397" s="22"/>
      <c r="C1397" s="22"/>
      <c r="D1397" s="22"/>
      <c r="E1397" s="22"/>
      <c r="F1397" s="22"/>
      <c r="G1397" s="22"/>
      <c r="H1397" s="22"/>
      <c r="I1397" s="24"/>
      <c r="J1397" s="24"/>
      <c r="K1397" s="24"/>
      <c r="L1397" s="24"/>
      <c r="M1397" s="26"/>
      <c r="N1397" s="26"/>
      <c r="O1397" s="26"/>
      <c r="P1397" s="27"/>
      <c r="Q1397" s="27"/>
      <c r="R1397" s="27"/>
      <c r="S1397" s="22"/>
      <c r="T1397" s="22"/>
      <c r="U1397" s="28"/>
    </row>
    <row r="1398">
      <c r="A1398" s="189"/>
      <c r="B1398" s="22"/>
      <c r="C1398" s="22"/>
      <c r="D1398" s="22"/>
      <c r="E1398" s="22"/>
      <c r="F1398" s="22"/>
      <c r="G1398" s="22"/>
      <c r="H1398" s="22"/>
      <c r="I1398" s="24"/>
      <c r="J1398" s="24"/>
      <c r="K1398" s="24"/>
      <c r="L1398" s="24"/>
      <c r="M1398" s="26"/>
      <c r="N1398" s="26"/>
      <c r="O1398" s="26"/>
      <c r="P1398" s="27"/>
      <c r="Q1398" s="27"/>
      <c r="R1398" s="27"/>
      <c r="S1398" s="22"/>
      <c r="T1398" s="22"/>
      <c r="U1398" s="28"/>
    </row>
    <row r="1399">
      <c r="A1399" s="189"/>
      <c r="B1399" s="22"/>
      <c r="C1399" s="22"/>
      <c r="D1399" s="22"/>
      <c r="E1399" s="22"/>
      <c r="F1399" s="22"/>
      <c r="G1399" s="22"/>
      <c r="H1399" s="22"/>
      <c r="I1399" s="24"/>
      <c r="J1399" s="24"/>
      <c r="K1399" s="24"/>
      <c r="L1399" s="24"/>
      <c r="M1399" s="26"/>
      <c r="N1399" s="26"/>
      <c r="O1399" s="26"/>
      <c r="P1399" s="27"/>
      <c r="Q1399" s="27"/>
      <c r="R1399" s="27"/>
      <c r="S1399" s="22"/>
      <c r="T1399" s="22"/>
      <c r="U1399" s="28"/>
    </row>
    <row r="1400">
      <c r="A1400" s="189"/>
      <c r="B1400" s="22"/>
      <c r="C1400" s="22"/>
      <c r="D1400" s="22"/>
      <c r="E1400" s="22"/>
      <c r="F1400" s="22"/>
      <c r="G1400" s="22"/>
      <c r="H1400" s="22"/>
      <c r="I1400" s="24"/>
      <c r="J1400" s="24"/>
      <c r="K1400" s="24"/>
      <c r="L1400" s="24"/>
      <c r="M1400" s="26"/>
      <c r="N1400" s="26"/>
      <c r="O1400" s="26"/>
      <c r="P1400" s="27"/>
      <c r="Q1400" s="27"/>
      <c r="R1400" s="27"/>
      <c r="S1400" s="22"/>
      <c r="T1400" s="22"/>
      <c r="U1400" s="28"/>
    </row>
    <row r="1401">
      <c r="A1401" s="189"/>
      <c r="B1401" s="22"/>
      <c r="C1401" s="22"/>
      <c r="D1401" s="22"/>
      <c r="E1401" s="22"/>
      <c r="F1401" s="22"/>
      <c r="G1401" s="22"/>
      <c r="H1401" s="22"/>
      <c r="I1401" s="24"/>
      <c r="J1401" s="24"/>
      <c r="K1401" s="24"/>
      <c r="L1401" s="24"/>
      <c r="M1401" s="26"/>
      <c r="N1401" s="26"/>
      <c r="O1401" s="26"/>
      <c r="P1401" s="27"/>
      <c r="Q1401" s="27"/>
      <c r="R1401" s="27"/>
      <c r="S1401" s="22"/>
      <c r="T1401" s="22"/>
      <c r="U1401" s="28"/>
    </row>
    <row r="1402">
      <c r="A1402" s="189"/>
      <c r="B1402" s="22"/>
      <c r="C1402" s="22"/>
      <c r="D1402" s="22"/>
      <c r="E1402" s="22"/>
      <c r="F1402" s="22"/>
      <c r="G1402" s="22"/>
      <c r="H1402" s="22"/>
      <c r="I1402" s="24"/>
      <c r="J1402" s="24"/>
      <c r="K1402" s="24"/>
      <c r="L1402" s="24"/>
      <c r="M1402" s="26"/>
      <c r="N1402" s="26"/>
      <c r="O1402" s="26"/>
      <c r="P1402" s="27"/>
      <c r="Q1402" s="27"/>
      <c r="R1402" s="27"/>
      <c r="S1402" s="22"/>
      <c r="T1402" s="22"/>
      <c r="U1402" s="28"/>
    </row>
    <row r="1403">
      <c r="A1403" s="189"/>
      <c r="B1403" s="22"/>
      <c r="C1403" s="22"/>
      <c r="D1403" s="22"/>
      <c r="E1403" s="22"/>
      <c r="F1403" s="22"/>
      <c r="G1403" s="22"/>
      <c r="H1403" s="22"/>
      <c r="I1403" s="24"/>
      <c r="J1403" s="24"/>
      <c r="K1403" s="24"/>
      <c r="L1403" s="24"/>
      <c r="M1403" s="26"/>
      <c r="N1403" s="26"/>
      <c r="O1403" s="26"/>
      <c r="P1403" s="27"/>
      <c r="Q1403" s="27"/>
      <c r="R1403" s="27"/>
      <c r="S1403" s="22"/>
      <c r="T1403" s="22"/>
      <c r="U1403" s="28"/>
    </row>
    <row r="1404">
      <c r="A1404" s="189"/>
      <c r="B1404" s="22"/>
      <c r="C1404" s="22"/>
      <c r="D1404" s="22"/>
      <c r="E1404" s="22"/>
      <c r="F1404" s="22"/>
      <c r="G1404" s="22"/>
      <c r="H1404" s="22"/>
      <c r="I1404" s="24"/>
      <c r="J1404" s="24"/>
      <c r="K1404" s="24"/>
      <c r="L1404" s="24"/>
      <c r="M1404" s="26"/>
      <c r="N1404" s="26"/>
      <c r="O1404" s="26"/>
      <c r="P1404" s="27"/>
      <c r="Q1404" s="27"/>
      <c r="R1404" s="27"/>
      <c r="S1404" s="22"/>
      <c r="T1404" s="22"/>
      <c r="U1404" s="28"/>
    </row>
    <row r="1405">
      <c r="A1405" s="189"/>
      <c r="B1405" s="22"/>
      <c r="C1405" s="22"/>
      <c r="D1405" s="22"/>
      <c r="E1405" s="22"/>
      <c r="F1405" s="22"/>
      <c r="G1405" s="22"/>
      <c r="H1405" s="22"/>
      <c r="I1405" s="24"/>
      <c r="J1405" s="24"/>
      <c r="K1405" s="24"/>
      <c r="L1405" s="24"/>
      <c r="M1405" s="26"/>
      <c r="N1405" s="26"/>
      <c r="O1405" s="26"/>
      <c r="P1405" s="27"/>
      <c r="Q1405" s="27"/>
      <c r="R1405" s="27"/>
      <c r="S1405" s="22"/>
      <c r="T1405" s="22"/>
      <c r="U1405" s="28"/>
    </row>
    <row r="1406">
      <c r="A1406" s="189"/>
      <c r="B1406" s="22"/>
      <c r="C1406" s="22"/>
      <c r="D1406" s="22"/>
      <c r="E1406" s="22"/>
      <c r="F1406" s="22"/>
      <c r="G1406" s="22"/>
      <c r="H1406" s="22"/>
      <c r="I1406" s="24"/>
      <c r="J1406" s="24"/>
      <c r="K1406" s="24"/>
      <c r="L1406" s="24"/>
      <c r="M1406" s="26"/>
      <c r="N1406" s="26"/>
      <c r="O1406" s="26"/>
      <c r="P1406" s="27"/>
      <c r="Q1406" s="27"/>
      <c r="R1406" s="27"/>
      <c r="S1406" s="22"/>
      <c r="T1406" s="22"/>
      <c r="U1406" s="28"/>
    </row>
    <row r="1407">
      <c r="A1407" s="189"/>
      <c r="B1407" s="22"/>
      <c r="C1407" s="22"/>
      <c r="D1407" s="22"/>
      <c r="E1407" s="22"/>
      <c r="F1407" s="22"/>
      <c r="G1407" s="22"/>
      <c r="H1407" s="22"/>
      <c r="I1407" s="24"/>
      <c r="J1407" s="24"/>
      <c r="K1407" s="24"/>
      <c r="L1407" s="24"/>
      <c r="M1407" s="26"/>
      <c r="N1407" s="26"/>
      <c r="O1407" s="26"/>
      <c r="P1407" s="27"/>
      <c r="Q1407" s="27"/>
      <c r="R1407" s="27"/>
      <c r="S1407" s="22"/>
      <c r="T1407" s="22"/>
      <c r="U1407" s="28"/>
    </row>
    <row r="1408">
      <c r="A1408" s="189"/>
      <c r="B1408" s="22"/>
      <c r="C1408" s="22"/>
      <c r="D1408" s="22"/>
      <c r="E1408" s="22"/>
      <c r="F1408" s="22"/>
      <c r="G1408" s="22"/>
      <c r="H1408" s="22"/>
      <c r="I1408" s="24"/>
      <c r="J1408" s="24"/>
      <c r="K1408" s="24"/>
      <c r="L1408" s="24"/>
      <c r="M1408" s="26"/>
      <c r="N1408" s="26"/>
      <c r="O1408" s="26"/>
      <c r="P1408" s="27"/>
      <c r="Q1408" s="27"/>
      <c r="R1408" s="27"/>
      <c r="S1408" s="22"/>
      <c r="T1408" s="22"/>
      <c r="U1408" s="28"/>
    </row>
    <row r="1409">
      <c r="A1409" s="189"/>
      <c r="B1409" s="22"/>
      <c r="C1409" s="22"/>
      <c r="D1409" s="22"/>
      <c r="E1409" s="22"/>
      <c r="F1409" s="22"/>
      <c r="G1409" s="22"/>
      <c r="H1409" s="22"/>
      <c r="I1409" s="24"/>
      <c r="J1409" s="24"/>
      <c r="K1409" s="24"/>
      <c r="L1409" s="24"/>
      <c r="M1409" s="26"/>
      <c r="N1409" s="26"/>
      <c r="O1409" s="26"/>
      <c r="P1409" s="27"/>
      <c r="Q1409" s="27"/>
      <c r="R1409" s="27"/>
      <c r="S1409" s="22"/>
      <c r="T1409" s="22"/>
      <c r="U1409" s="28"/>
    </row>
    <row r="1410">
      <c r="A1410" s="189"/>
      <c r="B1410" s="22"/>
      <c r="C1410" s="22"/>
      <c r="D1410" s="22"/>
      <c r="E1410" s="22"/>
      <c r="F1410" s="22"/>
      <c r="G1410" s="22"/>
      <c r="H1410" s="22"/>
      <c r="I1410" s="24"/>
      <c r="J1410" s="24"/>
      <c r="K1410" s="24"/>
      <c r="L1410" s="24"/>
      <c r="M1410" s="26"/>
      <c r="N1410" s="26"/>
      <c r="O1410" s="26"/>
      <c r="P1410" s="27"/>
      <c r="Q1410" s="27"/>
      <c r="R1410" s="27"/>
      <c r="S1410" s="22"/>
      <c r="T1410" s="22"/>
      <c r="U1410" s="28"/>
    </row>
    <row r="1411">
      <c r="A1411" s="189"/>
      <c r="B1411" s="22"/>
      <c r="C1411" s="22"/>
      <c r="D1411" s="22"/>
      <c r="E1411" s="22"/>
      <c r="F1411" s="22"/>
      <c r="G1411" s="22"/>
      <c r="H1411" s="22"/>
      <c r="I1411" s="24"/>
      <c r="J1411" s="24"/>
      <c r="K1411" s="24"/>
      <c r="L1411" s="24"/>
      <c r="M1411" s="26"/>
      <c r="N1411" s="26"/>
      <c r="O1411" s="26"/>
      <c r="P1411" s="27"/>
      <c r="Q1411" s="27"/>
      <c r="R1411" s="27"/>
      <c r="S1411" s="22"/>
      <c r="T1411" s="22"/>
      <c r="U1411" s="28"/>
    </row>
    <row r="1412">
      <c r="A1412" s="189"/>
      <c r="B1412" s="22"/>
      <c r="C1412" s="22"/>
      <c r="D1412" s="22"/>
      <c r="E1412" s="22"/>
      <c r="F1412" s="22"/>
      <c r="G1412" s="22"/>
      <c r="H1412" s="22"/>
      <c r="I1412" s="24"/>
      <c r="J1412" s="24"/>
      <c r="K1412" s="24"/>
      <c r="L1412" s="24"/>
      <c r="M1412" s="26"/>
      <c r="N1412" s="26"/>
      <c r="O1412" s="26"/>
      <c r="P1412" s="27"/>
      <c r="Q1412" s="27"/>
      <c r="R1412" s="27"/>
      <c r="S1412" s="22"/>
      <c r="T1412" s="22"/>
      <c r="U1412" s="28"/>
    </row>
    <row r="1413">
      <c r="A1413" s="189"/>
      <c r="B1413" s="22"/>
      <c r="C1413" s="22"/>
      <c r="D1413" s="22"/>
      <c r="E1413" s="22"/>
      <c r="F1413" s="22"/>
      <c r="G1413" s="22"/>
      <c r="H1413" s="22"/>
      <c r="I1413" s="24"/>
      <c r="J1413" s="24"/>
      <c r="K1413" s="24"/>
      <c r="L1413" s="24"/>
      <c r="M1413" s="26"/>
      <c r="N1413" s="26"/>
      <c r="O1413" s="26"/>
      <c r="P1413" s="27"/>
      <c r="Q1413" s="27"/>
      <c r="R1413" s="27"/>
      <c r="S1413" s="22"/>
      <c r="T1413" s="22"/>
      <c r="U1413" s="28"/>
    </row>
    <row r="1414">
      <c r="A1414" s="189"/>
      <c r="B1414" s="22"/>
      <c r="C1414" s="22"/>
      <c r="D1414" s="22"/>
      <c r="E1414" s="22"/>
      <c r="F1414" s="22"/>
      <c r="G1414" s="22"/>
      <c r="H1414" s="22"/>
      <c r="I1414" s="24"/>
      <c r="J1414" s="24"/>
      <c r="K1414" s="24"/>
      <c r="L1414" s="24"/>
      <c r="M1414" s="26"/>
      <c r="N1414" s="26"/>
      <c r="O1414" s="26"/>
      <c r="P1414" s="27"/>
      <c r="Q1414" s="27"/>
      <c r="R1414" s="27"/>
      <c r="S1414" s="22"/>
      <c r="T1414" s="22"/>
      <c r="U1414" s="28"/>
    </row>
    <row r="1415">
      <c r="A1415" s="189"/>
      <c r="B1415" s="22"/>
      <c r="C1415" s="22"/>
      <c r="D1415" s="22"/>
      <c r="E1415" s="22"/>
      <c r="F1415" s="22"/>
      <c r="G1415" s="22"/>
      <c r="H1415" s="22"/>
      <c r="I1415" s="24"/>
      <c r="J1415" s="24"/>
      <c r="K1415" s="24"/>
      <c r="L1415" s="24"/>
      <c r="M1415" s="26"/>
      <c r="N1415" s="26"/>
      <c r="O1415" s="26"/>
      <c r="P1415" s="27"/>
      <c r="Q1415" s="27"/>
      <c r="R1415" s="27"/>
      <c r="S1415" s="22"/>
      <c r="T1415" s="22"/>
      <c r="U1415" s="28"/>
    </row>
    <row r="1416">
      <c r="A1416" s="189"/>
      <c r="B1416" s="22"/>
      <c r="C1416" s="22"/>
      <c r="D1416" s="22"/>
      <c r="E1416" s="22"/>
      <c r="F1416" s="22"/>
      <c r="G1416" s="22"/>
      <c r="H1416" s="22"/>
      <c r="I1416" s="24"/>
      <c r="J1416" s="24"/>
      <c r="K1416" s="24"/>
      <c r="L1416" s="24"/>
      <c r="M1416" s="26"/>
      <c r="N1416" s="26"/>
      <c r="O1416" s="26"/>
      <c r="P1416" s="27"/>
      <c r="Q1416" s="27"/>
      <c r="R1416" s="27"/>
      <c r="S1416" s="22"/>
      <c r="T1416" s="22"/>
      <c r="U1416" s="28"/>
    </row>
    <row r="1417">
      <c r="A1417" s="189"/>
      <c r="B1417" s="22"/>
      <c r="C1417" s="22"/>
      <c r="D1417" s="22"/>
      <c r="E1417" s="22"/>
      <c r="F1417" s="22"/>
      <c r="G1417" s="22"/>
      <c r="H1417" s="22"/>
      <c r="I1417" s="24"/>
      <c r="J1417" s="24"/>
      <c r="K1417" s="24"/>
      <c r="L1417" s="24"/>
      <c r="M1417" s="26"/>
      <c r="N1417" s="26"/>
      <c r="O1417" s="26"/>
      <c r="P1417" s="27"/>
      <c r="Q1417" s="27"/>
      <c r="R1417" s="27"/>
      <c r="S1417" s="22"/>
      <c r="T1417" s="22"/>
      <c r="U1417" s="28"/>
    </row>
    <row r="1418">
      <c r="A1418" s="189"/>
      <c r="B1418" s="22"/>
      <c r="C1418" s="22"/>
      <c r="D1418" s="22"/>
      <c r="E1418" s="22"/>
      <c r="F1418" s="22"/>
      <c r="G1418" s="22"/>
      <c r="H1418" s="22"/>
      <c r="I1418" s="24"/>
      <c r="J1418" s="24"/>
      <c r="K1418" s="24"/>
      <c r="L1418" s="24"/>
      <c r="M1418" s="26"/>
      <c r="N1418" s="26"/>
      <c r="O1418" s="26"/>
      <c r="P1418" s="27"/>
      <c r="Q1418" s="27"/>
      <c r="R1418" s="27"/>
      <c r="S1418" s="22"/>
      <c r="T1418" s="22"/>
      <c r="U1418" s="28"/>
    </row>
    <row r="1419">
      <c r="A1419" s="189"/>
      <c r="B1419" s="22"/>
      <c r="C1419" s="22"/>
      <c r="D1419" s="22"/>
      <c r="E1419" s="22"/>
      <c r="F1419" s="22"/>
      <c r="G1419" s="22"/>
      <c r="H1419" s="22"/>
      <c r="I1419" s="24"/>
      <c r="J1419" s="24"/>
      <c r="K1419" s="24"/>
      <c r="L1419" s="24"/>
      <c r="M1419" s="26"/>
      <c r="N1419" s="26"/>
      <c r="O1419" s="26"/>
      <c r="P1419" s="27"/>
      <c r="Q1419" s="27"/>
      <c r="R1419" s="27"/>
      <c r="S1419" s="22"/>
      <c r="T1419" s="22"/>
      <c r="U1419" s="28"/>
    </row>
    <row r="1420">
      <c r="A1420" s="189"/>
      <c r="B1420" s="22"/>
      <c r="C1420" s="22"/>
      <c r="D1420" s="22"/>
      <c r="E1420" s="22"/>
      <c r="F1420" s="22"/>
      <c r="G1420" s="22"/>
      <c r="H1420" s="22"/>
      <c r="I1420" s="24"/>
      <c r="J1420" s="24"/>
      <c r="K1420" s="24"/>
      <c r="L1420" s="24"/>
      <c r="M1420" s="26"/>
      <c r="N1420" s="26"/>
      <c r="O1420" s="26"/>
      <c r="P1420" s="27"/>
      <c r="Q1420" s="27"/>
      <c r="R1420" s="27"/>
      <c r="S1420" s="22"/>
      <c r="T1420" s="22"/>
      <c r="U1420" s="28"/>
    </row>
    <row r="1421">
      <c r="A1421" s="189"/>
      <c r="B1421" s="22"/>
      <c r="C1421" s="22"/>
      <c r="D1421" s="22"/>
      <c r="E1421" s="22"/>
      <c r="F1421" s="22"/>
      <c r="G1421" s="22"/>
      <c r="H1421" s="22"/>
      <c r="I1421" s="24"/>
      <c r="J1421" s="24"/>
      <c r="K1421" s="24"/>
      <c r="L1421" s="24"/>
      <c r="M1421" s="26"/>
      <c r="N1421" s="26"/>
      <c r="O1421" s="26"/>
      <c r="P1421" s="27"/>
      <c r="Q1421" s="27"/>
      <c r="R1421" s="27"/>
      <c r="S1421" s="22"/>
      <c r="T1421" s="22"/>
      <c r="U1421" s="28"/>
    </row>
    <row r="1422">
      <c r="A1422" s="189"/>
      <c r="B1422" s="22"/>
      <c r="C1422" s="22"/>
      <c r="D1422" s="22"/>
      <c r="E1422" s="22"/>
      <c r="F1422" s="22"/>
      <c r="G1422" s="22"/>
      <c r="H1422" s="22"/>
      <c r="I1422" s="24"/>
      <c r="J1422" s="24"/>
      <c r="K1422" s="24"/>
      <c r="L1422" s="24"/>
      <c r="M1422" s="26"/>
      <c r="N1422" s="26"/>
      <c r="O1422" s="26"/>
      <c r="P1422" s="27"/>
      <c r="Q1422" s="27"/>
      <c r="R1422" s="27"/>
      <c r="S1422" s="22"/>
      <c r="T1422" s="22"/>
      <c r="U1422" s="28"/>
    </row>
    <row r="1423">
      <c r="A1423" s="189"/>
      <c r="B1423" s="22"/>
      <c r="C1423" s="22"/>
      <c r="D1423" s="22"/>
      <c r="E1423" s="22"/>
      <c r="F1423" s="22"/>
      <c r="G1423" s="22"/>
      <c r="H1423" s="22"/>
      <c r="I1423" s="24"/>
      <c r="J1423" s="24"/>
      <c r="K1423" s="24"/>
      <c r="L1423" s="24"/>
      <c r="M1423" s="26"/>
      <c r="N1423" s="26"/>
      <c r="O1423" s="26"/>
      <c r="P1423" s="27"/>
      <c r="Q1423" s="27"/>
      <c r="R1423" s="27"/>
      <c r="S1423" s="22"/>
      <c r="T1423" s="22"/>
      <c r="U1423" s="28"/>
    </row>
    <row r="1424">
      <c r="A1424" s="189"/>
      <c r="B1424" s="22"/>
      <c r="C1424" s="22"/>
      <c r="D1424" s="22"/>
      <c r="E1424" s="22"/>
      <c r="F1424" s="22"/>
      <c r="G1424" s="22"/>
      <c r="H1424" s="22"/>
      <c r="I1424" s="24"/>
      <c r="J1424" s="24"/>
      <c r="K1424" s="24"/>
      <c r="L1424" s="24"/>
      <c r="M1424" s="26"/>
      <c r="N1424" s="26"/>
      <c r="O1424" s="26"/>
      <c r="P1424" s="27"/>
      <c r="Q1424" s="27"/>
      <c r="R1424" s="27"/>
      <c r="S1424" s="22"/>
      <c r="T1424" s="22"/>
      <c r="U1424" s="28"/>
    </row>
    <row r="1425">
      <c r="A1425" s="189"/>
      <c r="B1425" s="22"/>
      <c r="C1425" s="22"/>
      <c r="D1425" s="22"/>
      <c r="E1425" s="22"/>
      <c r="F1425" s="22"/>
      <c r="G1425" s="22"/>
      <c r="H1425" s="22"/>
      <c r="I1425" s="24"/>
      <c r="J1425" s="24"/>
      <c r="K1425" s="24"/>
      <c r="L1425" s="24"/>
      <c r="M1425" s="26"/>
      <c r="N1425" s="26"/>
      <c r="O1425" s="26"/>
      <c r="P1425" s="27"/>
      <c r="Q1425" s="27"/>
      <c r="R1425" s="27"/>
      <c r="S1425" s="22"/>
      <c r="T1425" s="22"/>
      <c r="U1425" s="28"/>
    </row>
    <row r="1426">
      <c r="A1426" s="189"/>
      <c r="B1426" s="22"/>
      <c r="C1426" s="22"/>
      <c r="D1426" s="22"/>
      <c r="E1426" s="22"/>
      <c r="F1426" s="22"/>
      <c r="G1426" s="22"/>
      <c r="H1426" s="22"/>
      <c r="I1426" s="24"/>
      <c r="J1426" s="24"/>
      <c r="K1426" s="24"/>
      <c r="L1426" s="24"/>
      <c r="M1426" s="26"/>
      <c r="N1426" s="26"/>
      <c r="O1426" s="26"/>
      <c r="P1426" s="27"/>
      <c r="Q1426" s="27"/>
      <c r="R1426" s="27"/>
      <c r="S1426" s="22"/>
      <c r="T1426" s="22"/>
      <c r="U1426" s="28"/>
    </row>
    <row r="1427">
      <c r="A1427" s="189"/>
      <c r="B1427" s="22"/>
      <c r="C1427" s="22"/>
      <c r="D1427" s="22"/>
      <c r="E1427" s="22"/>
      <c r="F1427" s="22"/>
      <c r="G1427" s="22"/>
      <c r="H1427" s="22"/>
      <c r="I1427" s="24"/>
      <c r="J1427" s="24"/>
      <c r="K1427" s="24"/>
      <c r="L1427" s="24"/>
      <c r="M1427" s="26"/>
      <c r="N1427" s="26"/>
      <c r="O1427" s="26"/>
      <c r="P1427" s="27"/>
      <c r="Q1427" s="27"/>
      <c r="R1427" s="27"/>
      <c r="S1427" s="22"/>
      <c r="T1427" s="22"/>
      <c r="U1427" s="28"/>
    </row>
    <row r="1428">
      <c r="A1428" s="189"/>
      <c r="B1428" s="22"/>
      <c r="C1428" s="22"/>
      <c r="D1428" s="22"/>
      <c r="E1428" s="22"/>
      <c r="F1428" s="22"/>
      <c r="G1428" s="22"/>
      <c r="H1428" s="22"/>
      <c r="I1428" s="24"/>
      <c r="J1428" s="24"/>
      <c r="K1428" s="24"/>
      <c r="L1428" s="24"/>
      <c r="M1428" s="26"/>
      <c r="N1428" s="26"/>
      <c r="O1428" s="26"/>
      <c r="P1428" s="27"/>
      <c r="Q1428" s="27"/>
      <c r="R1428" s="27"/>
      <c r="S1428" s="22"/>
      <c r="T1428" s="22"/>
      <c r="U1428" s="28"/>
    </row>
    <row r="1429">
      <c r="A1429" s="189"/>
      <c r="B1429" s="22"/>
      <c r="C1429" s="22"/>
      <c r="D1429" s="22"/>
      <c r="E1429" s="22"/>
      <c r="F1429" s="22"/>
      <c r="G1429" s="22"/>
      <c r="H1429" s="22"/>
      <c r="I1429" s="24"/>
      <c r="J1429" s="24"/>
      <c r="K1429" s="24"/>
      <c r="L1429" s="24"/>
      <c r="M1429" s="26"/>
      <c r="N1429" s="26"/>
      <c r="O1429" s="26"/>
      <c r="P1429" s="27"/>
      <c r="Q1429" s="27"/>
      <c r="R1429" s="27"/>
      <c r="S1429" s="22"/>
      <c r="T1429" s="22"/>
      <c r="U1429" s="28"/>
    </row>
    <row r="1430">
      <c r="A1430" s="189"/>
      <c r="B1430" s="22"/>
      <c r="C1430" s="22"/>
      <c r="D1430" s="22"/>
      <c r="E1430" s="22"/>
      <c r="F1430" s="22"/>
      <c r="G1430" s="22"/>
      <c r="H1430" s="22"/>
      <c r="I1430" s="24"/>
      <c r="J1430" s="24"/>
      <c r="K1430" s="24"/>
      <c r="L1430" s="24"/>
      <c r="M1430" s="26"/>
      <c r="N1430" s="26"/>
      <c r="O1430" s="26"/>
      <c r="P1430" s="27"/>
      <c r="Q1430" s="27"/>
      <c r="R1430" s="27"/>
      <c r="S1430" s="22"/>
      <c r="T1430" s="22"/>
      <c r="U1430" s="28"/>
    </row>
    <row r="1431">
      <c r="A1431" s="189"/>
      <c r="B1431" s="22"/>
      <c r="C1431" s="22"/>
      <c r="D1431" s="22"/>
      <c r="E1431" s="22"/>
      <c r="F1431" s="22"/>
      <c r="G1431" s="22"/>
      <c r="H1431" s="22"/>
      <c r="I1431" s="24"/>
      <c r="J1431" s="24"/>
      <c r="K1431" s="24"/>
      <c r="L1431" s="24"/>
      <c r="M1431" s="26"/>
      <c r="N1431" s="26"/>
      <c r="O1431" s="26"/>
      <c r="P1431" s="27"/>
      <c r="Q1431" s="27"/>
      <c r="R1431" s="27"/>
      <c r="S1431" s="22"/>
      <c r="T1431" s="22"/>
      <c r="U1431" s="28"/>
    </row>
    <row r="1432">
      <c r="A1432" s="189"/>
      <c r="B1432" s="22"/>
      <c r="C1432" s="22"/>
      <c r="D1432" s="22"/>
      <c r="E1432" s="22"/>
      <c r="F1432" s="22"/>
      <c r="G1432" s="22"/>
      <c r="H1432" s="22"/>
      <c r="I1432" s="24"/>
      <c r="J1432" s="24"/>
      <c r="K1432" s="24"/>
      <c r="L1432" s="24"/>
      <c r="M1432" s="26"/>
      <c r="N1432" s="26"/>
      <c r="O1432" s="26"/>
      <c r="P1432" s="27"/>
      <c r="Q1432" s="27"/>
      <c r="R1432" s="27"/>
      <c r="S1432" s="22"/>
      <c r="T1432" s="22"/>
      <c r="U1432" s="28"/>
    </row>
    <row r="1433">
      <c r="A1433" s="189"/>
      <c r="B1433" s="22"/>
      <c r="C1433" s="22"/>
      <c r="D1433" s="22"/>
      <c r="E1433" s="22"/>
      <c r="F1433" s="22"/>
      <c r="G1433" s="22"/>
      <c r="H1433" s="22"/>
      <c r="I1433" s="24"/>
      <c r="J1433" s="24"/>
      <c r="K1433" s="24"/>
      <c r="L1433" s="24"/>
      <c r="M1433" s="26"/>
      <c r="N1433" s="26"/>
      <c r="O1433" s="26"/>
      <c r="P1433" s="27"/>
      <c r="Q1433" s="27"/>
      <c r="R1433" s="27"/>
      <c r="S1433" s="22"/>
      <c r="T1433" s="22"/>
      <c r="U1433" s="28"/>
    </row>
    <row r="1434">
      <c r="A1434" s="189"/>
      <c r="B1434" s="22"/>
      <c r="C1434" s="22"/>
      <c r="D1434" s="22"/>
      <c r="E1434" s="22"/>
      <c r="F1434" s="22"/>
      <c r="G1434" s="22"/>
      <c r="H1434" s="22"/>
      <c r="I1434" s="24"/>
      <c r="J1434" s="24"/>
      <c r="K1434" s="24"/>
      <c r="L1434" s="24"/>
      <c r="M1434" s="26"/>
      <c r="N1434" s="26"/>
      <c r="O1434" s="26"/>
      <c r="P1434" s="27"/>
      <c r="Q1434" s="27"/>
      <c r="R1434" s="27"/>
      <c r="S1434" s="22"/>
      <c r="T1434" s="22"/>
      <c r="U1434" s="28"/>
    </row>
    <row r="1435">
      <c r="A1435" s="189"/>
      <c r="B1435" s="22"/>
      <c r="C1435" s="22"/>
      <c r="D1435" s="22"/>
      <c r="E1435" s="22"/>
      <c r="F1435" s="22"/>
      <c r="G1435" s="22"/>
      <c r="H1435" s="22"/>
      <c r="I1435" s="24"/>
      <c r="J1435" s="24"/>
      <c r="K1435" s="24"/>
      <c r="L1435" s="24"/>
      <c r="M1435" s="26"/>
      <c r="N1435" s="26"/>
      <c r="O1435" s="26"/>
      <c r="P1435" s="27"/>
      <c r="Q1435" s="27"/>
      <c r="R1435" s="27"/>
      <c r="S1435" s="22"/>
      <c r="T1435" s="22"/>
      <c r="U1435" s="28"/>
    </row>
    <row r="1436">
      <c r="A1436" s="189"/>
      <c r="B1436" s="22"/>
      <c r="C1436" s="22"/>
      <c r="D1436" s="22"/>
      <c r="E1436" s="22"/>
      <c r="F1436" s="22"/>
      <c r="G1436" s="22"/>
      <c r="H1436" s="22"/>
      <c r="I1436" s="24"/>
      <c r="J1436" s="24"/>
      <c r="K1436" s="24"/>
      <c r="L1436" s="24"/>
      <c r="M1436" s="26"/>
      <c r="N1436" s="26"/>
      <c r="O1436" s="26"/>
      <c r="P1436" s="27"/>
      <c r="Q1436" s="27"/>
      <c r="R1436" s="27"/>
      <c r="S1436" s="22"/>
      <c r="T1436" s="22"/>
      <c r="U1436" s="28"/>
    </row>
    <row r="1437">
      <c r="A1437" s="189"/>
      <c r="B1437" s="22"/>
      <c r="C1437" s="22"/>
      <c r="D1437" s="22"/>
      <c r="E1437" s="22"/>
      <c r="F1437" s="22"/>
      <c r="G1437" s="22"/>
      <c r="H1437" s="22"/>
      <c r="I1437" s="24"/>
      <c r="J1437" s="24"/>
      <c r="K1437" s="24"/>
      <c r="L1437" s="24"/>
      <c r="M1437" s="26"/>
      <c r="N1437" s="26"/>
      <c r="O1437" s="26"/>
      <c r="P1437" s="27"/>
      <c r="Q1437" s="27"/>
      <c r="R1437" s="27"/>
      <c r="S1437" s="22"/>
      <c r="T1437" s="22"/>
      <c r="U1437" s="28"/>
    </row>
    <row r="1438">
      <c r="A1438" s="189"/>
      <c r="B1438" s="22"/>
      <c r="C1438" s="22"/>
      <c r="D1438" s="22"/>
      <c r="E1438" s="22"/>
      <c r="F1438" s="22"/>
      <c r="G1438" s="22"/>
      <c r="H1438" s="22"/>
      <c r="I1438" s="24"/>
      <c r="J1438" s="24"/>
      <c r="K1438" s="24"/>
      <c r="L1438" s="24"/>
      <c r="M1438" s="26"/>
      <c r="N1438" s="26"/>
      <c r="O1438" s="26"/>
      <c r="P1438" s="27"/>
      <c r="Q1438" s="27"/>
      <c r="R1438" s="27"/>
      <c r="S1438" s="22"/>
      <c r="T1438" s="22"/>
      <c r="U1438" s="28"/>
    </row>
    <row r="1439">
      <c r="A1439" s="189"/>
      <c r="B1439" s="22"/>
      <c r="C1439" s="22"/>
      <c r="D1439" s="22"/>
      <c r="E1439" s="22"/>
      <c r="F1439" s="22"/>
      <c r="G1439" s="22"/>
      <c r="H1439" s="22"/>
      <c r="I1439" s="24"/>
      <c r="J1439" s="24"/>
      <c r="K1439" s="24"/>
      <c r="L1439" s="24"/>
      <c r="M1439" s="26"/>
      <c r="N1439" s="26"/>
      <c r="O1439" s="26"/>
      <c r="P1439" s="27"/>
      <c r="Q1439" s="27"/>
      <c r="R1439" s="27"/>
      <c r="S1439" s="22"/>
      <c r="T1439" s="22"/>
      <c r="U1439" s="28"/>
    </row>
    <row r="1440">
      <c r="A1440" s="189"/>
      <c r="B1440" s="22"/>
      <c r="C1440" s="22"/>
      <c r="D1440" s="22"/>
      <c r="E1440" s="22"/>
      <c r="F1440" s="22"/>
      <c r="G1440" s="22"/>
      <c r="H1440" s="22"/>
      <c r="I1440" s="24"/>
      <c r="J1440" s="24"/>
      <c r="K1440" s="24"/>
      <c r="L1440" s="24"/>
      <c r="M1440" s="26"/>
      <c r="N1440" s="26"/>
      <c r="O1440" s="26"/>
      <c r="P1440" s="27"/>
      <c r="Q1440" s="27"/>
      <c r="R1440" s="27"/>
      <c r="S1440" s="22"/>
      <c r="T1440" s="22"/>
      <c r="U1440" s="28"/>
    </row>
    <row r="1441">
      <c r="A1441" s="189"/>
      <c r="B1441" s="22"/>
      <c r="C1441" s="22"/>
      <c r="D1441" s="22"/>
      <c r="E1441" s="22"/>
      <c r="F1441" s="22"/>
      <c r="G1441" s="22"/>
      <c r="H1441" s="22"/>
      <c r="I1441" s="24"/>
      <c r="J1441" s="24"/>
      <c r="K1441" s="24"/>
      <c r="L1441" s="24"/>
      <c r="M1441" s="26"/>
      <c r="N1441" s="26"/>
      <c r="O1441" s="26"/>
      <c r="P1441" s="27"/>
      <c r="Q1441" s="27"/>
      <c r="R1441" s="27"/>
      <c r="S1441" s="22"/>
      <c r="T1441" s="22"/>
      <c r="U1441" s="28"/>
    </row>
    <row r="1442">
      <c r="A1442" s="189"/>
      <c r="B1442" s="22"/>
      <c r="C1442" s="22"/>
      <c r="D1442" s="22"/>
      <c r="E1442" s="22"/>
      <c r="F1442" s="22"/>
      <c r="G1442" s="22"/>
      <c r="H1442" s="22"/>
      <c r="I1442" s="24"/>
      <c r="J1442" s="24"/>
      <c r="K1442" s="24"/>
      <c r="L1442" s="24"/>
      <c r="M1442" s="26"/>
      <c r="N1442" s="26"/>
      <c r="O1442" s="26"/>
      <c r="P1442" s="27"/>
      <c r="Q1442" s="27"/>
      <c r="R1442" s="27"/>
      <c r="S1442" s="22"/>
      <c r="T1442" s="22"/>
      <c r="U1442" s="28"/>
    </row>
    <row r="1443">
      <c r="A1443" s="189"/>
      <c r="B1443" s="22"/>
      <c r="C1443" s="22"/>
      <c r="D1443" s="22"/>
      <c r="E1443" s="22"/>
      <c r="F1443" s="22"/>
      <c r="G1443" s="22"/>
      <c r="H1443" s="22"/>
      <c r="I1443" s="24"/>
      <c r="J1443" s="24"/>
      <c r="K1443" s="24"/>
      <c r="L1443" s="24"/>
      <c r="M1443" s="26"/>
      <c r="N1443" s="26"/>
      <c r="O1443" s="26"/>
      <c r="P1443" s="27"/>
      <c r="Q1443" s="27"/>
      <c r="R1443" s="27"/>
      <c r="S1443" s="22"/>
      <c r="T1443" s="22"/>
      <c r="U1443" s="28"/>
    </row>
    <row r="1444">
      <c r="A1444" s="189"/>
      <c r="B1444" s="22"/>
      <c r="C1444" s="22"/>
      <c r="D1444" s="22"/>
      <c r="E1444" s="22"/>
      <c r="F1444" s="22"/>
      <c r="G1444" s="22"/>
      <c r="H1444" s="22"/>
      <c r="I1444" s="24"/>
      <c r="J1444" s="24"/>
      <c r="K1444" s="24"/>
      <c r="L1444" s="24"/>
      <c r="M1444" s="26"/>
      <c r="N1444" s="26"/>
      <c r="O1444" s="26"/>
      <c r="P1444" s="27"/>
      <c r="Q1444" s="27"/>
      <c r="R1444" s="27"/>
      <c r="S1444" s="22"/>
      <c r="T1444" s="22"/>
      <c r="U1444" s="28"/>
    </row>
    <row r="1445">
      <c r="A1445" s="189"/>
      <c r="B1445" s="22"/>
      <c r="C1445" s="22"/>
      <c r="D1445" s="22"/>
      <c r="E1445" s="22"/>
      <c r="F1445" s="22"/>
      <c r="G1445" s="22"/>
      <c r="H1445" s="22"/>
      <c r="I1445" s="24"/>
      <c r="J1445" s="24"/>
      <c r="K1445" s="24"/>
      <c r="L1445" s="24"/>
      <c r="M1445" s="26"/>
      <c r="N1445" s="26"/>
      <c r="O1445" s="26"/>
      <c r="P1445" s="27"/>
      <c r="Q1445" s="27"/>
      <c r="R1445" s="27"/>
      <c r="S1445" s="22"/>
      <c r="T1445" s="22"/>
      <c r="U1445" s="28"/>
    </row>
    <row r="1446">
      <c r="A1446" s="189"/>
      <c r="B1446" s="22"/>
      <c r="C1446" s="22"/>
      <c r="D1446" s="22"/>
      <c r="E1446" s="22"/>
      <c r="F1446" s="22"/>
      <c r="G1446" s="22"/>
      <c r="H1446" s="22"/>
      <c r="I1446" s="24"/>
      <c r="J1446" s="24"/>
      <c r="K1446" s="24"/>
      <c r="L1446" s="24"/>
      <c r="M1446" s="26"/>
      <c r="N1446" s="26"/>
      <c r="O1446" s="26"/>
      <c r="P1446" s="27"/>
      <c r="Q1446" s="27"/>
      <c r="R1446" s="27"/>
      <c r="S1446" s="22"/>
      <c r="T1446" s="22"/>
      <c r="U1446" s="28"/>
    </row>
    <row r="1447">
      <c r="A1447" s="189"/>
      <c r="B1447" s="22"/>
      <c r="C1447" s="22"/>
      <c r="D1447" s="22"/>
      <c r="E1447" s="22"/>
      <c r="F1447" s="22"/>
      <c r="G1447" s="22"/>
      <c r="H1447" s="22"/>
      <c r="I1447" s="24"/>
      <c r="J1447" s="24"/>
      <c r="K1447" s="24"/>
      <c r="L1447" s="24"/>
      <c r="M1447" s="26"/>
      <c r="N1447" s="26"/>
      <c r="O1447" s="26"/>
      <c r="P1447" s="27"/>
      <c r="Q1447" s="27"/>
      <c r="R1447" s="27"/>
      <c r="S1447" s="22"/>
      <c r="T1447" s="22"/>
      <c r="U1447" s="28"/>
    </row>
    <row r="1448">
      <c r="A1448" s="189"/>
      <c r="B1448" s="22"/>
      <c r="C1448" s="22"/>
      <c r="D1448" s="22"/>
      <c r="E1448" s="22"/>
      <c r="F1448" s="22"/>
      <c r="G1448" s="22"/>
      <c r="H1448" s="22"/>
      <c r="I1448" s="24"/>
      <c r="J1448" s="24"/>
      <c r="K1448" s="24"/>
      <c r="L1448" s="24"/>
      <c r="M1448" s="26"/>
      <c r="N1448" s="26"/>
      <c r="O1448" s="26"/>
      <c r="P1448" s="27"/>
      <c r="Q1448" s="27"/>
      <c r="R1448" s="27"/>
      <c r="S1448" s="22"/>
      <c r="T1448" s="22"/>
      <c r="U1448" s="28"/>
    </row>
    <row r="1449">
      <c r="A1449" s="189"/>
      <c r="B1449" s="22"/>
      <c r="C1449" s="22"/>
      <c r="D1449" s="22"/>
      <c r="E1449" s="22"/>
      <c r="F1449" s="22"/>
      <c r="G1449" s="22"/>
      <c r="H1449" s="22"/>
      <c r="I1449" s="24"/>
      <c r="J1449" s="24"/>
      <c r="K1449" s="24"/>
      <c r="L1449" s="24"/>
      <c r="M1449" s="26"/>
      <c r="N1449" s="26"/>
      <c r="O1449" s="26"/>
      <c r="P1449" s="27"/>
      <c r="Q1449" s="27"/>
      <c r="R1449" s="27"/>
      <c r="S1449" s="22"/>
      <c r="T1449" s="22"/>
      <c r="U1449" s="28"/>
    </row>
    <row r="1450">
      <c r="A1450" s="189"/>
      <c r="B1450" s="22"/>
      <c r="C1450" s="22"/>
      <c r="D1450" s="22"/>
      <c r="E1450" s="22"/>
      <c r="F1450" s="22"/>
      <c r="G1450" s="22"/>
      <c r="H1450" s="22"/>
      <c r="I1450" s="24"/>
      <c r="J1450" s="24"/>
      <c r="K1450" s="24"/>
      <c r="L1450" s="24"/>
      <c r="M1450" s="26"/>
      <c r="N1450" s="26"/>
      <c r="O1450" s="26"/>
      <c r="P1450" s="27"/>
      <c r="Q1450" s="27"/>
      <c r="R1450" s="27"/>
      <c r="S1450" s="22"/>
      <c r="T1450" s="22"/>
      <c r="U1450" s="28"/>
    </row>
    <row r="1451">
      <c r="A1451" s="189"/>
      <c r="B1451" s="22"/>
      <c r="C1451" s="22"/>
      <c r="D1451" s="22"/>
      <c r="E1451" s="22"/>
      <c r="F1451" s="22"/>
      <c r="G1451" s="22"/>
      <c r="H1451" s="22"/>
      <c r="I1451" s="24"/>
      <c r="J1451" s="24"/>
      <c r="K1451" s="24"/>
      <c r="L1451" s="24"/>
      <c r="M1451" s="26"/>
      <c r="N1451" s="26"/>
      <c r="O1451" s="26"/>
      <c r="P1451" s="27"/>
      <c r="Q1451" s="27"/>
      <c r="R1451" s="27"/>
      <c r="S1451" s="22"/>
      <c r="T1451" s="22"/>
      <c r="U1451" s="28"/>
    </row>
    <row r="1452">
      <c r="A1452" s="189"/>
      <c r="B1452" s="22"/>
      <c r="C1452" s="22"/>
      <c r="D1452" s="22"/>
      <c r="E1452" s="22"/>
      <c r="F1452" s="22"/>
      <c r="G1452" s="22"/>
      <c r="H1452" s="22"/>
      <c r="I1452" s="24"/>
      <c r="J1452" s="24"/>
      <c r="K1452" s="24"/>
      <c r="L1452" s="24"/>
      <c r="M1452" s="26"/>
      <c r="N1452" s="26"/>
      <c r="O1452" s="26"/>
      <c r="P1452" s="27"/>
      <c r="Q1452" s="27"/>
      <c r="R1452" s="27"/>
      <c r="S1452" s="22"/>
      <c r="T1452" s="22"/>
      <c r="U1452" s="28"/>
    </row>
    <row r="1453">
      <c r="A1453" s="189"/>
      <c r="B1453" s="22"/>
      <c r="C1453" s="22"/>
      <c r="D1453" s="22"/>
      <c r="E1453" s="22"/>
      <c r="F1453" s="22"/>
      <c r="G1453" s="22"/>
      <c r="H1453" s="22"/>
      <c r="I1453" s="24"/>
      <c r="J1453" s="24"/>
      <c r="K1453" s="24"/>
      <c r="L1453" s="24"/>
      <c r="M1453" s="26"/>
      <c r="N1453" s="26"/>
      <c r="O1453" s="26"/>
      <c r="P1453" s="27"/>
      <c r="Q1453" s="27"/>
      <c r="R1453" s="27"/>
      <c r="S1453" s="22"/>
      <c r="T1453" s="22"/>
      <c r="U1453" s="28"/>
    </row>
    <row r="1454">
      <c r="A1454" s="189"/>
      <c r="B1454" s="22"/>
      <c r="C1454" s="22"/>
      <c r="D1454" s="22"/>
      <c r="E1454" s="22"/>
      <c r="F1454" s="22"/>
      <c r="G1454" s="22"/>
      <c r="H1454" s="22"/>
      <c r="I1454" s="24"/>
      <c r="J1454" s="24"/>
      <c r="K1454" s="24"/>
      <c r="L1454" s="24"/>
      <c r="M1454" s="26"/>
      <c r="N1454" s="26"/>
      <c r="O1454" s="26"/>
      <c r="P1454" s="27"/>
      <c r="Q1454" s="27"/>
      <c r="R1454" s="27"/>
      <c r="S1454" s="22"/>
      <c r="T1454" s="22"/>
      <c r="U1454" s="28"/>
    </row>
    <row r="1455">
      <c r="A1455" s="189"/>
      <c r="B1455" s="22"/>
      <c r="C1455" s="22"/>
      <c r="D1455" s="22"/>
      <c r="E1455" s="22"/>
      <c r="F1455" s="22"/>
      <c r="G1455" s="22"/>
      <c r="H1455" s="22"/>
      <c r="I1455" s="24"/>
      <c r="J1455" s="24"/>
      <c r="K1455" s="24"/>
      <c r="L1455" s="24"/>
      <c r="M1455" s="26"/>
      <c r="N1455" s="26"/>
      <c r="O1455" s="26"/>
      <c r="P1455" s="27"/>
      <c r="Q1455" s="27"/>
      <c r="R1455" s="27"/>
      <c r="S1455" s="22"/>
      <c r="T1455" s="22"/>
      <c r="U1455" s="28"/>
    </row>
    <row r="1456">
      <c r="A1456" s="189"/>
      <c r="B1456" s="22"/>
      <c r="C1456" s="22"/>
      <c r="D1456" s="22"/>
      <c r="E1456" s="22"/>
      <c r="F1456" s="22"/>
      <c r="G1456" s="22"/>
      <c r="H1456" s="22"/>
      <c r="I1456" s="24"/>
      <c r="J1456" s="24"/>
      <c r="K1456" s="24"/>
      <c r="L1456" s="24"/>
      <c r="M1456" s="26"/>
      <c r="N1456" s="26"/>
      <c r="O1456" s="26"/>
      <c r="P1456" s="27"/>
      <c r="Q1456" s="27"/>
      <c r="R1456" s="27"/>
      <c r="S1456" s="22"/>
      <c r="T1456" s="22"/>
      <c r="U1456" s="28"/>
    </row>
    <row r="1457">
      <c r="A1457" s="189"/>
      <c r="B1457" s="22"/>
      <c r="C1457" s="22"/>
      <c r="D1457" s="22"/>
      <c r="E1457" s="22"/>
      <c r="F1457" s="22"/>
      <c r="G1457" s="22"/>
      <c r="H1457" s="22"/>
      <c r="I1457" s="24"/>
      <c r="J1457" s="24"/>
      <c r="K1457" s="24"/>
      <c r="L1457" s="24"/>
      <c r="M1457" s="26"/>
      <c r="N1457" s="26"/>
      <c r="O1457" s="26"/>
      <c r="P1457" s="27"/>
      <c r="Q1457" s="27"/>
      <c r="R1457" s="27"/>
      <c r="S1457" s="22"/>
      <c r="T1457" s="22"/>
      <c r="U1457" s="28"/>
    </row>
    <row r="1458">
      <c r="A1458" s="189"/>
      <c r="B1458" s="22"/>
      <c r="C1458" s="22"/>
      <c r="D1458" s="22"/>
      <c r="E1458" s="22"/>
      <c r="F1458" s="22"/>
      <c r="G1458" s="22"/>
      <c r="H1458" s="22"/>
      <c r="I1458" s="24"/>
      <c r="J1458" s="24"/>
      <c r="K1458" s="24"/>
      <c r="L1458" s="24"/>
      <c r="M1458" s="26"/>
      <c r="N1458" s="26"/>
      <c r="O1458" s="26"/>
      <c r="P1458" s="27"/>
      <c r="Q1458" s="27"/>
      <c r="R1458" s="27"/>
      <c r="S1458" s="22"/>
      <c r="T1458" s="22"/>
      <c r="U1458" s="28"/>
    </row>
    <row r="1459">
      <c r="A1459" s="189"/>
      <c r="B1459" s="22"/>
      <c r="C1459" s="22"/>
      <c r="D1459" s="22"/>
      <c r="E1459" s="22"/>
      <c r="F1459" s="22"/>
      <c r="G1459" s="22"/>
      <c r="H1459" s="22"/>
      <c r="I1459" s="24"/>
      <c r="J1459" s="24"/>
      <c r="K1459" s="24"/>
      <c r="L1459" s="24"/>
      <c r="M1459" s="26"/>
      <c r="N1459" s="26"/>
      <c r="O1459" s="26"/>
      <c r="P1459" s="27"/>
      <c r="Q1459" s="27"/>
      <c r="R1459" s="27"/>
      <c r="S1459" s="22"/>
      <c r="T1459" s="22"/>
      <c r="U1459" s="28"/>
    </row>
    <row r="1460">
      <c r="A1460" s="189"/>
      <c r="B1460" s="22"/>
      <c r="C1460" s="22"/>
      <c r="D1460" s="22"/>
      <c r="E1460" s="22"/>
      <c r="F1460" s="22"/>
      <c r="G1460" s="22"/>
      <c r="H1460" s="22"/>
      <c r="I1460" s="24"/>
      <c r="J1460" s="24"/>
      <c r="K1460" s="24"/>
      <c r="L1460" s="24"/>
      <c r="M1460" s="26"/>
      <c r="N1460" s="26"/>
      <c r="O1460" s="26"/>
      <c r="P1460" s="27"/>
      <c r="Q1460" s="27"/>
      <c r="R1460" s="27"/>
      <c r="S1460" s="22"/>
      <c r="T1460" s="22"/>
      <c r="U1460" s="28"/>
    </row>
    <row r="1461">
      <c r="A1461" s="189"/>
      <c r="B1461" s="22"/>
      <c r="C1461" s="22"/>
      <c r="D1461" s="22"/>
      <c r="E1461" s="22"/>
      <c r="F1461" s="22"/>
      <c r="G1461" s="22"/>
      <c r="H1461" s="22"/>
      <c r="I1461" s="24"/>
      <c r="J1461" s="24"/>
      <c r="K1461" s="24"/>
      <c r="L1461" s="24"/>
      <c r="M1461" s="26"/>
      <c r="N1461" s="26"/>
      <c r="O1461" s="26"/>
      <c r="P1461" s="27"/>
      <c r="Q1461" s="27"/>
      <c r="R1461" s="27"/>
      <c r="S1461" s="22"/>
      <c r="T1461" s="22"/>
      <c r="U1461" s="28"/>
    </row>
    <row r="1462">
      <c r="A1462" s="189"/>
      <c r="B1462" s="22"/>
      <c r="C1462" s="22"/>
      <c r="D1462" s="22"/>
      <c r="E1462" s="22"/>
      <c r="F1462" s="22"/>
      <c r="G1462" s="22"/>
      <c r="H1462" s="22"/>
      <c r="I1462" s="24"/>
      <c r="J1462" s="24"/>
      <c r="K1462" s="24"/>
      <c r="L1462" s="24"/>
      <c r="M1462" s="26"/>
      <c r="N1462" s="26"/>
      <c r="O1462" s="26"/>
      <c r="P1462" s="27"/>
      <c r="Q1462" s="27"/>
      <c r="R1462" s="27"/>
      <c r="S1462" s="22"/>
      <c r="T1462" s="22"/>
      <c r="U1462" s="28"/>
    </row>
    <row r="1463">
      <c r="A1463" s="189"/>
      <c r="B1463" s="22"/>
      <c r="C1463" s="22"/>
      <c r="D1463" s="22"/>
      <c r="E1463" s="22"/>
      <c r="F1463" s="22"/>
      <c r="G1463" s="22"/>
      <c r="H1463" s="22"/>
      <c r="I1463" s="24"/>
      <c r="J1463" s="24"/>
      <c r="K1463" s="24"/>
      <c r="L1463" s="24"/>
      <c r="M1463" s="26"/>
      <c r="N1463" s="26"/>
      <c r="O1463" s="26"/>
      <c r="P1463" s="27"/>
      <c r="Q1463" s="27"/>
      <c r="R1463" s="27"/>
      <c r="S1463" s="22"/>
      <c r="T1463" s="22"/>
      <c r="U1463" s="28"/>
    </row>
    <row r="1464">
      <c r="A1464" s="189"/>
      <c r="B1464" s="22"/>
      <c r="C1464" s="22"/>
      <c r="D1464" s="22"/>
      <c r="E1464" s="22"/>
      <c r="F1464" s="22"/>
      <c r="G1464" s="22"/>
      <c r="H1464" s="22"/>
      <c r="I1464" s="24"/>
      <c r="J1464" s="24"/>
      <c r="K1464" s="24"/>
      <c r="L1464" s="24"/>
      <c r="M1464" s="26"/>
      <c r="N1464" s="26"/>
      <c r="O1464" s="26"/>
      <c r="P1464" s="27"/>
      <c r="Q1464" s="27"/>
      <c r="R1464" s="27"/>
      <c r="S1464" s="22"/>
      <c r="T1464" s="22"/>
      <c r="U1464" s="28"/>
    </row>
    <row r="1465">
      <c r="A1465" s="189"/>
      <c r="B1465" s="22"/>
      <c r="C1465" s="22"/>
      <c r="D1465" s="22"/>
      <c r="E1465" s="22"/>
      <c r="F1465" s="22"/>
      <c r="G1465" s="22"/>
      <c r="H1465" s="22"/>
      <c r="I1465" s="24"/>
      <c r="J1465" s="24"/>
      <c r="K1465" s="24"/>
      <c r="L1465" s="24"/>
      <c r="M1465" s="26"/>
      <c r="N1465" s="26"/>
      <c r="O1465" s="26"/>
      <c r="P1465" s="27"/>
      <c r="Q1465" s="27"/>
      <c r="R1465" s="27"/>
      <c r="S1465" s="22"/>
      <c r="T1465" s="22"/>
      <c r="U1465" s="28"/>
    </row>
    <row r="1466">
      <c r="A1466" s="189"/>
      <c r="B1466" s="22"/>
      <c r="C1466" s="22"/>
      <c r="D1466" s="22"/>
      <c r="E1466" s="22"/>
      <c r="F1466" s="22"/>
      <c r="G1466" s="22"/>
      <c r="H1466" s="22"/>
      <c r="I1466" s="24"/>
      <c r="J1466" s="24"/>
      <c r="K1466" s="24"/>
      <c r="L1466" s="24"/>
      <c r="M1466" s="26"/>
      <c r="N1466" s="26"/>
      <c r="O1466" s="26"/>
      <c r="P1466" s="27"/>
      <c r="Q1466" s="27"/>
      <c r="R1466" s="27"/>
      <c r="S1466" s="22"/>
      <c r="T1466" s="22"/>
      <c r="U1466" s="28"/>
    </row>
    <row r="1467">
      <c r="A1467" s="189"/>
      <c r="B1467" s="22"/>
      <c r="C1467" s="22"/>
      <c r="D1467" s="22"/>
      <c r="E1467" s="22"/>
      <c r="F1467" s="22"/>
      <c r="G1467" s="22"/>
      <c r="H1467" s="22"/>
      <c r="I1467" s="24"/>
      <c r="J1467" s="24"/>
      <c r="K1467" s="24"/>
      <c r="L1467" s="24"/>
      <c r="M1467" s="26"/>
      <c r="N1467" s="26"/>
      <c r="O1467" s="26"/>
      <c r="P1467" s="27"/>
      <c r="Q1467" s="27"/>
      <c r="R1467" s="27"/>
      <c r="S1467" s="22"/>
      <c r="T1467" s="22"/>
      <c r="U1467" s="28"/>
    </row>
    <row r="1468">
      <c r="A1468" s="189"/>
      <c r="B1468" s="22"/>
      <c r="C1468" s="22"/>
      <c r="D1468" s="22"/>
      <c r="E1468" s="22"/>
      <c r="F1468" s="22"/>
      <c r="G1468" s="22"/>
      <c r="H1468" s="22"/>
      <c r="I1468" s="24"/>
      <c r="J1468" s="24"/>
      <c r="K1468" s="24"/>
      <c r="L1468" s="24"/>
      <c r="M1468" s="26"/>
      <c r="N1468" s="26"/>
      <c r="O1468" s="26"/>
      <c r="P1468" s="27"/>
      <c r="Q1468" s="27"/>
      <c r="R1468" s="27"/>
      <c r="S1468" s="22"/>
      <c r="T1468" s="22"/>
      <c r="U1468" s="28"/>
    </row>
    <row r="1469">
      <c r="A1469" s="189"/>
      <c r="B1469" s="22"/>
      <c r="C1469" s="22"/>
      <c r="D1469" s="22"/>
      <c r="E1469" s="22"/>
      <c r="F1469" s="22"/>
      <c r="G1469" s="22"/>
      <c r="H1469" s="22"/>
      <c r="I1469" s="24"/>
      <c r="J1469" s="24"/>
      <c r="K1469" s="24"/>
      <c r="L1469" s="24"/>
      <c r="M1469" s="26"/>
      <c r="N1469" s="26"/>
      <c r="O1469" s="26"/>
      <c r="P1469" s="27"/>
      <c r="Q1469" s="27"/>
      <c r="R1469" s="27"/>
      <c r="S1469" s="22"/>
      <c r="T1469" s="22"/>
      <c r="U1469" s="28"/>
    </row>
    <row r="1470">
      <c r="A1470" s="189"/>
      <c r="B1470" s="22"/>
      <c r="C1470" s="22"/>
      <c r="D1470" s="22"/>
      <c r="E1470" s="22"/>
      <c r="F1470" s="22"/>
      <c r="G1470" s="22"/>
      <c r="H1470" s="22"/>
      <c r="I1470" s="24"/>
      <c r="J1470" s="24"/>
      <c r="K1470" s="24"/>
      <c r="L1470" s="24"/>
      <c r="M1470" s="26"/>
      <c r="N1470" s="26"/>
      <c r="O1470" s="26"/>
      <c r="P1470" s="27"/>
      <c r="Q1470" s="27"/>
      <c r="R1470" s="27"/>
      <c r="S1470" s="22"/>
      <c r="T1470" s="22"/>
      <c r="U1470" s="28"/>
    </row>
    <row r="1471">
      <c r="A1471" s="189"/>
      <c r="B1471" s="22"/>
      <c r="C1471" s="22"/>
      <c r="D1471" s="22"/>
      <c r="E1471" s="22"/>
      <c r="F1471" s="22"/>
      <c r="G1471" s="22"/>
      <c r="H1471" s="22"/>
      <c r="I1471" s="24"/>
      <c r="J1471" s="24"/>
      <c r="K1471" s="24"/>
      <c r="L1471" s="24"/>
      <c r="M1471" s="26"/>
      <c r="N1471" s="26"/>
      <c r="O1471" s="26"/>
      <c r="P1471" s="27"/>
      <c r="Q1471" s="27"/>
      <c r="R1471" s="27"/>
      <c r="S1471" s="22"/>
      <c r="T1471" s="22"/>
      <c r="U1471" s="28"/>
    </row>
    <row r="1472">
      <c r="A1472" s="189"/>
      <c r="B1472" s="22"/>
      <c r="C1472" s="22"/>
      <c r="D1472" s="22"/>
      <c r="E1472" s="22"/>
      <c r="F1472" s="22"/>
      <c r="G1472" s="22"/>
      <c r="H1472" s="22"/>
      <c r="I1472" s="24"/>
      <c r="J1472" s="24"/>
      <c r="K1472" s="24"/>
      <c r="L1472" s="24"/>
      <c r="M1472" s="26"/>
      <c r="N1472" s="26"/>
      <c r="O1472" s="26"/>
      <c r="P1472" s="27"/>
      <c r="Q1472" s="27"/>
      <c r="R1472" s="27"/>
      <c r="S1472" s="22"/>
      <c r="T1472" s="22"/>
      <c r="U1472" s="28"/>
    </row>
    <row r="1473">
      <c r="A1473" s="189"/>
      <c r="B1473" s="22"/>
      <c r="C1473" s="22"/>
      <c r="D1473" s="22"/>
      <c r="E1473" s="22"/>
      <c r="F1473" s="22"/>
      <c r="G1473" s="22"/>
      <c r="H1473" s="22"/>
      <c r="I1473" s="24"/>
      <c r="J1473" s="24"/>
      <c r="K1473" s="24"/>
      <c r="L1473" s="24"/>
      <c r="M1473" s="26"/>
      <c r="N1473" s="26"/>
      <c r="O1473" s="26"/>
      <c r="P1473" s="27"/>
      <c r="Q1473" s="27"/>
      <c r="R1473" s="27"/>
      <c r="S1473" s="22"/>
      <c r="T1473" s="22"/>
      <c r="U1473" s="28"/>
    </row>
    <row r="1474">
      <c r="A1474" s="189"/>
      <c r="B1474" s="22"/>
      <c r="C1474" s="22"/>
      <c r="D1474" s="22"/>
      <c r="E1474" s="22"/>
      <c r="F1474" s="22"/>
      <c r="G1474" s="22"/>
      <c r="H1474" s="22"/>
      <c r="I1474" s="24"/>
      <c r="J1474" s="24"/>
      <c r="K1474" s="24"/>
      <c r="L1474" s="24"/>
      <c r="M1474" s="26"/>
      <c r="N1474" s="26"/>
      <c r="O1474" s="26"/>
      <c r="P1474" s="27"/>
      <c r="Q1474" s="27"/>
      <c r="R1474" s="27"/>
      <c r="S1474" s="22"/>
      <c r="T1474" s="22"/>
      <c r="U1474" s="28"/>
    </row>
    <row r="1475">
      <c r="A1475" s="189"/>
      <c r="B1475" s="22"/>
      <c r="C1475" s="22"/>
      <c r="D1475" s="22"/>
      <c r="E1475" s="22"/>
      <c r="F1475" s="22"/>
      <c r="G1475" s="22"/>
      <c r="H1475" s="22"/>
      <c r="I1475" s="24"/>
      <c r="J1475" s="24"/>
      <c r="K1475" s="24"/>
      <c r="L1475" s="24"/>
      <c r="M1475" s="26"/>
      <c r="N1475" s="26"/>
      <c r="O1475" s="26"/>
      <c r="P1475" s="27"/>
      <c r="Q1475" s="27"/>
      <c r="R1475" s="27"/>
      <c r="S1475" s="22"/>
      <c r="T1475" s="22"/>
      <c r="U1475" s="28"/>
    </row>
    <row r="1476">
      <c r="A1476" s="189"/>
      <c r="B1476" s="22"/>
      <c r="C1476" s="22"/>
      <c r="D1476" s="22"/>
      <c r="E1476" s="22"/>
      <c r="F1476" s="22"/>
      <c r="G1476" s="22"/>
      <c r="H1476" s="22"/>
      <c r="I1476" s="24"/>
      <c r="J1476" s="24"/>
      <c r="K1476" s="24"/>
      <c r="L1476" s="24"/>
      <c r="M1476" s="26"/>
      <c r="N1476" s="26"/>
      <c r="O1476" s="26"/>
      <c r="P1476" s="27"/>
      <c r="Q1476" s="27"/>
      <c r="R1476" s="27"/>
      <c r="S1476" s="22"/>
      <c r="T1476" s="22"/>
      <c r="U1476" s="28"/>
    </row>
    <row r="1477">
      <c r="A1477" s="189"/>
      <c r="B1477" s="22"/>
      <c r="C1477" s="22"/>
      <c r="D1477" s="22"/>
      <c r="E1477" s="22"/>
      <c r="F1477" s="22"/>
      <c r="G1477" s="22"/>
      <c r="H1477" s="22"/>
      <c r="I1477" s="24"/>
      <c r="J1477" s="24"/>
      <c r="K1477" s="24"/>
      <c r="L1477" s="24"/>
      <c r="M1477" s="26"/>
      <c r="N1477" s="26"/>
      <c r="O1477" s="26"/>
      <c r="P1477" s="27"/>
      <c r="Q1477" s="27"/>
      <c r="R1477" s="27"/>
      <c r="S1477" s="22"/>
      <c r="T1477" s="22"/>
      <c r="U1477" s="28"/>
    </row>
    <row r="1478">
      <c r="A1478" s="189"/>
      <c r="B1478" s="22"/>
      <c r="C1478" s="22"/>
      <c r="D1478" s="22"/>
      <c r="E1478" s="22"/>
      <c r="F1478" s="22"/>
      <c r="G1478" s="22"/>
      <c r="H1478" s="22"/>
      <c r="I1478" s="24"/>
      <c r="J1478" s="24"/>
      <c r="K1478" s="24"/>
      <c r="L1478" s="24"/>
      <c r="M1478" s="26"/>
      <c r="N1478" s="26"/>
      <c r="O1478" s="26"/>
      <c r="P1478" s="27"/>
      <c r="Q1478" s="27"/>
      <c r="R1478" s="27"/>
      <c r="S1478" s="22"/>
      <c r="T1478" s="22"/>
      <c r="U1478" s="28"/>
    </row>
    <row r="1479">
      <c r="A1479" s="189"/>
      <c r="B1479" s="22"/>
      <c r="C1479" s="22"/>
      <c r="D1479" s="22"/>
      <c r="E1479" s="22"/>
      <c r="F1479" s="22"/>
      <c r="G1479" s="22"/>
      <c r="H1479" s="22"/>
      <c r="I1479" s="24"/>
      <c r="J1479" s="24"/>
      <c r="K1479" s="24"/>
      <c r="L1479" s="24"/>
      <c r="M1479" s="26"/>
      <c r="N1479" s="26"/>
      <c r="O1479" s="26"/>
      <c r="P1479" s="27"/>
      <c r="Q1479" s="27"/>
      <c r="R1479" s="27"/>
      <c r="S1479" s="22"/>
      <c r="T1479" s="22"/>
      <c r="U1479" s="28"/>
    </row>
    <row r="1480">
      <c r="A1480" s="189"/>
      <c r="B1480" s="22"/>
      <c r="C1480" s="22"/>
      <c r="D1480" s="22"/>
      <c r="E1480" s="22"/>
      <c r="F1480" s="22"/>
      <c r="G1480" s="22"/>
      <c r="H1480" s="22"/>
      <c r="I1480" s="24"/>
      <c r="J1480" s="24"/>
      <c r="K1480" s="24"/>
      <c r="L1480" s="24"/>
      <c r="M1480" s="26"/>
      <c r="N1480" s="26"/>
      <c r="O1480" s="26"/>
      <c r="P1480" s="27"/>
      <c r="Q1480" s="27"/>
      <c r="R1480" s="27"/>
      <c r="S1480" s="22"/>
      <c r="T1480" s="22"/>
      <c r="U1480" s="28"/>
    </row>
    <row r="1481">
      <c r="A1481" s="189"/>
      <c r="B1481" s="22"/>
      <c r="C1481" s="22"/>
      <c r="D1481" s="22"/>
      <c r="E1481" s="22"/>
      <c r="F1481" s="22"/>
      <c r="G1481" s="22"/>
      <c r="H1481" s="22"/>
      <c r="I1481" s="24"/>
      <c r="J1481" s="24"/>
      <c r="K1481" s="24"/>
      <c r="L1481" s="24"/>
      <c r="M1481" s="26"/>
      <c r="N1481" s="26"/>
      <c r="O1481" s="26"/>
      <c r="P1481" s="27"/>
      <c r="Q1481" s="27"/>
      <c r="R1481" s="27"/>
      <c r="S1481" s="22"/>
      <c r="T1481" s="22"/>
      <c r="U1481" s="28"/>
    </row>
    <row r="1482">
      <c r="A1482" s="189"/>
      <c r="B1482" s="22"/>
      <c r="C1482" s="22"/>
      <c r="D1482" s="22"/>
      <c r="E1482" s="22"/>
      <c r="F1482" s="22"/>
      <c r="G1482" s="22"/>
      <c r="H1482" s="22"/>
      <c r="I1482" s="24"/>
      <c r="J1482" s="24"/>
      <c r="K1482" s="24"/>
      <c r="L1482" s="24"/>
      <c r="M1482" s="26"/>
      <c r="N1482" s="26"/>
      <c r="O1482" s="26"/>
      <c r="P1482" s="27"/>
      <c r="Q1482" s="27"/>
      <c r="R1482" s="27"/>
      <c r="S1482" s="22"/>
      <c r="T1482" s="22"/>
      <c r="U1482" s="28"/>
    </row>
    <row r="1483">
      <c r="A1483" s="189"/>
      <c r="B1483" s="22"/>
      <c r="C1483" s="22"/>
      <c r="D1483" s="22"/>
      <c r="E1483" s="22"/>
      <c r="F1483" s="22"/>
      <c r="G1483" s="22"/>
      <c r="H1483" s="22"/>
      <c r="I1483" s="24"/>
      <c r="J1483" s="24"/>
      <c r="K1483" s="24"/>
      <c r="L1483" s="24"/>
      <c r="M1483" s="26"/>
      <c r="N1483" s="26"/>
      <c r="O1483" s="26"/>
      <c r="P1483" s="27"/>
      <c r="Q1483" s="27"/>
      <c r="R1483" s="27"/>
      <c r="S1483" s="22"/>
      <c r="T1483" s="22"/>
      <c r="U1483" s="28"/>
    </row>
    <row r="1484">
      <c r="A1484" s="189"/>
      <c r="B1484" s="22"/>
      <c r="C1484" s="22"/>
      <c r="D1484" s="22"/>
      <c r="E1484" s="22"/>
      <c r="F1484" s="22"/>
      <c r="G1484" s="22"/>
      <c r="H1484" s="22"/>
      <c r="I1484" s="24"/>
      <c r="J1484" s="24"/>
      <c r="K1484" s="24"/>
      <c r="L1484" s="24"/>
      <c r="M1484" s="26"/>
      <c r="N1484" s="26"/>
      <c r="O1484" s="26"/>
      <c r="P1484" s="27"/>
      <c r="Q1484" s="27"/>
      <c r="R1484" s="27"/>
      <c r="S1484" s="22"/>
      <c r="T1484" s="22"/>
      <c r="U1484" s="28"/>
    </row>
    <row r="1485">
      <c r="A1485" s="189"/>
      <c r="B1485" s="22"/>
      <c r="C1485" s="22"/>
      <c r="D1485" s="22"/>
      <c r="E1485" s="22"/>
      <c r="F1485" s="22"/>
      <c r="G1485" s="22"/>
      <c r="H1485" s="22"/>
      <c r="I1485" s="24"/>
      <c r="J1485" s="24"/>
      <c r="K1485" s="24"/>
      <c r="L1485" s="24"/>
      <c r="M1485" s="26"/>
      <c r="N1485" s="26"/>
      <c r="O1485" s="26"/>
      <c r="P1485" s="27"/>
      <c r="Q1485" s="27"/>
      <c r="R1485" s="27"/>
      <c r="S1485" s="22"/>
      <c r="T1485" s="22"/>
      <c r="U1485" s="28"/>
    </row>
    <row r="1486">
      <c r="A1486" s="189"/>
      <c r="B1486" s="22"/>
      <c r="C1486" s="22"/>
      <c r="D1486" s="22"/>
      <c r="E1486" s="22"/>
      <c r="F1486" s="22"/>
      <c r="G1486" s="22"/>
      <c r="H1486" s="22"/>
      <c r="I1486" s="24"/>
      <c r="J1486" s="24"/>
      <c r="K1486" s="24"/>
      <c r="L1486" s="24"/>
      <c r="M1486" s="26"/>
      <c r="N1486" s="26"/>
      <c r="O1486" s="26"/>
      <c r="P1486" s="27"/>
      <c r="Q1486" s="27"/>
      <c r="R1486" s="27"/>
      <c r="S1486" s="22"/>
      <c r="T1486" s="22"/>
      <c r="U1486" s="28"/>
    </row>
    <row r="1487">
      <c r="A1487" s="189"/>
      <c r="B1487" s="22"/>
      <c r="C1487" s="22"/>
      <c r="D1487" s="22"/>
      <c r="E1487" s="22"/>
      <c r="F1487" s="22"/>
      <c r="G1487" s="22"/>
      <c r="H1487" s="22"/>
      <c r="I1487" s="24"/>
      <c r="J1487" s="24"/>
      <c r="K1487" s="24"/>
      <c r="L1487" s="24"/>
      <c r="M1487" s="26"/>
      <c r="N1487" s="26"/>
      <c r="O1487" s="26"/>
      <c r="P1487" s="27"/>
      <c r="Q1487" s="27"/>
      <c r="R1487" s="27"/>
      <c r="S1487" s="22"/>
      <c r="T1487" s="22"/>
      <c r="U1487" s="28"/>
    </row>
    <row r="1488">
      <c r="A1488" s="189"/>
      <c r="B1488" s="22"/>
      <c r="C1488" s="22"/>
      <c r="D1488" s="22"/>
      <c r="E1488" s="22"/>
      <c r="F1488" s="22"/>
      <c r="G1488" s="22"/>
      <c r="H1488" s="22"/>
      <c r="I1488" s="24"/>
      <c r="J1488" s="24"/>
      <c r="K1488" s="24"/>
      <c r="L1488" s="24"/>
      <c r="M1488" s="26"/>
      <c r="N1488" s="26"/>
      <c r="O1488" s="26"/>
      <c r="P1488" s="27"/>
      <c r="Q1488" s="27"/>
      <c r="R1488" s="27"/>
      <c r="S1488" s="22"/>
      <c r="T1488" s="22"/>
      <c r="U1488" s="28"/>
    </row>
    <row r="1489">
      <c r="A1489" s="189"/>
      <c r="B1489" s="22"/>
      <c r="C1489" s="22"/>
      <c r="D1489" s="22"/>
      <c r="E1489" s="22"/>
      <c r="F1489" s="22"/>
      <c r="G1489" s="22"/>
      <c r="H1489" s="22"/>
      <c r="I1489" s="24"/>
      <c r="J1489" s="24"/>
      <c r="K1489" s="24"/>
      <c r="L1489" s="24"/>
      <c r="M1489" s="26"/>
      <c r="N1489" s="26"/>
      <c r="O1489" s="26"/>
      <c r="P1489" s="27"/>
      <c r="Q1489" s="27"/>
      <c r="R1489" s="27"/>
      <c r="S1489" s="22"/>
      <c r="T1489" s="22"/>
      <c r="U1489" s="28"/>
    </row>
    <row r="1490">
      <c r="A1490" s="189"/>
      <c r="B1490" s="22"/>
      <c r="C1490" s="22"/>
      <c r="D1490" s="22"/>
      <c r="E1490" s="22"/>
      <c r="F1490" s="22"/>
      <c r="G1490" s="22"/>
      <c r="H1490" s="22"/>
      <c r="I1490" s="24"/>
      <c r="J1490" s="24"/>
      <c r="K1490" s="24"/>
      <c r="L1490" s="24"/>
      <c r="M1490" s="26"/>
      <c r="N1490" s="26"/>
      <c r="O1490" s="26"/>
      <c r="P1490" s="27"/>
      <c r="Q1490" s="27"/>
      <c r="R1490" s="27"/>
      <c r="S1490" s="22"/>
      <c r="T1490" s="22"/>
      <c r="U1490" s="28"/>
    </row>
    <row r="1491">
      <c r="A1491" s="189"/>
      <c r="B1491" s="22"/>
      <c r="C1491" s="22"/>
      <c r="D1491" s="22"/>
      <c r="E1491" s="22"/>
      <c r="F1491" s="22"/>
      <c r="G1491" s="22"/>
      <c r="H1491" s="22"/>
      <c r="I1491" s="24"/>
      <c r="J1491" s="24"/>
      <c r="K1491" s="24"/>
      <c r="L1491" s="24"/>
      <c r="M1491" s="26"/>
      <c r="N1491" s="26"/>
      <c r="O1491" s="26"/>
      <c r="P1491" s="27"/>
      <c r="Q1491" s="27"/>
      <c r="R1491" s="27"/>
      <c r="S1491" s="22"/>
      <c r="T1491" s="22"/>
      <c r="U1491" s="28"/>
    </row>
    <row r="1492">
      <c r="A1492" s="189"/>
      <c r="B1492" s="22"/>
      <c r="C1492" s="22"/>
      <c r="D1492" s="22"/>
      <c r="E1492" s="22"/>
      <c r="F1492" s="22"/>
      <c r="G1492" s="22"/>
      <c r="H1492" s="22"/>
      <c r="I1492" s="24"/>
      <c r="J1492" s="24"/>
      <c r="K1492" s="24"/>
      <c r="L1492" s="24"/>
      <c r="M1492" s="26"/>
      <c r="N1492" s="26"/>
      <c r="O1492" s="26"/>
      <c r="P1492" s="27"/>
      <c r="Q1492" s="27"/>
      <c r="R1492" s="27"/>
      <c r="S1492" s="22"/>
      <c r="T1492" s="22"/>
      <c r="U1492" s="28"/>
    </row>
    <row r="1493">
      <c r="A1493" s="189"/>
      <c r="B1493" s="22"/>
      <c r="C1493" s="22"/>
      <c r="D1493" s="22"/>
      <c r="E1493" s="22"/>
      <c r="F1493" s="22"/>
      <c r="G1493" s="22"/>
      <c r="H1493" s="22"/>
      <c r="I1493" s="24"/>
      <c r="J1493" s="24"/>
      <c r="K1493" s="24"/>
      <c r="L1493" s="24"/>
      <c r="M1493" s="26"/>
      <c r="N1493" s="26"/>
      <c r="O1493" s="26"/>
      <c r="P1493" s="27"/>
      <c r="Q1493" s="27"/>
      <c r="R1493" s="27"/>
      <c r="S1493" s="22"/>
      <c r="T1493" s="22"/>
      <c r="U1493" s="28"/>
    </row>
    <row r="1494">
      <c r="A1494" s="189"/>
      <c r="B1494" s="22"/>
      <c r="C1494" s="22"/>
      <c r="D1494" s="22"/>
      <c r="E1494" s="22"/>
      <c r="F1494" s="22"/>
      <c r="G1494" s="22"/>
      <c r="H1494" s="22"/>
      <c r="I1494" s="24"/>
      <c r="J1494" s="24"/>
      <c r="K1494" s="24"/>
      <c r="L1494" s="24"/>
      <c r="M1494" s="26"/>
      <c r="N1494" s="26"/>
      <c r="O1494" s="26"/>
      <c r="P1494" s="27"/>
      <c r="Q1494" s="27"/>
      <c r="R1494" s="27"/>
      <c r="S1494" s="22"/>
      <c r="T1494" s="22"/>
      <c r="U1494" s="28"/>
    </row>
    <row r="1495">
      <c r="A1495" s="189"/>
      <c r="B1495" s="22"/>
      <c r="C1495" s="22"/>
      <c r="D1495" s="22"/>
      <c r="E1495" s="22"/>
      <c r="F1495" s="22"/>
      <c r="G1495" s="22"/>
      <c r="H1495" s="22"/>
      <c r="I1495" s="24"/>
      <c r="J1495" s="24"/>
      <c r="K1495" s="24"/>
      <c r="L1495" s="24"/>
      <c r="M1495" s="26"/>
      <c r="N1495" s="26"/>
      <c r="O1495" s="26"/>
      <c r="P1495" s="27"/>
      <c r="Q1495" s="27"/>
      <c r="R1495" s="27"/>
      <c r="S1495" s="22"/>
      <c r="T1495" s="22"/>
      <c r="U1495" s="28"/>
    </row>
    <row r="1496">
      <c r="A1496" s="189"/>
      <c r="B1496" s="22"/>
      <c r="C1496" s="22"/>
      <c r="D1496" s="22"/>
      <c r="E1496" s="22"/>
      <c r="F1496" s="22"/>
      <c r="G1496" s="22"/>
      <c r="H1496" s="22"/>
      <c r="I1496" s="24"/>
      <c r="J1496" s="24"/>
      <c r="K1496" s="24"/>
      <c r="L1496" s="24"/>
      <c r="M1496" s="26"/>
      <c r="N1496" s="26"/>
      <c r="O1496" s="26"/>
      <c r="P1496" s="27"/>
      <c r="Q1496" s="27"/>
      <c r="R1496" s="27"/>
      <c r="S1496" s="22"/>
      <c r="T1496" s="22"/>
      <c r="U1496" s="28"/>
    </row>
    <row r="1497">
      <c r="A1497" s="189"/>
      <c r="B1497" s="22"/>
      <c r="C1497" s="22"/>
      <c r="D1497" s="22"/>
      <c r="E1497" s="22"/>
      <c r="F1497" s="22"/>
      <c r="G1497" s="22"/>
      <c r="H1497" s="22"/>
      <c r="I1497" s="24"/>
      <c r="J1497" s="24"/>
      <c r="K1497" s="24"/>
      <c r="L1497" s="24"/>
      <c r="M1497" s="26"/>
      <c r="N1497" s="26"/>
      <c r="O1497" s="26"/>
      <c r="P1497" s="27"/>
      <c r="Q1497" s="27"/>
      <c r="R1497" s="27"/>
      <c r="S1497" s="22"/>
      <c r="T1497" s="22"/>
      <c r="U1497" s="28"/>
    </row>
    <row r="1498">
      <c r="A1498" s="189"/>
      <c r="B1498" s="22"/>
      <c r="C1498" s="22"/>
      <c r="D1498" s="22"/>
      <c r="E1498" s="22"/>
      <c r="F1498" s="22"/>
      <c r="G1498" s="22"/>
      <c r="H1498" s="22"/>
      <c r="I1498" s="24"/>
      <c r="J1498" s="24"/>
      <c r="K1498" s="24"/>
      <c r="L1498" s="24"/>
      <c r="M1498" s="26"/>
      <c r="N1498" s="26"/>
      <c r="O1498" s="26"/>
      <c r="P1498" s="27"/>
      <c r="Q1498" s="27"/>
      <c r="R1498" s="27"/>
      <c r="S1498" s="22"/>
      <c r="T1498" s="22"/>
      <c r="U1498" s="28"/>
    </row>
    <row r="1499">
      <c r="A1499" s="189"/>
      <c r="B1499" s="22"/>
      <c r="C1499" s="22"/>
      <c r="D1499" s="22"/>
      <c r="E1499" s="22"/>
      <c r="F1499" s="22"/>
      <c r="G1499" s="22"/>
      <c r="H1499" s="22"/>
      <c r="I1499" s="24"/>
      <c r="J1499" s="24"/>
      <c r="K1499" s="24"/>
      <c r="L1499" s="24"/>
      <c r="M1499" s="26"/>
      <c r="N1499" s="26"/>
      <c r="O1499" s="26"/>
      <c r="P1499" s="27"/>
      <c r="Q1499" s="27"/>
      <c r="R1499" s="27"/>
      <c r="S1499" s="22"/>
      <c r="T1499" s="22"/>
      <c r="U1499" s="28"/>
    </row>
    <row r="1500">
      <c r="A1500" s="189"/>
      <c r="B1500" s="22"/>
      <c r="C1500" s="22"/>
      <c r="D1500" s="22"/>
      <c r="E1500" s="22"/>
      <c r="F1500" s="22"/>
      <c r="G1500" s="22"/>
      <c r="H1500" s="22"/>
      <c r="I1500" s="24"/>
      <c r="J1500" s="24"/>
      <c r="K1500" s="24"/>
      <c r="L1500" s="24"/>
      <c r="M1500" s="26"/>
      <c r="N1500" s="26"/>
      <c r="O1500" s="26"/>
      <c r="P1500" s="27"/>
      <c r="Q1500" s="27"/>
      <c r="R1500" s="27"/>
      <c r="S1500" s="22"/>
      <c r="T1500" s="22"/>
      <c r="U1500" s="28"/>
    </row>
    <row r="1501">
      <c r="A1501" s="189"/>
      <c r="B1501" s="22"/>
      <c r="C1501" s="22"/>
      <c r="D1501" s="22"/>
      <c r="E1501" s="22"/>
      <c r="F1501" s="22"/>
      <c r="G1501" s="22"/>
      <c r="H1501" s="22"/>
      <c r="I1501" s="24"/>
      <c r="J1501" s="24"/>
      <c r="K1501" s="24"/>
      <c r="L1501" s="24"/>
      <c r="M1501" s="26"/>
      <c r="N1501" s="26"/>
      <c r="O1501" s="26"/>
      <c r="P1501" s="27"/>
      <c r="Q1501" s="27"/>
      <c r="R1501" s="27"/>
      <c r="S1501" s="22"/>
      <c r="T1501" s="22"/>
      <c r="U1501" s="28"/>
    </row>
    <row r="1502">
      <c r="A1502" s="189"/>
      <c r="B1502" s="22"/>
      <c r="C1502" s="22"/>
      <c r="D1502" s="22"/>
      <c r="E1502" s="22"/>
      <c r="F1502" s="22"/>
      <c r="G1502" s="22"/>
      <c r="H1502" s="22"/>
      <c r="I1502" s="24"/>
      <c r="J1502" s="24"/>
      <c r="K1502" s="24"/>
      <c r="L1502" s="24"/>
      <c r="M1502" s="26"/>
      <c r="N1502" s="26"/>
      <c r="O1502" s="26"/>
      <c r="P1502" s="27"/>
      <c r="Q1502" s="27"/>
      <c r="R1502" s="27"/>
      <c r="S1502" s="22"/>
      <c r="T1502" s="22"/>
      <c r="U1502" s="28"/>
    </row>
    <row r="1503">
      <c r="A1503" s="189"/>
      <c r="B1503" s="22"/>
      <c r="C1503" s="22"/>
      <c r="D1503" s="22"/>
      <c r="E1503" s="22"/>
      <c r="F1503" s="22"/>
      <c r="G1503" s="22"/>
      <c r="H1503" s="22"/>
      <c r="I1503" s="24"/>
      <c r="J1503" s="24"/>
      <c r="K1503" s="24"/>
      <c r="L1503" s="24"/>
      <c r="M1503" s="26"/>
      <c r="N1503" s="26"/>
      <c r="O1503" s="26"/>
      <c r="P1503" s="27"/>
      <c r="Q1503" s="27"/>
      <c r="R1503" s="27"/>
      <c r="S1503" s="22"/>
      <c r="T1503" s="22"/>
      <c r="U1503" s="28"/>
    </row>
    <row r="1504">
      <c r="A1504" s="189"/>
      <c r="B1504" s="22"/>
      <c r="C1504" s="22"/>
      <c r="D1504" s="22"/>
      <c r="E1504" s="22"/>
      <c r="F1504" s="22"/>
      <c r="G1504" s="22"/>
      <c r="H1504" s="22"/>
      <c r="I1504" s="24"/>
      <c r="J1504" s="24"/>
      <c r="K1504" s="24"/>
      <c r="L1504" s="24"/>
      <c r="M1504" s="26"/>
      <c r="N1504" s="26"/>
      <c r="O1504" s="26"/>
      <c r="P1504" s="27"/>
      <c r="Q1504" s="27"/>
      <c r="R1504" s="27"/>
      <c r="S1504" s="22"/>
      <c r="T1504" s="22"/>
      <c r="U1504" s="28"/>
    </row>
    <row r="1505">
      <c r="A1505" s="189"/>
      <c r="B1505" s="22"/>
      <c r="C1505" s="22"/>
      <c r="D1505" s="22"/>
      <c r="E1505" s="22"/>
      <c r="F1505" s="22"/>
      <c r="G1505" s="22"/>
      <c r="H1505" s="22"/>
      <c r="I1505" s="24"/>
      <c r="J1505" s="24"/>
      <c r="K1505" s="24"/>
      <c r="L1505" s="24"/>
      <c r="M1505" s="26"/>
      <c r="N1505" s="26"/>
      <c r="O1505" s="26"/>
      <c r="P1505" s="27"/>
      <c r="Q1505" s="27"/>
      <c r="R1505" s="27"/>
      <c r="S1505" s="22"/>
      <c r="T1505" s="22"/>
      <c r="U1505" s="28"/>
    </row>
    <row r="1506">
      <c r="A1506" s="189"/>
      <c r="B1506" s="22"/>
      <c r="C1506" s="22"/>
      <c r="D1506" s="22"/>
      <c r="E1506" s="22"/>
      <c r="F1506" s="22"/>
      <c r="G1506" s="22"/>
      <c r="H1506" s="22"/>
      <c r="I1506" s="24"/>
      <c r="J1506" s="24"/>
      <c r="K1506" s="24"/>
      <c r="L1506" s="24"/>
      <c r="M1506" s="26"/>
      <c r="N1506" s="26"/>
      <c r="O1506" s="26"/>
      <c r="P1506" s="27"/>
      <c r="Q1506" s="27"/>
      <c r="R1506" s="27"/>
      <c r="S1506" s="22"/>
      <c r="T1506" s="22"/>
      <c r="U1506" s="28"/>
    </row>
    <row r="1507">
      <c r="A1507" s="189"/>
      <c r="B1507" s="22"/>
      <c r="C1507" s="22"/>
      <c r="D1507" s="22"/>
      <c r="E1507" s="22"/>
      <c r="F1507" s="22"/>
      <c r="G1507" s="22"/>
      <c r="H1507" s="22"/>
      <c r="I1507" s="24"/>
      <c r="J1507" s="24"/>
      <c r="K1507" s="24"/>
      <c r="L1507" s="24"/>
      <c r="M1507" s="26"/>
      <c r="N1507" s="26"/>
      <c r="O1507" s="26"/>
      <c r="P1507" s="27"/>
      <c r="Q1507" s="27"/>
      <c r="R1507" s="27"/>
      <c r="S1507" s="22"/>
      <c r="T1507" s="22"/>
      <c r="U1507" s="28"/>
    </row>
    <row r="1508">
      <c r="A1508" s="189"/>
      <c r="B1508" s="22"/>
      <c r="C1508" s="22"/>
      <c r="D1508" s="22"/>
      <c r="E1508" s="22"/>
      <c r="F1508" s="22"/>
      <c r="G1508" s="22"/>
      <c r="H1508" s="22"/>
      <c r="I1508" s="24"/>
      <c r="J1508" s="24"/>
      <c r="K1508" s="24"/>
      <c r="L1508" s="24"/>
      <c r="M1508" s="26"/>
      <c r="N1508" s="26"/>
      <c r="O1508" s="26"/>
      <c r="P1508" s="27"/>
      <c r="Q1508" s="27"/>
      <c r="R1508" s="27"/>
      <c r="S1508" s="22"/>
      <c r="T1508" s="22"/>
      <c r="U1508" s="28"/>
    </row>
    <row r="1509">
      <c r="A1509" s="189"/>
      <c r="B1509" s="22"/>
      <c r="C1509" s="22"/>
      <c r="D1509" s="22"/>
      <c r="E1509" s="22"/>
      <c r="F1509" s="22"/>
      <c r="G1509" s="22"/>
      <c r="H1509" s="22"/>
      <c r="I1509" s="24"/>
      <c r="J1509" s="24"/>
      <c r="K1509" s="24"/>
      <c r="L1509" s="24"/>
      <c r="M1509" s="26"/>
      <c r="N1509" s="26"/>
      <c r="O1509" s="26"/>
      <c r="P1509" s="27"/>
      <c r="Q1509" s="27"/>
      <c r="R1509" s="27"/>
      <c r="S1509" s="22"/>
      <c r="T1509" s="22"/>
      <c r="U1509" s="28"/>
    </row>
    <row r="1510">
      <c r="A1510" s="189"/>
      <c r="B1510" s="22"/>
      <c r="C1510" s="22"/>
      <c r="D1510" s="22"/>
      <c r="E1510" s="22"/>
      <c r="F1510" s="22"/>
      <c r="G1510" s="22"/>
      <c r="H1510" s="22"/>
      <c r="I1510" s="24"/>
      <c r="J1510" s="24"/>
      <c r="K1510" s="24"/>
      <c r="L1510" s="24"/>
      <c r="M1510" s="26"/>
      <c r="N1510" s="26"/>
      <c r="O1510" s="26"/>
      <c r="P1510" s="27"/>
      <c r="Q1510" s="27"/>
      <c r="R1510" s="27"/>
      <c r="S1510" s="22"/>
      <c r="T1510" s="22"/>
      <c r="U1510" s="28"/>
    </row>
    <row r="1511">
      <c r="A1511" s="189"/>
      <c r="B1511" s="22"/>
      <c r="C1511" s="22"/>
      <c r="D1511" s="22"/>
      <c r="E1511" s="22"/>
      <c r="F1511" s="22"/>
      <c r="G1511" s="22"/>
      <c r="H1511" s="22"/>
      <c r="I1511" s="24"/>
      <c r="J1511" s="24"/>
      <c r="K1511" s="24"/>
      <c r="L1511" s="24"/>
      <c r="M1511" s="26"/>
      <c r="N1511" s="26"/>
      <c r="O1511" s="26"/>
      <c r="P1511" s="27"/>
      <c r="Q1511" s="27"/>
      <c r="R1511" s="27"/>
      <c r="S1511" s="22"/>
      <c r="T1511" s="22"/>
      <c r="U1511" s="28"/>
    </row>
    <row r="1512">
      <c r="A1512" s="189"/>
      <c r="B1512" s="22"/>
      <c r="C1512" s="22"/>
      <c r="D1512" s="22"/>
      <c r="E1512" s="22"/>
      <c r="F1512" s="22"/>
      <c r="G1512" s="22"/>
      <c r="H1512" s="22"/>
      <c r="I1512" s="24"/>
      <c r="J1512" s="24"/>
      <c r="K1512" s="24"/>
      <c r="L1512" s="24"/>
      <c r="M1512" s="26"/>
      <c r="N1512" s="26"/>
      <c r="O1512" s="26"/>
      <c r="P1512" s="27"/>
      <c r="Q1512" s="27"/>
      <c r="R1512" s="27"/>
      <c r="S1512" s="22"/>
      <c r="T1512" s="22"/>
      <c r="U1512" s="28"/>
    </row>
    <row r="1513">
      <c r="A1513" s="189"/>
      <c r="B1513" s="22"/>
      <c r="C1513" s="22"/>
      <c r="D1513" s="22"/>
      <c r="E1513" s="22"/>
      <c r="F1513" s="22"/>
      <c r="G1513" s="22"/>
      <c r="H1513" s="22"/>
      <c r="I1513" s="24"/>
      <c r="J1513" s="24"/>
      <c r="K1513" s="24"/>
      <c r="L1513" s="24"/>
      <c r="M1513" s="26"/>
      <c r="N1513" s="26"/>
      <c r="O1513" s="26"/>
      <c r="P1513" s="27"/>
      <c r="Q1513" s="27"/>
      <c r="R1513" s="27"/>
      <c r="S1513" s="22"/>
      <c r="T1513" s="22"/>
      <c r="U1513" s="28"/>
    </row>
    <row r="1514">
      <c r="A1514" s="189"/>
      <c r="B1514" s="22"/>
      <c r="C1514" s="22"/>
      <c r="D1514" s="22"/>
      <c r="E1514" s="22"/>
      <c r="F1514" s="22"/>
      <c r="G1514" s="22"/>
      <c r="H1514" s="22"/>
      <c r="I1514" s="24"/>
      <c r="J1514" s="24"/>
      <c r="K1514" s="24"/>
      <c r="L1514" s="24"/>
      <c r="M1514" s="26"/>
      <c r="N1514" s="26"/>
      <c r="O1514" s="26"/>
      <c r="P1514" s="27"/>
      <c r="Q1514" s="27"/>
      <c r="R1514" s="27"/>
      <c r="S1514" s="22"/>
      <c r="T1514" s="22"/>
      <c r="U1514" s="28"/>
    </row>
    <row r="1515">
      <c r="A1515" s="189"/>
      <c r="B1515" s="22"/>
      <c r="C1515" s="22"/>
      <c r="D1515" s="22"/>
      <c r="E1515" s="22"/>
      <c r="F1515" s="22"/>
      <c r="G1515" s="22"/>
      <c r="H1515" s="22"/>
      <c r="I1515" s="24"/>
      <c r="J1515" s="24"/>
      <c r="K1515" s="24"/>
      <c r="L1515" s="24"/>
      <c r="M1515" s="26"/>
      <c r="N1515" s="26"/>
      <c r="O1515" s="26"/>
      <c r="P1515" s="27"/>
      <c r="Q1515" s="27"/>
      <c r="R1515" s="27"/>
      <c r="S1515" s="22"/>
      <c r="T1515" s="22"/>
      <c r="U1515" s="28"/>
    </row>
    <row r="1516">
      <c r="A1516" s="189"/>
      <c r="B1516" s="22"/>
      <c r="C1516" s="22"/>
      <c r="D1516" s="22"/>
      <c r="E1516" s="22"/>
      <c r="F1516" s="22"/>
      <c r="G1516" s="22"/>
      <c r="H1516" s="22"/>
      <c r="I1516" s="24"/>
      <c r="J1516" s="24"/>
      <c r="K1516" s="24"/>
      <c r="L1516" s="24"/>
      <c r="M1516" s="26"/>
      <c r="N1516" s="26"/>
      <c r="O1516" s="26"/>
      <c r="P1516" s="27"/>
      <c r="Q1516" s="27"/>
      <c r="R1516" s="27"/>
      <c r="S1516" s="22"/>
      <c r="T1516" s="22"/>
      <c r="U1516" s="28"/>
    </row>
    <row r="1517">
      <c r="A1517" s="189"/>
      <c r="B1517" s="22"/>
      <c r="C1517" s="22"/>
      <c r="D1517" s="22"/>
      <c r="E1517" s="22"/>
      <c r="F1517" s="22"/>
      <c r="G1517" s="22"/>
      <c r="H1517" s="22"/>
      <c r="I1517" s="24"/>
      <c r="J1517" s="24"/>
      <c r="K1517" s="24"/>
      <c r="L1517" s="24"/>
      <c r="M1517" s="26"/>
      <c r="N1517" s="26"/>
      <c r="O1517" s="26"/>
      <c r="P1517" s="27"/>
      <c r="Q1517" s="27"/>
      <c r="R1517" s="27"/>
      <c r="S1517" s="22"/>
      <c r="T1517" s="22"/>
      <c r="U1517" s="28"/>
    </row>
    <row r="1518">
      <c r="A1518" s="189"/>
      <c r="B1518" s="22"/>
      <c r="C1518" s="22"/>
      <c r="D1518" s="22"/>
      <c r="E1518" s="22"/>
      <c r="F1518" s="22"/>
      <c r="G1518" s="22"/>
      <c r="H1518" s="22"/>
      <c r="I1518" s="24"/>
      <c r="J1518" s="24"/>
      <c r="K1518" s="24"/>
      <c r="L1518" s="24"/>
      <c r="M1518" s="26"/>
      <c r="N1518" s="26"/>
      <c r="O1518" s="26"/>
      <c r="P1518" s="27"/>
      <c r="Q1518" s="27"/>
      <c r="R1518" s="27"/>
      <c r="S1518" s="22"/>
      <c r="T1518" s="22"/>
      <c r="U1518" s="28"/>
    </row>
    <row r="1519">
      <c r="A1519" s="189"/>
      <c r="B1519" s="22"/>
      <c r="C1519" s="22"/>
      <c r="D1519" s="22"/>
      <c r="E1519" s="22"/>
      <c r="F1519" s="22"/>
      <c r="G1519" s="22"/>
      <c r="H1519" s="22"/>
      <c r="I1519" s="24"/>
      <c r="J1519" s="24"/>
      <c r="K1519" s="24"/>
      <c r="L1519" s="24"/>
      <c r="M1519" s="26"/>
      <c r="N1519" s="26"/>
      <c r="O1519" s="26"/>
      <c r="P1519" s="27"/>
      <c r="Q1519" s="27"/>
      <c r="R1519" s="27"/>
      <c r="S1519" s="22"/>
      <c r="T1519" s="22"/>
      <c r="U1519" s="28"/>
    </row>
    <row r="1520">
      <c r="A1520" s="189"/>
      <c r="B1520" s="22"/>
      <c r="C1520" s="22"/>
      <c r="D1520" s="22"/>
      <c r="E1520" s="22"/>
      <c r="F1520" s="22"/>
      <c r="G1520" s="22"/>
      <c r="H1520" s="22"/>
      <c r="I1520" s="24"/>
      <c r="J1520" s="24"/>
      <c r="K1520" s="24"/>
      <c r="L1520" s="24"/>
      <c r="M1520" s="26"/>
      <c r="N1520" s="26"/>
      <c r="O1520" s="26"/>
      <c r="P1520" s="27"/>
      <c r="Q1520" s="27"/>
      <c r="R1520" s="27"/>
      <c r="S1520" s="22"/>
      <c r="T1520" s="22"/>
      <c r="U1520" s="28"/>
    </row>
    <row r="1521">
      <c r="A1521" s="189"/>
      <c r="B1521" s="22"/>
      <c r="C1521" s="22"/>
      <c r="D1521" s="22"/>
      <c r="E1521" s="22"/>
      <c r="F1521" s="22"/>
      <c r="G1521" s="22"/>
      <c r="H1521" s="22"/>
      <c r="I1521" s="24"/>
      <c r="J1521" s="24"/>
      <c r="K1521" s="24"/>
      <c r="L1521" s="24"/>
      <c r="M1521" s="26"/>
      <c r="N1521" s="26"/>
      <c r="O1521" s="26"/>
      <c r="P1521" s="27"/>
      <c r="Q1521" s="27"/>
      <c r="R1521" s="27"/>
      <c r="S1521" s="22"/>
      <c r="T1521" s="22"/>
      <c r="U1521" s="28"/>
    </row>
    <row r="1522">
      <c r="A1522" s="189"/>
      <c r="B1522" s="22"/>
      <c r="C1522" s="22"/>
      <c r="D1522" s="22"/>
      <c r="E1522" s="22"/>
      <c r="F1522" s="22"/>
      <c r="G1522" s="22"/>
      <c r="H1522" s="22"/>
      <c r="I1522" s="24"/>
      <c r="J1522" s="24"/>
      <c r="K1522" s="24"/>
      <c r="L1522" s="24"/>
      <c r="M1522" s="26"/>
      <c r="N1522" s="26"/>
      <c r="O1522" s="26"/>
      <c r="P1522" s="27"/>
      <c r="Q1522" s="27"/>
      <c r="R1522" s="27"/>
      <c r="S1522" s="22"/>
      <c r="T1522" s="22"/>
      <c r="U1522" s="28"/>
    </row>
    <row r="1523">
      <c r="A1523" s="189"/>
      <c r="B1523" s="22"/>
      <c r="C1523" s="22"/>
      <c r="D1523" s="22"/>
      <c r="E1523" s="22"/>
      <c r="F1523" s="22"/>
      <c r="G1523" s="22"/>
      <c r="H1523" s="22"/>
      <c r="I1523" s="24"/>
      <c r="J1523" s="24"/>
      <c r="K1523" s="24"/>
      <c r="L1523" s="24"/>
      <c r="M1523" s="26"/>
      <c r="N1523" s="26"/>
      <c r="O1523" s="26"/>
      <c r="P1523" s="27"/>
      <c r="Q1523" s="27"/>
      <c r="R1523" s="27"/>
      <c r="S1523" s="22"/>
      <c r="T1523" s="22"/>
      <c r="U1523" s="28"/>
    </row>
    <row r="1524">
      <c r="A1524" s="189"/>
      <c r="B1524" s="22"/>
      <c r="C1524" s="22"/>
      <c r="D1524" s="22"/>
      <c r="E1524" s="22"/>
      <c r="F1524" s="22"/>
      <c r="G1524" s="22"/>
      <c r="H1524" s="22"/>
      <c r="I1524" s="24"/>
      <c r="J1524" s="24"/>
      <c r="K1524" s="24"/>
      <c r="L1524" s="24"/>
      <c r="M1524" s="26"/>
      <c r="N1524" s="26"/>
      <c r="O1524" s="26"/>
      <c r="P1524" s="27"/>
      <c r="Q1524" s="27"/>
      <c r="R1524" s="27"/>
      <c r="S1524" s="22"/>
      <c r="T1524" s="22"/>
      <c r="U1524" s="28"/>
    </row>
    <row r="1525">
      <c r="A1525" s="189"/>
      <c r="B1525" s="22"/>
      <c r="C1525" s="22"/>
      <c r="D1525" s="22"/>
      <c r="E1525" s="22"/>
      <c r="F1525" s="22"/>
      <c r="G1525" s="22"/>
      <c r="H1525" s="22"/>
      <c r="I1525" s="24"/>
      <c r="J1525" s="24"/>
      <c r="K1525" s="24"/>
      <c r="L1525" s="24"/>
      <c r="M1525" s="26"/>
      <c r="N1525" s="26"/>
      <c r="O1525" s="26"/>
      <c r="P1525" s="27"/>
      <c r="Q1525" s="27"/>
      <c r="R1525" s="27"/>
      <c r="S1525" s="22"/>
      <c r="T1525" s="22"/>
      <c r="U1525" s="28"/>
    </row>
    <row r="1526">
      <c r="A1526" s="189"/>
      <c r="B1526" s="22"/>
      <c r="C1526" s="22"/>
      <c r="D1526" s="22"/>
      <c r="E1526" s="22"/>
      <c r="F1526" s="22"/>
      <c r="G1526" s="22"/>
      <c r="H1526" s="22"/>
      <c r="I1526" s="24"/>
      <c r="J1526" s="24"/>
      <c r="K1526" s="24"/>
      <c r="L1526" s="24"/>
      <c r="M1526" s="26"/>
      <c r="N1526" s="26"/>
      <c r="O1526" s="26"/>
      <c r="P1526" s="27"/>
      <c r="Q1526" s="27"/>
      <c r="R1526" s="27"/>
      <c r="S1526" s="22"/>
      <c r="T1526" s="22"/>
      <c r="U1526" s="28"/>
    </row>
    <row r="1527">
      <c r="A1527" s="189"/>
      <c r="B1527" s="22"/>
      <c r="C1527" s="22"/>
      <c r="D1527" s="22"/>
      <c r="E1527" s="22"/>
      <c r="F1527" s="22"/>
      <c r="G1527" s="22"/>
      <c r="H1527" s="22"/>
      <c r="I1527" s="24"/>
      <c r="J1527" s="24"/>
      <c r="K1527" s="24"/>
      <c r="L1527" s="24"/>
      <c r="M1527" s="26"/>
      <c r="N1527" s="26"/>
      <c r="O1527" s="26"/>
      <c r="P1527" s="27"/>
      <c r="Q1527" s="27"/>
      <c r="R1527" s="27"/>
      <c r="S1527" s="22"/>
      <c r="T1527" s="22"/>
      <c r="U1527" s="28"/>
    </row>
    <row r="1528">
      <c r="A1528" s="189"/>
      <c r="B1528" s="22"/>
      <c r="C1528" s="22"/>
      <c r="D1528" s="22"/>
      <c r="E1528" s="22"/>
      <c r="F1528" s="22"/>
      <c r="G1528" s="22"/>
      <c r="H1528" s="22"/>
      <c r="I1528" s="24"/>
      <c r="J1528" s="24"/>
      <c r="K1528" s="24"/>
      <c r="L1528" s="24"/>
      <c r="M1528" s="26"/>
      <c r="N1528" s="26"/>
      <c r="O1528" s="26"/>
      <c r="P1528" s="27"/>
      <c r="Q1528" s="27"/>
      <c r="R1528" s="27"/>
      <c r="S1528" s="22"/>
      <c r="T1528" s="22"/>
      <c r="U1528" s="28"/>
    </row>
    <row r="1529">
      <c r="A1529" s="189"/>
      <c r="B1529" s="22"/>
      <c r="C1529" s="22"/>
      <c r="D1529" s="22"/>
      <c r="E1529" s="22"/>
      <c r="F1529" s="22"/>
      <c r="G1529" s="22"/>
      <c r="H1529" s="22"/>
      <c r="I1529" s="24"/>
      <c r="J1529" s="24"/>
      <c r="K1529" s="24"/>
      <c r="L1529" s="24"/>
      <c r="M1529" s="26"/>
      <c r="N1529" s="26"/>
      <c r="O1529" s="26"/>
      <c r="P1529" s="27"/>
      <c r="Q1529" s="27"/>
      <c r="R1529" s="27"/>
      <c r="S1529" s="22"/>
      <c r="T1529" s="22"/>
      <c r="U1529" s="28"/>
    </row>
    <row r="1530">
      <c r="A1530" s="189"/>
      <c r="B1530" s="22"/>
      <c r="C1530" s="22"/>
      <c r="D1530" s="22"/>
      <c r="E1530" s="22"/>
      <c r="F1530" s="22"/>
      <c r="G1530" s="22"/>
      <c r="H1530" s="22"/>
      <c r="I1530" s="24"/>
      <c r="J1530" s="24"/>
      <c r="K1530" s="24"/>
      <c r="L1530" s="24"/>
      <c r="M1530" s="26"/>
      <c r="N1530" s="26"/>
      <c r="O1530" s="26"/>
      <c r="P1530" s="27"/>
      <c r="Q1530" s="27"/>
      <c r="R1530" s="27"/>
      <c r="S1530" s="22"/>
      <c r="T1530" s="22"/>
      <c r="U1530" s="28"/>
    </row>
    <row r="1531">
      <c r="A1531" s="189"/>
      <c r="B1531" s="22"/>
      <c r="C1531" s="22"/>
      <c r="D1531" s="22"/>
      <c r="E1531" s="22"/>
      <c r="F1531" s="22"/>
      <c r="G1531" s="22"/>
      <c r="H1531" s="22"/>
      <c r="I1531" s="24"/>
      <c r="J1531" s="24"/>
      <c r="K1531" s="24"/>
      <c r="L1531" s="24"/>
      <c r="M1531" s="26"/>
      <c r="N1531" s="26"/>
      <c r="O1531" s="26"/>
      <c r="P1531" s="27"/>
      <c r="Q1531" s="27"/>
      <c r="R1531" s="27"/>
      <c r="S1531" s="22"/>
      <c r="T1531" s="22"/>
      <c r="U1531" s="28"/>
    </row>
    <row r="1532">
      <c r="A1532" s="189"/>
      <c r="B1532" s="22"/>
      <c r="C1532" s="22"/>
      <c r="D1532" s="22"/>
      <c r="E1532" s="22"/>
      <c r="F1532" s="22"/>
      <c r="G1532" s="22"/>
      <c r="H1532" s="22"/>
      <c r="I1532" s="24"/>
      <c r="J1532" s="24"/>
      <c r="K1532" s="24"/>
      <c r="L1532" s="24"/>
      <c r="M1532" s="26"/>
      <c r="N1532" s="26"/>
      <c r="O1532" s="26"/>
      <c r="P1532" s="27"/>
      <c r="Q1532" s="27"/>
      <c r="R1532" s="27"/>
      <c r="S1532" s="22"/>
      <c r="T1532" s="22"/>
      <c r="U1532" s="28"/>
    </row>
    <row r="1533">
      <c r="A1533" s="189"/>
      <c r="B1533" s="22"/>
      <c r="C1533" s="22"/>
      <c r="D1533" s="22"/>
      <c r="E1533" s="22"/>
      <c r="F1533" s="22"/>
      <c r="G1533" s="22"/>
      <c r="H1533" s="22"/>
      <c r="I1533" s="24"/>
      <c r="J1533" s="24"/>
      <c r="K1533" s="24"/>
      <c r="L1533" s="24"/>
      <c r="M1533" s="26"/>
      <c r="N1533" s="26"/>
      <c r="O1533" s="26"/>
      <c r="P1533" s="27"/>
      <c r="Q1533" s="27"/>
      <c r="R1533" s="27"/>
      <c r="S1533" s="22"/>
      <c r="T1533" s="22"/>
      <c r="U1533" s="28"/>
    </row>
    <row r="1534">
      <c r="A1534" s="189"/>
      <c r="B1534" s="22"/>
      <c r="C1534" s="22"/>
      <c r="D1534" s="22"/>
      <c r="E1534" s="22"/>
      <c r="F1534" s="22"/>
      <c r="G1534" s="22"/>
      <c r="H1534" s="22"/>
      <c r="I1534" s="24"/>
      <c r="J1534" s="24"/>
      <c r="K1534" s="24"/>
      <c r="L1534" s="24"/>
      <c r="M1534" s="26"/>
      <c r="N1534" s="26"/>
      <c r="O1534" s="26"/>
      <c r="P1534" s="27"/>
      <c r="Q1534" s="27"/>
      <c r="R1534" s="27"/>
      <c r="S1534" s="22"/>
      <c r="T1534" s="22"/>
      <c r="U1534" s="28"/>
    </row>
    <row r="1535">
      <c r="A1535" s="189"/>
      <c r="B1535" s="22"/>
      <c r="C1535" s="22"/>
      <c r="D1535" s="22"/>
      <c r="E1535" s="22"/>
      <c r="F1535" s="22"/>
      <c r="G1535" s="22"/>
      <c r="H1535" s="22"/>
      <c r="I1535" s="24"/>
      <c r="J1535" s="24"/>
      <c r="K1535" s="24"/>
      <c r="L1535" s="24"/>
      <c r="M1535" s="26"/>
      <c r="N1535" s="26"/>
      <c r="O1535" s="26"/>
      <c r="P1535" s="27"/>
      <c r="Q1535" s="27"/>
      <c r="R1535" s="27"/>
      <c r="S1535" s="22"/>
      <c r="T1535" s="22"/>
      <c r="U1535" s="28"/>
    </row>
    <row r="1536">
      <c r="A1536" s="189"/>
      <c r="B1536" s="22"/>
      <c r="C1536" s="22"/>
      <c r="D1536" s="22"/>
      <c r="E1536" s="22"/>
      <c r="F1536" s="22"/>
      <c r="G1536" s="22"/>
      <c r="H1536" s="22"/>
      <c r="I1536" s="24"/>
      <c r="J1536" s="24"/>
      <c r="K1536" s="24"/>
      <c r="L1536" s="24"/>
      <c r="M1536" s="26"/>
      <c r="N1536" s="26"/>
      <c r="O1536" s="26"/>
      <c r="P1536" s="27"/>
      <c r="Q1536" s="27"/>
      <c r="R1536" s="27"/>
      <c r="S1536" s="22"/>
      <c r="T1536" s="22"/>
      <c r="U1536" s="28"/>
    </row>
    <row r="1537">
      <c r="A1537" s="189"/>
      <c r="B1537" s="22"/>
      <c r="C1537" s="22"/>
      <c r="D1537" s="22"/>
      <c r="E1537" s="22"/>
      <c r="F1537" s="22"/>
      <c r="G1537" s="22"/>
      <c r="H1537" s="22"/>
      <c r="I1537" s="24"/>
      <c r="J1537" s="24"/>
      <c r="K1537" s="24"/>
      <c r="L1537" s="24"/>
      <c r="M1537" s="26"/>
      <c r="N1537" s="26"/>
      <c r="O1537" s="26"/>
      <c r="P1537" s="27"/>
      <c r="Q1537" s="27"/>
      <c r="R1537" s="27"/>
      <c r="S1537" s="22"/>
      <c r="T1537" s="22"/>
      <c r="U1537" s="28"/>
    </row>
    <row r="1538">
      <c r="A1538" s="189"/>
      <c r="B1538" s="22"/>
      <c r="C1538" s="22"/>
      <c r="D1538" s="22"/>
      <c r="E1538" s="22"/>
      <c r="F1538" s="22"/>
      <c r="G1538" s="22"/>
      <c r="H1538" s="22"/>
      <c r="I1538" s="24"/>
      <c r="J1538" s="24"/>
      <c r="K1538" s="24"/>
      <c r="L1538" s="24"/>
      <c r="M1538" s="26"/>
      <c r="N1538" s="26"/>
      <c r="O1538" s="26"/>
      <c r="P1538" s="27"/>
      <c r="Q1538" s="27"/>
      <c r="R1538" s="27"/>
      <c r="S1538" s="22"/>
      <c r="T1538" s="22"/>
      <c r="U1538" s="28"/>
    </row>
    <row r="1539">
      <c r="A1539" s="189"/>
      <c r="B1539" s="22"/>
      <c r="C1539" s="22"/>
      <c r="D1539" s="22"/>
      <c r="E1539" s="22"/>
      <c r="F1539" s="22"/>
      <c r="G1539" s="22"/>
      <c r="H1539" s="22"/>
      <c r="I1539" s="24"/>
      <c r="J1539" s="24"/>
      <c r="K1539" s="24"/>
      <c r="L1539" s="24"/>
      <c r="M1539" s="26"/>
      <c r="N1539" s="26"/>
      <c r="O1539" s="26"/>
      <c r="P1539" s="27"/>
      <c r="Q1539" s="27"/>
      <c r="R1539" s="27"/>
      <c r="S1539" s="22"/>
      <c r="T1539" s="22"/>
      <c r="U1539" s="28"/>
    </row>
    <row r="1540">
      <c r="A1540" s="189"/>
      <c r="B1540" s="22"/>
      <c r="C1540" s="22"/>
      <c r="D1540" s="22"/>
      <c r="E1540" s="22"/>
      <c r="F1540" s="22"/>
      <c r="G1540" s="22"/>
      <c r="H1540" s="22"/>
      <c r="I1540" s="24"/>
      <c r="J1540" s="24"/>
      <c r="K1540" s="24"/>
      <c r="L1540" s="24"/>
      <c r="M1540" s="26"/>
      <c r="N1540" s="26"/>
      <c r="O1540" s="26"/>
      <c r="P1540" s="27"/>
      <c r="Q1540" s="27"/>
      <c r="R1540" s="27"/>
      <c r="S1540" s="22"/>
      <c r="T1540" s="22"/>
      <c r="U1540" s="28"/>
    </row>
    <row r="1541">
      <c r="A1541" s="189"/>
      <c r="B1541" s="22"/>
      <c r="C1541" s="22"/>
      <c r="D1541" s="22"/>
      <c r="E1541" s="22"/>
      <c r="F1541" s="22"/>
      <c r="G1541" s="22"/>
      <c r="H1541" s="22"/>
      <c r="I1541" s="24"/>
      <c r="J1541" s="24"/>
      <c r="K1541" s="24"/>
      <c r="L1541" s="24"/>
      <c r="M1541" s="26"/>
      <c r="N1541" s="26"/>
      <c r="O1541" s="26"/>
      <c r="P1541" s="27"/>
      <c r="Q1541" s="27"/>
      <c r="R1541" s="27"/>
      <c r="S1541" s="22"/>
      <c r="T1541" s="22"/>
      <c r="U1541" s="28"/>
    </row>
    <row r="1542">
      <c r="A1542" s="189"/>
      <c r="B1542" s="22"/>
      <c r="C1542" s="22"/>
      <c r="D1542" s="22"/>
      <c r="E1542" s="22"/>
      <c r="F1542" s="22"/>
      <c r="G1542" s="22"/>
      <c r="H1542" s="22"/>
      <c r="I1542" s="24"/>
      <c r="J1542" s="24"/>
      <c r="K1542" s="24"/>
      <c r="L1542" s="24"/>
      <c r="M1542" s="26"/>
      <c r="N1542" s="26"/>
      <c r="O1542" s="26"/>
      <c r="P1542" s="27"/>
      <c r="Q1542" s="27"/>
      <c r="R1542" s="27"/>
      <c r="S1542" s="22"/>
      <c r="T1542" s="22"/>
      <c r="U1542" s="28"/>
    </row>
    <row r="1543">
      <c r="A1543" s="189"/>
      <c r="B1543" s="22"/>
      <c r="C1543" s="22"/>
      <c r="D1543" s="22"/>
      <c r="E1543" s="22"/>
      <c r="F1543" s="22"/>
      <c r="G1543" s="22"/>
      <c r="H1543" s="22"/>
      <c r="I1543" s="24"/>
      <c r="J1543" s="24"/>
      <c r="K1543" s="24"/>
      <c r="L1543" s="24"/>
      <c r="M1543" s="26"/>
      <c r="N1543" s="26"/>
      <c r="O1543" s="26"/>
      <c r="P1543" s="27"/>
      <c r="Q1543" s="27"/>
      <c r="R1543" s="27"/>
      <c r="S1543" s="22"/>
      <c r="T1543" s="22"/>
      <c r="U1543" s="28"/>
    </row>
    <row r="1544">
      <c r="A1544" s="189"/>
      <c r="B1544" s="22"/>
      <c r="C1544" s="22"/>
      <c r="D1544" s="22"/>
      <c r="E1544" s="22"/>
      <c r="F1544" s="22"/>
      <c r="G1544" s="22"/>
      <c r="H1544" s="22"/>
      <c r="I1544" s="24"/>
      <c r="J1544" s="24"/>
      <c r="K1544" s="24"/>
      <c r="L1544" s="24"/>
      <c r="M1544" s="26"/>
      <c r="N1544" s="26"/>
      <c r="O1544" s="26"/>
      <c r="P1544" s="27"/>
      <c r="Q1544" s="27"/>
      <c r="R1544" s="27"/>
      <c r="S1544" s="22"/>
      <c r="T1544" s="22"/>
      <c r="U1544" s="28"/>
    </row>
    <row r="1545">
      <c r="A1545" s="189"/>
      <c r="B1545" s="22"/>
      <c r="C1545" s="22"/>
      <c r="D1545" s="22"/>
      <c r="E1545" s="22"/>
      <c r="F1545" s="22"/>
      <c r="G1545" s="22"/>
      <c r="H1545" s="22"/>
      <c r="I1545" s="24"/>
      <c r="J1545" s="24"/>
      <c r="K1545" s="24"/>
      <c r="L1545" s="24"/>
      <c r="M1545" s="26"/>
      <c r="N1545" s="26"/>
      <c r="O1545" s="26"/>
      <c r="P1545" s="27"/>
      <c r="Q1545" s="27"/>
      <c r="R1545" s="27"/>
      <c r="S1545" s="22"/>
      <c r="T1545" s="22"/>
      <c r="U1545" s="28"/>
    </row>
    <row r="1546">
      <c r="A1546" s="189"/>
      <c r="B1546" s="22"/>
      <c r="C1546" s="22"/>
      <c r="D1546" s="22"/>
      <c r="E1546" s="22"/>
      <c r="F1546" s="22"/>
      <c r="G1546" s="22"/>
      <c r="H1546" s="22"/>
      <c r="I1546" s="24"/>
      <c r="J1546" s="24"/>
      <c r="K1546" s="24"/>
      <c r="L1546" s="24"/>
      <c r="M1546" s="26"/>
      <c r="N1546" s="26"/>
      <c r="O1546" s="26"/>
      <c r="P1546" s="27"/>
      <c r="Q1546" s="27"/>
      <c r="R1546" s="27"/>
      <c r="S1546" s="22"/>
      <c r="T1546" s="22"/>
      <c r="U1546" s="28"/>
    </row>
    <row r="1547">
      <c r="A1547" s="189"/>
      <c r="B1547" s="22"/>
      <c r="C1547" s="22"/>
      <c r="D1547" s="22"/>
      <c r="E1547" s="22"/>
      <c r="F1547" s="22"/>
      <c r="G1547" s="22"/>
      <c r="H1547" s="22"/>
      <c r="I1547" s="24"/>
      <c r="J1547" s="24"/>
      <c r="K1547" s="24"/>
      <c r="L1547" s="24"/>
      <c r="M1547" s="26"/>
      <c r="N1547" s="26"/>
      <c r="O1547" s="26"/>
      <c r="P1547" s="27"/>
      <c r="Q1547" s="27"/>
      <c r="R1547" s="27"/>
      <c r="S1547" s="22"/>
      <c r="T1547" s="22"/>
      <c r="U1547" s="28"/>
    </row>
    <row r="1548">
      <c r="A1548" s="189"/>
      <c r="B1548" s="22"/>
      <c r="C1548" s="22"/>
      <c r="D1548" s="22"/>
      <c r="E1548" s="22"/>
      <c r="F1548" s="22"/>
      <c r="G1548" s="22"/>
      <c r="H1548" s="22"/>
      <c r="I1548" s="24"/>
      <c r="J1548" s="24"/>
      <c r="K1548" s="24"/>
      <c r="L1548" s="24"/>
      <c r="M1548" s="26"/>
      <c r="N1548" s="26"/>
      <c r="O1548" s="26"/>
      <c r="P1548" s="27"/>
      <c r="Q1548" s="27"/>
      <c r="R1548" s="27"/>
      <c r="S1548" s="22"/>
      <c r="T1548" s="22"/>
      <c r="U1548" s="28"/>
    </row>
    <row r="1549">
      <c r="A1549" s="189"/>
      <c r="B1549" s="22"/>
      <c r="C1549" s="22"/>
      <c r="D1549" s="22"/>
      <c r="E1549" s="22"/>
      <c r="F1549" s="22"/>
      <c r="G1549" s="22"/>
      <c r="H1549" s="22"/>
      <c r="I1549" s="24"/>
      <c r="J1549" s="24"/>
      <c r="K1549" s="24"/>
      <c r="L1549" s="24"/>
      <c r="M1549" s="26"/>
      <c r="N1549" s="26"/>
      <c r="O1549" s="26"/>
      <c r="P1549" s="27"/>
      <c r="Q1549" s="27"/>
      <c r="R1549" s="27"/>
      <c r="S1549" s="22"/>
      <c r="T1549" s="22"/>
      <c r="U1549" s="28"/>
    </row>
    <row r="1550">
      <c r="A1550" s="189"/>
      <c r="B1550" s="22"/>
      <c r="C1550" s="22"/>
      <c r="D1550" s="22"/>
      <c r="E1550" s="22"/>
      <c r="F1550" s="22"/>
      <c r="G1550" s="22"/>
      <c r="H1550" s="22"/>
      <c r="I1550" s="24"/>
      <c r="J1550" s="24"/>
      <c r="K1550" s="24"/>
      <c r="L1550" s="24"/>
      <c r="M1550" s="26"/>
      <c r="N1550" s="26"/>
      <c r="O1550" s="26"/>
      <c r="P1550" s="27"/>
      <c r="Q1550" s="27"/>
      <c r="R1550" s="27"/>
      <c r="S1550" s="22"/>
      <c r="T1550" s="22"/>
      <c r="U1550" s="28"/>
    </row>
    <row r="1551">
      <c r="A1551" s="189"/>
      <c r="B1551" s="22"/>
      <c r="C1551" s="22"/>
      <c r="D1551" s="22"/>
      <c r="E1551" s="22"/>
      <c r="F1551" s="22"/>
      <c r="G1551" s="22"/>
      <c r="H1551" s="22"/>
      <c r="I1551" s="24"/>
      <c r="J1551" s="24"/>
      <c r="K1551" s="24"/>
      <c r="L1551" s="24"/>
      <c r="M1551" s="26"/>
      <c r="N1551" s="26"/>
      <c r="O1551" s="26"/>
      <c r="P1551" s="27"/>
      <c r="Q1551" s="27"/>
      <c r="R1551" s="27"/>
      <c r="S1551" s="22"/>
      <c r="T1551" s="22"/>
      <c r="U1551" s="28"/>
    </row>
    <row r="1552">
      <c r="A1552" s="189"/>
      <c r="B1552" s="22"/>
      <c r="C1552" s="22"/>
      <c r="D1552" s="22"/>
      <c r="E1552" s="22"/>
      <c r="F1552" s="22"/>
      <c r="G1552" s="22"/>
      <c r="H1552" s="22"/>
      <c r="I1552" s="24"/>
      <c r="J1552" s="24"/>
      <c r="K1552" s="24"/>
      <c r="L1552" s="24"/>
      <c r="M1552" s="26"/>
      <c r="N1552" s="26"/>
      <c r="O1552" s="26"/>
      <c r="P1552" s="27"/>
      <c r="Q1552" s="27"/>
      <c r="R1552" s="27"/>
      <c r="S1552" s="22"/>
      <c r="T1552" s="22"/>
      <c r="U1552" s="28"/>
    </row>
    <row r="1553">
      <c r="A1553" s="189"/>
      <c r="B1553" s="22"/>
      <c r="C1553" s="22"/>
      <c r="D1553" s="22"/>
      <c r="E1553" s="22"/>
      <c r="F1553" s="22"/>
      <c r="G1553" s="22"/>
      <c r="H1553" s="22"/>
      <c r="I1553" s="24"/>
      <c r="J1553" s="24"/>
      <c r="K1553" s="24"/>
      <c r="L1553" s="24"/>
      <c r="M1553" s="26"/>
      <c r="N1553" s="26"/>
      <c r="O1553" s="26"/>
      <c r="P1553" s="27"/>
      <c r="Q1553" s="27"/>
      <c r="R1553" s="27"/>
      <c r="S1553" s="22"/>
      <c r="T1553" s="22"/>
      <c r="U1553" s="28"/>
    </row>
    <row r="1554">
      <c r="A1554" s="189"/>
      <c r="B1554" s="22"/>
      <c r="C1554" s="22"/>
      <c r="D1554" s="22"/>
      <c r="E1554" s="22"/>
      <c r="F1554" s="22"/>
      <c r="G1554" s="22"/>
      <c r="H1554" s="22"/>
      <c r="I1554" s="24"/>
      <c r="J1554" s="24"/>
      <c r="K1554" s="24"/>
      <c r="L1554" s="24"/>
      <c r="M1554" s="26"/>
      <c r="N1554" s="26"/>
      <c r="O1554" s="26"/>
      <c r="P1554" s="27"/>
      <c r="Q1554" s="27"/>
      <c r="R1554" s="27"/>
      <c r="S1554" s="22"/>
      <c r="T1554" s="22"/>
      <c r="U1554" s="28"/>
    </row>
    <row r="1555">
      <c r="A1555" s="189"/>
      <c r="B1555" s="22"/>
      <c r="C1555" s="22"/>
      <c r="D1555" s="22"/>
      <c r="E1555" s="22"/>
      <c r="F1555" s="22"/>
      <c r="G1555" s="22"/>
      <c r="H1555" s="22"/>
      <c r="I1555" s="24"/>
      <c r="J1555" s="24"/>
      <c r="K1555" s="24"/>
      <c r="L1555" s="24"/>
      <c r="M1555" s="26"/>
      <c r="N1555" s="26"/>
      <c r="O1555" s="26"/>
      <c r="P1555" s="27"/>
      <c r="Q1555" s="27"/>
      <c r="R1555" s="27"/>
      <c r="S1555" s="22"/>
      <c r="T1555" s="22"/>
      <c r="U1555" s="28"/>
    </row>
    <row r="1556">
      <c r="A1556" s="189"/>
      <c r="B1556" s="22"/>
      <c r="C1556" s="22"/>
      <c r="D1556" s="22"/>
      <c r="E1556" s="22"/>
      <c r="F1556" s="22"/>
      <c r="G1556" s="22"/>
      <c r="H1556" s="22"/>
      <c r="I1556" s="24"/>
      <c r="J1556" s="24"/>
      <c r="K1556" s="24"/>
      <c r="L1556" s="24"/>
      <c r="M1556" s="26"/>
      <c r="N1556" s="26"/>
      <c r="O1556" s="26"/>
      <c r="P1556" s="27"/>
      <c r="Q1556" s="27"/>
      <c r="R1556" s="27"/>
      <c r="S1556" s="22"/>
      <c r="T1556" s="22"/>
      <c r="U1556" s="28"/>
    </row>
    <row r="1557">
      <c r="A1557" s="189"/>
      <c r="B1557" s="22"/>
      <c r="C1557" s="22"/>
      <c r="D1557" s="22"/>
      <c r="E1557" s="22"/>
      <c r="F1557" s="22"/>
      <c r="G1557" s="22"/>
      <c r="H1557" s="22"/>
      <c r="I1557" s="24"/>
      <c r="J1557" s="24"/>
      <c r="K1557" s="24"/>
      <c r="L1557" s="24"/>
      <c r="M1557" s="26"/>
      <c r="N1557" s="26"/>
      <c r="O1557" s="26"/>
      <c r="P1557" s="27"/>
      <c r="Q1557" s="27"/>
      <c r="R1557" s="27"/>
      <c r="S1557" s="22"/>
      <c r="T1557" s="22"/>
      <c r="U1557" s="28"/>
    </row>
    <row r="1558">
      <c r="A1558" s="189"/>
      <c r="B1558" s="22"/>
      <c r="C1558" s="22"/>
      <c r="D1558" s="22"/>
      <c r="E1558" s="22"/>
      <c r="F1558" s="22"/>
      <c r="G1558" s="22"/>
      <c r="H1558" s="22"/>
      <c r="I1558" s="24"/>
      <c r="J1558" s="24"/>
      <c r="K1558" s="24"/>
      <c r="L1558" s="24"/>
      <c r="M1558" s="26"/>
      <c r="N1558" s="26"/>
      <c r="O1558" s="26"/>
      <c r="P1558" s="27"/>
      <c r="Q1558" s="27"/>
      <c r="R1558" s="27"/>
      <c r="S1558" s="22"/>
      <c r="T1558" s="22"/>
      <c r="U1558" s="28"/>
    </row>
    <row r="1559">
      <c r="A1559" s="189"/>
      <c r="B1559" s="22"/>
      <c r="C1559" s="22"/>
      <c r="D1559" s="22"/>
      <c r="E1559" s="22"/>
      <c r="F1559" s="22"/>
      <c r="G1559" s="22"/>
      <c r="H1559" s="22"/>
      <c r="I1559" s="24"/>
      <c r="J1559" s="24"/>
      <c r="K1559" s="24"/>
      <c r="L1559" s="24"/>
      <c r="M1559" s="26"/>
      <c r="N1559" s="26"/>
      <c r="O1559" s="26"/>
      <c r="P1559" s="27"/>
      <c r="Q1559" s="27"/>
      <c r="R1559" s="27"/>
      <c r="S1559" s="22"/>
      <c r="T1559" s="22"/>
      <c r="U1559" s="28"/>
    </row>
    <row r="1560">
      <c r="A1560" s="189"/>
      <c r="B1560" s="22"/>
      <c r="C1560" s="22"/>
      <c r="D1560" s="22"/>
      <c r="E1560" s="22"/>
      <c r="F1560" s="22"/>
      <c r="G1560" s="22"/>
      <c r="H1560" s="22"/>
      <c r="I1560" s="24"/>
      <c r="J1560" s="24"/>
      <c r="K1560" s="24"/>
      <c r="L1560" s="24"/>
      <c r="M1560" s="26"/>
      <c r="N1560" s="26"/>
      <c r="O1560" s="26"/>
      <c r="P1560" s="27"/>
      <c r="Q1560" s="27"/>
      <c r="R1560" s="27"/>
      <c r="S1560" s="22"/>
      <c r="T1560" s="22"/>
      <c r="U1560" s="28"/>
    </row>
    <row r="1561">
      <c r="A1561" s="189"/>
      <c r="B1561" s="22"/>
      <c r="C1561" s="22"/>
      <c r="D1561" s="22"/>
      <c r="E1561" s="22"/>
      <c r="F1561" s="22"/>
      <c r="G1561" s="22"/>
      <c r="H1561" s="22"/>
      <c r="I1561" s="24"/>
      <c r="J1561" s="24"/>
      <c r="K1561" s="24"/>
      <c r="L1561" s="24"/>
      <c r="M1561" s="26"/>
      <c r="N1561" s="26"/>
      <c r="O1561" s="26"/>
      <c r="P1561" s="27"/>
      <c r="Q1561" s="27"/>
      <c r="R1561" s="27"/>
      <c r="S1561" s="22"/>
      <c r="T1561" s="22"/>
      <c r="U1561" s="28"/>
    </row>
    <row r="1562">
      <c r="A1562" s="189"/>
      <c r="B1562" s="22"/>
      <c r="C1562" s="22"/>
      <c r="D1562" s="22"/>
      <c r="E1562" s="22"/>
      <c r="F1562" s="22"/>
      <c r="G1562" s="22"/>
      <c r="H1562" s="22"/>
      <c r="I1562" s="24"/>
      <c r="J1562" s="24"/>
      <c r="K1562" s="24"/>
      <c r="L1562" s="24"/>
      <c r="M1562" s="26"/>
      <c r="N1562" s="26"/>
      <c r="O1562" s="26"/>
      <c r="P1562" s="27"/>
      <c r="Q1562" s="27"/>
      <c r="R1562" s="27"/>
      <c r="S1562" s="22"/>
      <c r="T1562" s="22"/>
      <c r="U1562" s="28"/>
    </row>
    <row r="1563">
      <c r="A1563" s="189"/>
      <c r="B1563" s="22"/>
      <c r="C1563" s="22"/>
      <c r="D1563" s="22"/>
      <c r="E1563" s="22"/>
      <c r="F1563" s="22"/>
      <c r="G1563" s="22"/>
      <c r="H1563" s="22"/>
      <c r="I1563" s="24"/>
      <c r="J1563" s="24"/>
      <c r="K1563" s="24"/>
      <c r="L1563" s="24"/>
      <c r="M1563" s="26"/>
      <c r="N1563" s="26"/>
      <c r="O1563" s="26"/>
      <c r="P1563" s="27"/>
      <c r="Q1563" s="27"/>
      <c r="R1563" s="27"/>
      <c r="S1563" s="22"/>
      <c r="T1563" s="22"/>
      <c r="U1563" s="28"/>
    </row>
    <row r="1564">
      <c r="A1564" s="189"/>
      <c r="B1564" s="22"/>
      <c r="C1564" s="22"/>
      <c r="D1564" s="22"/>
      <c r="E1564" s="22"/>
      <c r="F1564" s="22"/>
      <c r="G1564" s="22"/>
      <c r="H1564" s="22"/>
      <c r="I1564" s="24"/>
      <c r="J1564" s="24"/>
      <c r="K1564" s="24"/>
      <c r="L1564" s="24"/>
      <c r="M1564" s="26"/>
      <c r="N1564" s="26"/>
      <c r="O1564" s="26"/>
      <c r="P1564" s="27"/>
      <c r="Q1564" s="27"/>
      <c r="R1564" s="27"/>
      <c r="S1564" s="22"/>
      <c r="T1564" s="22"/>
      <c r="U1564" s="28"/>
    </row>
    <row r="1565">
      <c r="A1565" s="189"/>
      <c r="B1565" s="22"/>
      <c r="C1565" s="22"/>
      <c r="D1565" s="22"/>
      <c r="E1565" s="22"/>
      <c r="F1565" s="22"/>
      <c r="G1565" s="22"/>
      <c r="H1565" s="22"/>
      <c r="I1565" s="24"/>
      <c r="J1565" s="24"/>
      <c r="K1565" s="24"/>
      <c r="L1565" s="24"/>
      <c r="M1565" s="26"/>
      <c r="N1565" s="26"/>
      <c r="O1565" s="26"/>
      <c r="P1565" s="27"/>
      <c r="Q1565" s="27"/>
      <c r="R1565" s="27"/>
      <c r="S1565" s="22"/>
      <c r="T1565" s="22"/>
      <c r="U1565" s="28"/>
    </row>
    <row r="1566">
      <c r="A1566" s="189"/>
      <c r="B1566" s="22"/>
      <c r="C1566" s="22"/>
      <c r="D1566" s="22"/>
      <c r="E1566" s="22"/>
      <c r="F1566" s="22"/>
      <c r="G1566" s="22"/>
      <c r="H1566" s="22"/>
      <c r="I1566" s="24"/>
      <c r="J1566" s="24"/>
      <c r="K1566" s="24"/>
      <c r="L1566" s="24"/>
      <c r="M1566" s="26"/>
      <c r="N1566" s="26"/>
      <c r="O1566" s="26"/>
      <c r="P1566" s="27"/>
      <c r="Q1566" s="27"/>
      <c r="R1566" s="27"/>
      <c r="S1566" s="22"/>
      <c r="T1566" s="22"/>
      <c r="U1566" s="28"/>
    </row>
    <row r="1567">
      <c r="A1567" s="189"/>
      <c r="B1567" s="22"/>
      <c r="C1567" s="22"/>
      <c r="D1567" s="22"/>
      <c r="E1567" s="22"/>
      <c r="F1567" s="22"/>
      <c r="G1567" s="22"/>
      <c r="H1567" s="22"/>
      <c r="I1567" s="24"/>
      <c r="J1567" s="24"/>
      <c r="K1567" s="24"/>
      <c r="L1567" s="24"/>
      <c r="M1567" s="26"/>
      <c r="N1567" s="26"/>
      <c r="O1567" s="26"/>
      <c r="P1567" s="27"/>
      <c r="Q1567" s="27"/>
      <c r="R1567" s="27"/>
      <c r="S1567" s="22"/>
      <c r="T1567" s="22"/>
      <c r="U1567" s="28"/>
    </row>
    <row r="1568">
      <c r="A1568" s="189"/>
      <c r="B1568" s="22"/>
      <c r="C1568" s="22"/>
      <c r="D1568" s="22"/>
      <c r="E1568" s="22"/>
      <c r="F1568" s="22"/>
      <c r="G1568" s="22"/>
      <c r="H1568" s="22"/>
      <c r="I1568" s="24"/>
      <c r="J1568" s="24"/>
      <c r="K1568" s="24"/>
      <c r="L1568" s="24"/>
      <c r="M1568" s="26"/>
      <c r="N1568" s="26"/>
      <c r="O1568" s="26"/>
      <c r="P1568" s="27"/>
      <c r="Q1568" s="27"/>
      <c r="R1568" s="27"/>
      <c r="S1568" s="22"/>
      <c r="T1568" s="22"/>
      <c r="U1568" s="28"/>
    </row>
    <row r="1569">
      <c r="A1569" s="189"/>
      <c r="B1569" s="22"/>
      <c r="C1569" s="22"/>
      <c r="D1569" s="22"/>
      <c r="E1569" s="22"/>
      <c r="F1569" s="22"/>
      <c r="G1569" s="22"/>
      <c r="H1569" s="22"/>
      <c r="I1569" s="24"/>
      <c r="J1569" s="24"/>
      <c r="K1569" s="24"/>
      <c r="L1569" s="24"/>
      <c r="M1569" s="26"/>
      <c r="N1569" s="26"/>
      <c r="O1569" s="26"/>
      <c r="P1569" s="27"/>
      <c r="Q1569" s="27"/>
      <c r="R1569" s="27"/>
      <c r="S1569" s="22"/>
      <c r="T1569" s="22"/>
      <c r="U1569" s="28"/>
    </row>
    <row r="1570">
      <c r="A1570" s="189"/>
      <c r="B1570" s="22"/>
      <c r="C1570" s="22"/>
      <c r="D1570" s="22"/>
      <c r="E1570" s="22"/>
      <c r="F1570" s="22"/>
      <c r="G1570" s="22"/>
      <c r="H1570" s="22"/>
      <c r="I1570" s="24"/>
      <c r="J1570" s="24"/>
      <c r="K1570" s="24"/>
      <c r="L1570" s="24"/>
      <c r="M1570" s="26"/>
      <c r="N1570" s="26"/>
      <c r="O1570" s="26"/>
      <c r="P1570" s="27"/>
      <c r="Q1570" s="27"/>
      <c r="R1570" s="27"/>
      <c r="S1570" s="22"/>
      <c r="T1570" s="22"/>
      <c r="U1570" s="28"/>
    </row>
    <row r="1571">
      <c r="A1571" s="189"/>
      <c r="B1571" s="22"/>
      <c r="C1571" s="22"/>
      <c r="D1571" s="22"/>
      <c r="E1571" s="22"/>
      <c r="F1571" s="22"/>
      <c r="G1571" s="22"/>
      <c r="H1571" s="22"/>
      <c r="I1571" s="24"/>
      <c r="J1571" s="24"/>
      <c r="K1571" s="24"/>
      <c r="L1571" s="24"/>
      <c r="M1571" s="26"/>
      <c r="N1571" s="26"/>
      <c r="O1571" s="26"/>
      <c r="P1571" s="27"/>
      <c r="Q1571" s="27"/>
      <c r="R1571" s="27"/>
      <c r="S1571" s="22"/>
      <c r="T1571" s="22"/>
      <c r="U1571" s="28"/>
    </row>
    <row r="1572">
      <c r="A1572" s="189"/>
      <c r="B1572" s="22"/>
      <c r="C1572" s="22"/>
      <c r="D1572" s="22"/>
      <c r="E1572" s="22"/>
      <c r="F1572" s="22"/>
      <c r="G1572" s="22"/>
      <c r="H1572" s="22"/>
      <c r="I1572" s="24"/>
      <c r="J1572" s="24"/>
      <c r="K1572" s="24"/>
      <c r="L1572" s="24"/>
      <c r="M1572" s="26"/>
      <c r="N1572" s="26"/>
      <c r="O1572" s="26"/>
      <c r="P1572" s="27"/>
      <c r="Q1572" s="27"/>
      <c r="R1572" s="27"/>
      <c r="S1572" s="22"/>
      <c r="T1572" s="22"/>
      <c r="U1572" s="28"/>
    </row>
    <row r="1573">
      <c r="A1573" s="189"/>
      <c r="B1573" s="22"/>
      <c r="C1573" s="22"/>
      <c r="D1573" s="22"/>
      <c r="E1573" s="22"/>
      <c r="F1573" s="22"/>
      <c r="G1573" s="22"/>
      <c r="H1573" s="22"/>
      <c r="I1573" s="24"/>
      <c r="J1573" s="24"/>
      <c r="K1573" s="24"/>
      <c r="L1573" s="24"/>
      <c r="M1573" s="26"/>
      <c r="N1573" s="26"/>
      <c r="O1573" s="26"/>
      <c r="P1573" s="27"/>
      <c r="Q1573" s="27"/>
      <c r="R1573" s="27"/>
      <c r="S1573" s="22"/>
      <c r="T1573" s="22"/>
      <c r="U1573" s="28"/>
    </row>
    <row r="1574">
      <c r="A1574" s="189"/>
      <c r="B1574" s="22"/>
      <c r="C1574" s="22"/>
      <c r="D1574" s="22"/>
      <c r="E1574" s="22"/>
      <c r="F1574" s="22"/>
      <c r="G1574" s="22"/>
      <c r="H1574" s="22"/>
      <c r="I1574" s="24"/>
      <c r="J1574" s="24"/>
      <c r="K1574" s="24"/>
      <c r="L1574" s="24"/>
      <c r="M1574" s="26"/>
      <c r="N1574" s="26"/>
      <c r="O1574" s="26"/>
      <c r="P1574" s="27"/>
      <c r="Q1574" s="27"/>
      <c r="R1574" s="27"/>
      <c r="S1574" s="22"/>
      <c r="T1574" s="22"/>
      <c r="U1574" s="28"/>
    </row>
    <row r="1575">
      <c r="A1575" s="189"/>
      <c r="B1575" s="22"/>
      <c r="C1575" s="22"/>
      <c r="D1575" s="22"/>
      <c r="E1575" s="22"/>
      <c r="F1575" s="22"/>
      <c r="G1575" s="22"/>
      <c r="H1575" s="22"/>
      <c r="I1575" s="24"/>
      <c r="J1575" s="24"/>
      <c r="K1575" s="24"/>
      <c r="L1575" s="24"/>
      <c r="M1575" s="26"/>
      <c r="N1575" s="26"/>
      <c r="O1575" s="26"/>
      <c r="P1575" s="27"/>
      <c r="Q1575" s="27"/>
      <c r="R1575" s="27"/>
      <c r="S1575" s="22"/>
      <c r="T1575" s="22"/>
      <c r="U1575" s="28"/>
    </row>
    <row r="1576">
      <c r="A1576" s="189"/>
      <c r="B1576" s="22"/>
      <c r="C1576" s="22"/>
      <c r="D1576" s="22"/>
      <c r="E1576" s="22"/>
      <c r="F1576" s="22"/>
      <c r="G1576" s="22"/>
      <c r="H1576" s="22"/>
      <c r="I1576" s="24"/>
      <c r="J1576" s="24"/>
      <c r="K1576" s="24"/>
      <c r="L1576" s="24"/>
      <c r="M1576" s="26"/>
      <c r="N1576" s="26"/>
      <c r="O1576" s="26"/>
      <c r="P1576" s="27"/>
      <c r="Q1576" s="27"/>
      <c r="R1576" s="27"/>
      <c r="S1576" s="22"/>
      <c r="T1576" s="22"/>
      <c r="U1576" s="28"/>
    </row>
    <row r="1577">
      <c r="A1577" s="189"/>
      <c r="B1577" s="22"/>
      <c r="C1577" s="22"/>
      <c r="D1577" s="22"/>
      <c r="E1577" s="22"/>
      <c r="F1577" s="22"/>
      <c r="G1577" s="22"/>
      <c r="H1577" s="22"/>
      <c r="I1577" s="24"/>
      <c r="J1577" s="24"/>
      <c r="K1577" s="24"/>
      <c r="L1577" s="24"/>
      <c r="M1577" s="26"/>
      <c r="N1577" s="26"/>
      <c r="O1577" s="26"/>
      <c r="P1577" s="27"/>
      <c r="Q1577" s="27"/>
      <c r="R1577" s="27"/>
      <c r="S1577" s="22"/>
      <c r="T1577" s="22"/>
      <c r="U1577" s="28"/>
    </row>
    <row r="1578">
      <c r="A1578" s="189"/>
      <c r="B1578" s="22"/>
      <c r="C1578" s="22"/>
      <c r="D1578" s="22"/>
      <c r="E1578" s="22"/>
      <c r="F1578" s="22"/>
      <c r="G1578" s="22"/>
      <c r="H1578" s="22"/>
      <c r="I1578" s="24"/>
      <c r="J1578" s="24"/>
      <c r="K1578" s="24"/>
      <c r="L1578" s="24"/>
      <c r="M1578" s="26"/>
      <c r="N1578" s="26"/>
      <c r="O1578" s="26"/>
      <c r="P1578" s="27"/>
      <c r="Q1578" s="27"/>
      <c r="R1578" s="27"/>
      <c r="S1578" s="22"/>
      <c r="T1578" s="22"/>
      <c r="U1578" s="28"/>
    </row>
    <row r="1579">
      <c r="A1579" s="189"/>
      <c r="B1579" s="22"/>
      <c r="C1579" s="22"/>
      <c r="D1579" s="22"/>
      <c r="E1579" s="22"/>
      <c r="F1579" s="22"/>
      <c r="G1579" s="22"/>
      <c r="H1579" s="22"/>
      <c r="I1579" s="24"/>
      <c r="J1579" s="24"/>
      <c r="K1579" s="24"/>
      <c r="L1579" s="24"/>
      <c r="M1579" s="26"/>
      <c r="N1579" s="26"/>
      <c r="O1579" s="26"/>
      <c r="P1579" s="27"/>
      <c r="Q1579" s="27"/>
      <c r="R1579" s="27"/>
      <c r="S1579" s="22"/>
      <c r="T1579" s="22"/>
      <c r="U1579" s="28"/>
    </row>
    <row r="1580">
      <c r="A1580" s="189"/>
      <c r="B1580" s="22"/>
      <c r="C1580" s="22"/>
      <c r="D1580" s="22"/>
      <c r="E1580" s="22"/>
      <c r="F1580" s="22"/>
      <c r="G1580" s="22"/>
      <c r="H1580" s="22"/>
      <c r="I1580" s="24"/>
      <c r="J1580" s="24"/>
      <c r="K1580" s="24"/>
      <c r="L1580" s="24"/>
      <c r="M1580" s="26"/>
      <c r="N1580" s="26"/>
      <c r="O1580" s="26"/>
      <c r="P1580" s="27"/>
      <c r="Q1580" s="27"/>
      <c r="R1580" s="27"/>
      <c r="S1580" s="22"/>
      <c r="T1580" s="22"/>
      <c r="U1580" s="28"/>
    </row>
    <row r="1581">
      <c r="A1581" s="189"/>
      <c r="B1581" s="22"/>
      <c r="C1581" s="22"/>
      <c r="D1581" s="22"/>
      <c r="E1581" s="22"/>
      <c r="F1581" s="22"/>
      <c r="G1581" s="22"/>
      <c r="H1581" s="22"/>
      <c r="I1581" s="24"/>
      <c r="J1581" s="24"/>
      <c r="K1581" s="24"/>
      <c r="L1581" s="24"/>
      <c r="M1581" s="26"/>
      <c r="N1581" s="26"/>
      <c r="O1581" s="26"/>
      <c r="P1581" s="27"/>
      <c r="Q1581" s="27"/>
      <c r="R1581" s="27"/>
      <c r="S1581" s="22"/>
      <c r="T1581" s="22"/>
      <c r="U1581" s="28"/>
    </row>
    <row r="1582">
      <c r="A1582" s="189"/>
      <c r="B1582" s="22"/>
      <c r="C1582" s="22"/>
      <c r="D1582" s="22"/>
      <c r="E1582" s="22"/>
      <c r="F1582" s="22"/>
      <c r="G1582" s="22"/>
      <c r="H1582" s="22"/>
      <c r="I1582" s="24"/>
      <c r="J1582" s="24"/>
      <c r="K1582" s="24"/>
      <c r="L1582" s="24"/>
      <c r="M1582" s="26"/>
      <c r="N1582" s="26"/>
      <c r="O1582" s="26"/>
      <c r="P1582" s="27"/>
      <c r="Q1582" s="27"/>
      <c r="R1582" s="27"/>
      <c r="S1582" s="22"/>
      <c r="T1582" s="22"/>
      <c r="U1582" s="28"/>
    </row>
    <row r="1583">
      <c r="A1583" s="189"/>
      <c r="B1583" s="22"/>
      <c r="C1583" s="22"/>
      <c r="D1583" s="22"/>
      <c r="E1583" s="22"/>
      <c r="F1583" s="22"/>
      <c r="G1583" s="22"/>
      <c r="H1583" s="22"/>
      <c r="I1583" s="24"/>
      <c r="J1583" s="24"/>
      <c r="K1583" s="24"/>
      <c r="L1583" s="24"/>
      <c r="M1583" s="26"/>
      <c r="N1583" s="26"/>
      <c r="O1583" s="26"/>
      <c r="P1583" s="27"/>
      <c r="Q1583" s="27"/>
      <c r="R1583" s="27"/>
      <c r="S1583" s="22"/>
      <c r="T1583" s="22"/>
      <c r="U1583" s="28"/>
    </row>
    <row r="1584">
      <c r="A1584" s="189"/>
      <c r="B1584" s="22"/>
      <c r="C1584" s="22"/>
      <c r="D1584" s="22"/>
      <c r="E1584" s="22"/>
      <c r="F1584" s="22"/>
      <c r="G1584" s="22"/>
      <c r="H1584" s="22"/>
      <c r="I1584" s="24"/>
      <c r="J1584" s="24"/>
      <c r="K1584" s="24"/>
      <c r="L1584" s="24"/>
      <c r="M1584" s="26"/>
      <c r="N1584" s="26"/>
      <c r="O1584" s="26"/>
      <c r="P1584" s="27"/>
      <c r="Q1584" s="27"/>
      <c r="R1584" s="27"/>
      <c r="S1584" s="22"/>
      <c r="T1584" s="22"/>
      <c r="U1584" s="28"/>
    </row>
    <row r="1585">
      <c r="A1585" s="189"/>
      <c r="B1585" s="22"/>
      <c r="C1585" s="22"/>
      <c r="D1585" s="22"/>
      <c r="E1585" s="22"/>
      <c r="F1585" s="22"/>
      <c r="G1585" s="22"/>
      <c r="H1585" s="22"/>
      <c r="I1585" s="24"/>
      <c r="J1585" s="24"/>
      <c r="K1585" s="24"/>
      <c r="L1585" s="24"/>
      <c r="M1585" s="26"/>
      <c r="N1585" s="26"/>
      <c r="O1585" s="26"/>
      <c r="P1585" s="27"/>
      <c r="Q1585" s="27"/>
      <c r="R1585" s="27"/>
      <c r="S1585" s="22"/>
      <c r="T1585" s="22"/>
      <c r="U1585" s="28"/>
    </row>
    <row r="1586">
      <c r="A1586" s="189"/>
      <c r="B1586" s="22"/>
      <c r="C1586" s="22"/>
      <c r="D1586" s="22"/>
      <c r="E1586" s="22"/>
      <c r="F1586" s="22"/>
      <c r="G1586" s="22"/>
      <c r="H1586" s="22"/>
      <c r="I1586" s="24"/>
      <c r="J1586" s="24"/>
      <c r="K1586" s="24"/>
      <c r="L1586" s="24"/>
      <c r="M1586" s="26"/>
      <c r="N1586" s="26"/>
      <c r="O1586" s="26"/>
      <c r="P1586" s="27"/>
      <c r="Q1586" s="27"/>
      <c r="R1586" s="27"/>
      <c r="S1586" s="22"/>
      <c r="T1586" s="22"/>
      <c r="U1586" s="28"/>
    </row>
    <row r="1587">
      <c r="A1587" s="189"/>
      <c r="B1587" s="22"/>
      <c r="C1587" s="22"/>
      <c r="D1587" s="22"/>
      <c r="E1587" s="22"/>
      <c r="F1587" s="22"/>
      <c r="G1587" s="22"/>
      <c r="H1587" s="22"/>
      <c r="I1587" s="24"/>
      <c r="J1587" s="24"/>
      <c r="K1587" s="24"/>
      <c r="L1587" s="24"/>
      <c r="M1587" s="26"/>
      <c r="N1587" s="26"/>
      <c r="O1587" s="26"/>
      <c r="P1587" s="27"/>
      <c r="Q1587" s="27"/>
      <c r="R1587" s="27"/>
      <c r="S1587" s="22"/>
      <c r="T1587" s="22"/>
      <c r="U1587" s="28"/>
    </row>
    <row r="1588">
      <c r="A1588" s="189"/>
      <c r="B1588" s="22"/>
      <c r="C1588" s="22"/>
      <c r="D1588" s="22"/>
      <c r="E1588" s="22"/>
      <c r="F1588" s="22"/>
      <c r="G1588" s="22"/>
      <c r="H1588" s="22"/>
      <c r="I1588" s="24"/>
      <c r="J1588" s="24"/>
      <c r="K1588" s="24"/>
      <c r="L1588" s="24"/>
      <c r="M1588" s="26"/>
      <c r="N1588" s="26"/>
      <c r="O1588" s="26"/>
      <c r="P1588" s="27"/>
      <c r="Q1588" s="27"/>
      <c r="R1588" s="27"/>
      <c r="S1588" s="22"/>
      <c r="T1588" s="22"/>
      <c r="U1588" s="28"/>
    </row>
    <row r="1589">
      <c r="A1589" s="189"/>
      <c r="B1589" s="22"/>
      <c r="C1589" s="22"/>
      <c r="D1589" s="22"/>
      <c r="E1589" s="22"/>
      <c r="F1589" s="22"/>
      <c r="G1589" s="22"/>
      <c r="H1589" s="22"/>
      <c r="I1589" s="24"/>
      <c r="J1589" s="24"/>
      <c r="K1589" s="24"/>
      <c r="L1589" s="24"/>
      <c r="M1589" s="26"/>
      <c r="N1589" s="26"/>
      <c r="O1589" s="26"/>
      <c r="P1589" s="27"/>
      <c r="Q1589" s="27"/>
      <c r="R1589" s="27"/>
      <c r="S1589" s="22"/>
      <c r="T1589" s="22"/>
      <c r="U1589" s="28"/>
    </row>
    <row r="1590">
      <c r="A1590" s="189"/>
      <c r="B1590" s="22"/>
      <c r="C1590" s="22"/>
      <c r="D1590" s="22"/>
      <c r="E1590" s="22"/>
      <c r="F1590" s="22"/>
      <c r="G1590" s="22"/>
      <c r="H1590" s="22"/>
      <c r="I1590" s="24"/>
      <c r="J1590" s="24"/>
      <c r="K1590" s="24"/>
      <c r="L1590" s="24"/>
      <c r="M1590" s="26"/>
      <c r="N1590" s="26"/>
      <c r="O1590" s="26"/>
      <c r="P1590" s="27"/>
      <c r="Q1590" s="27"/>
      <c r="R1590" s="27"/>
      <c r="S1590" s="22"/>
      <c r="T1590" s="22"/>
      <c r="U1590" s="28"/>
    </row>
    <row r="1591">
      <c r="A1591" s="189"/>
      <c r="B1591" s="22"/>
      <c r="C1591" s="22"/>
      <c r="D1591" s="22"/>
      <c r="E1591" s="22"/>
      <c r="F1591" s="22"/>
      <c r="G1591" s="22"/>
      <c r="H1591" s="22"/>
      <c r="I1591" s="24"/>
      <c r="J1591" s="24"/>
      <c r="K1591" s="24"/>
      <c r="L1591" s="24"/>
      <c r="M1591" s="26"/>
      <c r="N1591" s="26"/>
      <c r="O1591" s="26"/>
      <c r="P1591" s="27"/>
      <c r="Q1591" s="27"/>
      <c r="R1591" s="27"/>
      <c r="S1591" s="22"/>
      <c r="T1591" s="22"/>
      <c r="U1591" s="28"/>
    </row>
    <row r="1592">
      <c r="A1592" s="189"/>
      <c r="B1592" s="22"/>
      <c r="C1592" s="22"/>
      <c r="D1592" s="22"/>
      <c r="E1592" s="22"/>
      <c r="F1592" s="22"/>
      <c r="G1592" s="22"/>
      <c r="H1592" s="22"/>
      <c r="I1592" s="24"/>
      <c r="J1592" s="24"/>
      <c r="K1592" s="24"/>
      <c r="L1592" s="24"/>
      <c r="M1592" s="26"/>
      <c r="N1592" s="26"/>
      <c r="O1592" s="26"/>
      <c r="P1592" s="27"/>
      <c r="Q1592" s="27"/>
      <c r="R1592" s="27"/>
      <c r="S1592" s="22"/>
      <c r="T1592" s="22"/>
      <c r="U1592" s="28"/>
    </row>
    <row r="1593">
      <c r="A1593" s="189"/>
      <c r="B1593" s="22"/>
      <c r="C1593" s="22"/>
      <c r="D1593" s="22"/>
      <c r="E1593" s="22"/>
      <c r="F1593" s="22"/>
      <c r="G1593" s="22"/>
      <c r="H1593" s="22"/>
      <c r="I1593" s="24"/>
      <c r="J1593" s="24"/>
      <c r="K1593" s="24"/>
      <c r="L1593" s="24"/>
      <c r="M1593" s="26"/>
      <c r="N1593" s="26"/>
      <c r="O1593" s="26"/>
      <c r="P1593" s="27"/>
      <c r="Q1593" s="27"/>
      <c r="R1593" s="27"/>
      <c r="S1593" s="22"/>
      <c r="T1593" s="22"/>
      <c r="U1593" s="28"/>
    </row>
    <row r="1594">
      <c r="A1594" s="189"/>
      <c r="B1594" s="22"/>
      <c r="C1594" s="22"/>
      <c r="D1594" s="22"/>
      <c r="E1594" s="22"/>
      <c r="F1594" s="22"/>
      <c r="G1594" s="22"/>
      <c r="H1594" s="22"/>
      <c r="I1594" s="24"/>
      <c r="J1594" s="24"/>
      <c r="K1594" s="24"/>
      <c r="L1594" s="24"/>
      <c r="M1594" s="26"/>
      <c r="N1594" s="26"/>
      <c r="O1594" s="26"/>
      <c r="P1594" s="27"/>
      <c r="Q1594" s="27"/>
      <c r="R1594" s="27"/>
      <c r="S1594" s="22"/>
      <c r="T1594" s="22"/>
      <c r="U1594" s="28"/>
    </row>
    <row r="1595">
      <c r="A1595" s="189"/>
      <c r="B1595" s="22"/>
      <c r="C1595" s="22"/>
      <c r="D1595" s="22"/>
      <c r="E1595" s="22"/>
      <c r="F1595" s="22"/>
      <c r="G1595" s="22"/>
      <c r="H1595" s="22"/>
      <c r="I1595" s="24"/>
      <c r="J1595" s="24"/>
      <c r="K1595" s="24"/>
      <c r="L1595" s="24"/>
      <c r="M1595" s="26"/>
      <c r="N1595" s="26"/>
      <c r="O1595" s="26"/>
      <c r="P1595" s="27"/>
      <c r="Q1595" s="27"/>
      <c r="R1595" s="27"/>
      <c r="S1595" s="22"/>
      <c r="T1595" s="22"/>
      <c r="U1595" s="28"/>
    </row>
    <row r="1596">
      <c r="A1596" s="189"/>
      <c r="B1596" s="22"/>
      <c r="C1596" s="22"/>
      <c r="D1596" s="22"/>
      <c r="E1596" s="22"/>
      <c r="F1596" s="22"/>
      <c r="G1596" s="22"/>
      <c r="H1596" s="22"/>
      <c r="I1596" s="24"/>
      <c r="J1596" s="24"/>
      <c r="K1596" s="24"/>
      <c r="L1596" s="24"/>
      <c r="M1596" s="26"/>
      <c r="N1596" s="26"/>
      <c r="O1596" s="26"/>
      <c r="P1596" s="27"/>
      <c r="Q1596" s="27"/>
      <c r="R1596" s="27"/>
      <c r="S1596" s="22"/>
      <c r="T1596" s="22"/>
      <c r="U1596" s="28"/>
    </row>
    <row r="1597">
      <c r="A1597" s="189"/>
      <c r="B1597" s="22"/>
      <c r="C1597" s="22"/>
      <c r="D1597" s="22"/>
      <c r="E1597" s="22"/>
      <c r="F1597" s="22"/>
      <c r="G1597" s="22"/>
      <c r="H1597" s="22"/>
      <c r="I1597" s="24"/>
      <c r="J1597" s="24"/>
      <c r="K1597" s="24"/>
      <c r="L1597" s="24"/>
      <c r="M1597" s="26"/>
      <c r="N1597" s="26"/>
      <c r="O1597" s="26"/>
      <c r="P1597" s="27"/>
      <c r="Q1597" s="27"/>
      <c r="R1597" s="27"/>
      <c r="S1597" s="22"/>
      <c r="T1597" s="22"/>
      <c r="U1597" s="28"/>
    </row>
    <row r="1598">
      <c r="A1598" s="189"/>
      <c r="B1598" s="22"/>
      <c r="C1598" s="22"/>
      <c r="D1598" s="22"/>
      <c r="E1598" s="22"/>
      <c r="F1598" s="22"/>
      <c r="G1598" s="22"/>
      <c r="H1598" s="22"/>
      <c r="I1598" s="24"/>
      <c r="J1598" s="24"/>
      <c r="K1598" s="24"/>
      <c r="L1598" s="24"/>
      <c r="M1598" s="26"/>
      <c r="N1598" s="26"/>
      <c r="O1598" s="26"/>
      <c r="P1598" s="27"/>
      <c r="Q1598" s="27"/>
      <c r="R1598" s="27"/>
      <c r="S1598" s="22"/>
      <c r="T1598" s="22"/>
      <c r="U1598" s="28"/>
    </row>
    <row r="1599">
      <c r="A1599" s="189"/>
      <c r="B1599" s="22"/>
      <c r="C1599" s="22"/>
      <c r="D1599" s="22"/>
      <c r="E1599" s="22"/>
      <c r="F1599" s="22"/>
      <c r="G1599" s="22"/>
      <c r="H1599" s="22"/>
      <c r="I1599" s="24"/>
      <c r="J1599" s="24"/>
      <c r="K1599" s="24"/>
      <c r="L1599" s="24"/>
      <c r="M1599" s="26"/>
      <c r="N1599" s="26"/>
      <c r="O1599" s="26"/>
      <c r="P1599" s="27"/>
      <c r="Q1599" s="27"/>
      <c r="R1599" s="27"/>
      <c r="S1599" s="22"/>
      <c r="T1599" s="22"/>
      <c r="U1599" s="28"/>
    </row>
    <row r="1600">
      <c r="A1600" s="189"/>
      <c r="B1600" s="22"/>
      <c r="C1600" s="22"/>
      <c r="D1600" s="22"/>
      <c r="E1600" s="22"/>
      <c r="F1600" s="22"/>
      <c r="G1600" s="22"/>
      <c r="H1600" s="22"/>
      <c r="I1600" s="24"/>
      <c r="J1600" s="24"/>
      <c r="K1600" s="24"/>
      <c r="L1600" s="24"/>
      <c r="M1600" s="26"/>
      <c r="N1600" s="26"/>
      <c r="O1600" s="26"/>
      <c r="P1600" s="27"/>
      <c r="Q1600" s="27"/>
      <c r="R1600" s="27"/>
      <c r="S1600" s="22"/>
      <c r="T1600" s="22"/>
      <c r="U1600" s="28"/>
    </row>
    <row r="1601">
      <c r="A1601" s="189"/>
      <c r="B1601" s="22"/>
      <c r="C1601" s="22"/>
      <c r="D1601" s="22"/>
      <c r="E1601" s="22"/>
      <c r="F1601" s="22"/>
      <c r="G1601" s="22"/>
      <c r="H1601" s="22"/>
      <c r="I1601" s="24"/>
      <c r="J1601" s="24"/>
      <c r="K1601" s="24"/>
      <c r="L1601" s="24"/>
      <c r="M1601" s="26"/>
      <c r="N1601" s="26"/>
      <c r="O1601" s="26"/>
      <c r="P1601" s="27"/>
      <c r="Q1601" s="27"/>
      <c r="R1601" s="27"/>
      <c r="S1601" s="22"/>
      <c r="T1601" s="22"/>
      <c r="U1601" s="28"/>
    </row>
    <row r="1602">
      <c r="A1602" s="189"/>
      <c r="B1602" s="22"/>
      <c r="C1602" s="22"/>
      <c r="D1602" s="22"/>
      <c r="E1602" s="22"/>
      <c r="F1602" s="22"/>
      <c r="G1602" s="22"/>
      <c r="H1602" s="22"/>
      <c r="I1602" s="24"/>
      <c r="J1602" s="24"/>
      <c r="K1602" s="24"/>
      <c r="L1602" s="24"/>
      <c r="M1602" s="26"/>
      <c r="N1602" s="26"/>
      <c r="O1602" s="26"/>
      <c r="P1602" s="27"/>
      <c r="Q1602" s="27"/>
      <c r="R1602" s="27"/>
      <c r="S1602" s="22"/>
      <c r="T1602" s="22"/>
      <c r="U1602" s="28"/>
    </row>
    <row r="1603">
      <c r="A1603" s="189"/>
      <c r="B1603" s="22"/>
      <c r="C1603" s="22"/>
      <c r="D1603" s="22"/>
      <c r="E1603" s="22"/>
      <c r="F1603" s="22"/>
      <c r="G1603" s="22"/>
      <c r="H1603" s="22"/>
      <c r="I1603" s="24"/>
      <c r="J1603" s="24"/>
      <c r="K1603" s="24"/>
      <c r="L1603" s="24"/>
      <c r="M1603" s="26"/>
      <c r="N1603" s="26"/>
      <c r="O1603" s="26"/>
      <c r="P1603" s="27"/>
      <c r="Q1603" s="27"/>
      <c r="R1603" s="27"/>
      <c r="S1603" s="22"/>
      <c r="T1603" s="22"/>
      <c r="U1603" s="28"/>
    </row>
    <row r="1604">
      <c r="A1604" s="189"/>
      <c r="B1604" s="22"/>
      <c r="C1604" s="22"/>
      <c r="D1604" s="22"/>
      <c r="E1604" s="22"/>
      <c r="F1604" s="22"/>
      <c r="G1604" s="22"/>
      <c r="H1604" s="22"/>
      <c r="I1604" s="24"/>
      <c r="J1604" s="24"/>
      <c r="K1604" s="24"/>
      <c r="L1604" s="24"/>
      <c r="M1604" s="26"/>
      <c r="N1604" s="26"/>
      <c r="O1604" s="26"/>
      <c r="P1604" s="27"/>
      <c r="Q1604" s="27"/>
      <c r="R1604" s="27"/>
      <c r="S1604" s="22"/>
      <c r="T1604" s="22"/>
      <c r="U1604" s="28"/>
    </row>
    <row r="1605">
      <c r="A1605" s="189"/>
      <c r="B1605" s="22"/>
      <c r="C1605" s="22"/>
      <c r="D1605" s="22"/>
      <c r="E1605" s="22"/>
      <c r="F1605" s="22"/>
      <c r="G1605" s="22"/>
      <c r="H1605" s="22"/>
      <c r="I1605" s="24"/>
      <c r="J1605" s="24"/>
      <c r="K1605" s="24"/>
      <c r="L1605" s="24"/>
      <c r="M1605" s="26"/>
      <c r="N1605" s="26"/>
      <c r="O1605" s="26"/>
      <c r="P1605" s="27"/>
      <c r="Q1605" s="27"/>
      <c r="R1605" s="27"/>
      <c r="S1605" s="22"/>
      <c r="T1605" s="22"/>
      <c r="U1605" s="28"/>
    </row>
    <row r="1606">
      <c r="A1606" s="189"/>
      <c r="B1606" s="22"/>
      <c r="C1606" s="22"/>
      <c r="D1606" s="22"/>
      <c r="E1606" s="22"/>
      <c r="F1606" s="22"/>
      <c r="G1606" s="22"/>
      <c r="H1606" s="22"/>
      <c r="I1606" s="24"/>
      <c r="J1606" s="24"/>
      <c r="K1606" s="24"/>
      <c r="L1606" s="24"/>
      <c r="M1606" s="26"/>
      <c r="N1606" s="26"/>
      <c r="O1606" s="26"/>
      <c r="P1606" s="27"/>
      <c r="Q1606" s="27"/>
      <c r="R1606" s="27"/>
      <c r="S1606" s="22"/>
      <c r="T1606" s="22"/>
      <c r="U1606" s="28"/>
    </row>
    <row r="1607">
      <c r="A1607" s="189"/>
      <c r="B1607" s="22"/>
      <c r="C1607" s="22"/>
      <c r="D1607" s="22"/>
      <c r="E1607" s="22"/>
      <c r="F1607" s="22"/>
      <c r="G1607" s="22"/>
      <c r="H1607" s="22"/>
      <c r="I1607" s="24"/>
      <c r="J1607" s="24"/>
      <c r="K1607" s="24"/>
      <c r="L1607" s="24"/>
      <c r="M1607" s="26"/>
      <c r="N1607" s="26"/>
      <c r="O1607" s="26"/>
      <c r="P1607" s="27"/>
      <c r="Q1607" s="27"/>
      <c r="R1607" s="27"/>
      <c r="S1607" s="22"/>
      <c r="T1607" s="22"/>
      <c r="U1607" s="28"/>
    </row>
    <row r="1608">
      <c r="A1608" s="189"/>
      <c r="B1608" s="22"/>
      <c r="C1608" s="22"/>
      <c r="D1608" s="22"/>
      <c r="E1608" s="22"/>
      <c r="F1608" s="22"/>
      <c r="G1608" s="22"/>
      <c r="H1608" s="22"/>
      <c r="I1608" s="24"/>
      <c r="J1608" s="24"/>
      <c r="K1608" s="24"/>
      <c r="L1608" s="24"/>
      <c r="M1608" s="26"/>
      <c r="N1608" s="26"/>
      <c r="O1608" s="26"/>
      <c r="P1608" s="27"/>
      <c r="Q1608" s="27"/>
      <c r="R1608" s="27"/>
      <c r="S1608" s="22"/>
      <c r="T1608" s="22"/>
      <c r="U1608" s="28"/>
    </row>
    <row r="1609">
      <c r="A1609" s="189"/>
      <c r="B1609" s="22"/>
      <c r="C1609" s="22"/>
      <c r="D1609" s="22"/>
      <c r="E1609" s="22"/>
      <c r="F1609" s="22"/>
      <c r="G1609" s="22"/>
      <c r="H1609" s="22"/>
      <c r="I1609" s="24"/>
      <c r="J1609" s="24"/>
      <c r="K1609" s="24"/>
      <c r="L1609" s="24"/>
      <c r="M1609" s="26"/>
      <c r="N1609" s="26"/>
      <c r="O1609" s="26"/>
      <c r="P1609" s="27"/>
      <c r="Q1609" s="27"/>
      <c r="R1609" s="27"/>
      <c r="S1609" s="22"/>
      <c r="T1609" s="22"/>
      <c r="U1609" s="28"/>
    </row>
    <row r="1610">
      <c r="A1610" s="189"/>
      <c r="B1610" s="22"/>
      <c r="C1610" s="22"/>
      <c r="D1610" s="22"/>
      <c r="E1610" s="22"/>
      <c r="F1610" s="22"/>
      <c r="G1610" s="22"/>
      <c r="H1610" s="22"/>
      <c r="I1610" s="24"/>
      <c r="J1610" s="24"/>
      <c r="K1610" s="24"/>
      <c r="L1610" s="24"/>
      <c r="M1610" s="26"/>
      <c r="N1610" s="26"/>
      <c r="O1610" s="26"/>
      <c r="P1610" s="27"/>
      <c r="Q1610" s="27"/>
      <c r="R1610" s="27"/>
      <c r="S1610" s="22"/>
      <c r="T1610" s="22"/>
      <c r="U1610" s="28"/>
    </row>
    <row r="1611">
      <c r="A1611" s="189"/>
      <c r="B1611" s="22"/>
      <c r="C1611" s="22"/>
      <c r="D1611" s="22"/>
      <c r="E1611" s="22"/>
      <c r="F1611" s="22"/>
      <c r="G1611" s="22"/>
      <c r="H1611" s="22"/>
      <c r="I1611" s="24"/>
      <c r="J1611" s="24"/>
      <c r="K1611" s="24"/>
      <c r="L1611" s="24"/>
      <c r="M1611" s="26"/>
      <c r="N1611" s="26"/>
      <c r="O1611" s="26"/>
      <c r="P1611" s="27"/>
      <c r="Q1611" s="27"/>
      <c r="R1611" s="27"/>
      <c r="S1611" s="22"/>
      <c r="T1611" s="22"/>
      <c r="U1611" s="28"/>
    </row>
    <row r="1612">
      <c r="A1612" s="189"/>
      <c r="B1612" s="22"/>
      <c r="C1612" s="22"/>
      <c r="D1612" s="22"/>
      <c r="E1612" s="22"/>
      <c r="F1612" s="22"/>
      <c r="G1612" s="22"/>
      <c r="H1612" s="22"/>
      <c r="I1612" s="24"/>
      <c r="J1612" s="24"/>
      <c r="K1612" s="24"/>
      <c r="L1612" s="24"/>
      <c r="M1612" s="26"/>
      <c r="N1612" s="26"/>
      <c r="O1612" s="26"/>
      <c r="P1612" s="27"/>
      <c r="Q1612" s="27"/>
      <c r="R1612" s="27"/>
      <c r="S1612" s="22"/>
      <c r="T1612" s="22"/>
      <c r="U1612" s="28"/>
    </row>
    <row r="1613">
      <c r="A1613" s="189"/>
      <c r="B1613" s="22"/>
      <c r="C1613" s="22"/>
      <c r="D1613" s="22"/>
      <c r="E1613" s="22"/>
      <c r="F1613" s="22"/>
      <c r="G1613" s="22"/>
      <c r="H1613" s="22"/>
      <c r="I1613" s="24"/>
      <c r="J1613" s="24"/>
      <c r="K1613" s="24"/>
      <c r="L1613" s="24"/>
      <c r="M1613" s="26"/>
      <c r="N1613" s="26"/>
      <c r="O1613" s="26"/>
      <c r="P1613" s="27"/>
      <c r="Q1613" s="27"/>
      <c r="R1613" s="27"/>
      <c r="S1613" s="22"/>
      <c r="T1613" s="22"/>
      <c r="U1613" s="28"/>
    </row>
    <row r="1614">
      <c r="A1614" s="189"/>
      <c r="B1614" s="22"/>
      <c r="C1614" s="22"/>
      <c r="D1614" s="22"/>
      <c r="E1614" s="22"/>
      <c r="F1614" s="22"/>
      <c r="G1614" s="22"/>
      <c r="H1614" s="22"/>
      <c r="I1614" s="24"/>
      <c r="J1614" s="24"/>
      <c r="K1614" s="24"/>
      <c r="L1614" s="24"/>
      <c r="M1614" s="26"/>
      <c r="N1614" s="26"/>
      <c r="O1614" s="26"/>
      <c r="P1614" s="27"/>
      <c r="Q1614" s="27"/>
      <c r="R1614" s="27"/>
      <c r="S1614" s="22"/>
      <c r="T1614" s="22"/>
      <c r="U1614" s="28"/>
    </row>
    <row r="1615">
      <c r="A1615" s="189"/>
      <c r="B1615" s="22"/>
      <c r="C1615" s="22"/>
      <c r="D1615" s="22"/>
      <c r="E1615" s="22"/>
      <c r="F1615" s="22"/>
      <c r="G1615" s="22"/>
      <c r="H1615" s="22"/>
      <c r="I1615" s="24"/>
      <c r="J1615" s="24"/>
      <c r="K1615" s="24"/>
      <c r="L1615" s="24"/>
      <c r="M1615" s="26"/>
      <c r="N1615" s="26"/>
      <c r="O1615" s="26"/>
      <c r="P1615" s="27"/>
      <c r="Q1615" s="27"/>
      <c r="R1615" s="27"/>
      <c r="S1615" s="22"/>
      <c r="T1615" s="22"/>
      <c r="U1615" s="28"/>
    </row>
    <row r="1616">
      <c r="A1616" s="189"/>
      <c r="B1616" s="22"/>
      <c r="C1616" s="22"/>
      <c r="D1616" s="22"/>
      <c r="E1616" s="22"/>
      <c r="F1616" s="22"/>
      <c r="G1616" s="22"/>
      <c r="H1616" s="22"/>
      <c r="I1616" s="24"/>
      <c r="J1616" s="24"/>
      <c r="K1616" s="24"/>
      <c r="L1616" s="24"/>
      <c r="M1616" s="26"/>
      <c r="N1616" s="26"/>
      <c r="O1616" s="26"/>
      <c r="P1616" s="27"/>
      <c r="Q1616" s="27"/>
      <c r="R1616" s="27"/>
      <c r="S1616" s="22"/>
      <c r="T1616" s="22"/>
      <c r="U1616" s="28"/>
    </row>
    <row r="1617">
      <c r="A1617" s="189"/>
      <c r="B1617" s="22"/>
      <c r="C1617" s="22"/>
      <c r="D1617" s="22"/>
      <c r="E1617" s="22"/>
      <c r="F1617" s="22"/>
      <c r="G1617" s="22"/>
      <c r="H1617" s="22"/>
      <c r="I1617" s="24"/>
      <c r="J1617" s="24"/>
      <c r="K1617" s="24"/>
      <c r="L1617" s="24"/>
      <c r="M1617" s="26"/>
      <c r="N1617" s="26"/>
      <c r="O1617" s="26"/>
      <c r="P1617" s="27"/>
      <c r="Q1617" s="27"/>
      <c r="R1617" s="27"/>
      <c r="S1617" s="22"/>
      <c r="T1617" s="22"/>
      <c r="U1617" s="28"/>
    </row>
    <row r="1618">
      <c r="A1618" s="189"/>
      <c r="B1618" s="22"/>
      <c r="C1618" s="22"/>
      <c r="D1618" s="22"/>
      <c r="E1618" s="22"/>
      <c r="F1618" s="22"/>
      <c r="G1618" s="22"/>
      <c r="H1618" s="22"/>
      <c r="I1618" s="24"/>
      <c r="J1618" s="24"/>
      <c r="K1618" s="24"/>
      <c r="L1618" s="24"/>
      <c r="M1618" s="26"/>
      <c r="N1618" s="26"/>
      <c r="O1618" s="26"/>
      <c r="P1618" s="27"/>
      <c r="Q1618" s="27"/>
      <c r="R1618" s="27"/>
      <c r="S1618" s="22"/>
      <c r="T1618" s="22"/>
      <c r="U1618" s="28"/>
    </row>
    <row r="1619">
      <c r="A1619" s="189"/>
      <c r="B1619" s="22"/>
      <c r="C1619" s="22"/>
      <c r="D1619" s="22"/>
      <c r="E1619" s="22"/>
      <c r="F1619" s="22"/>
      <c r="G1619" s="22"/>
      <c r="H1619" s="22"/>
      <c r="I1619" s="24"/>
      <c r="J1619" s="24"/>
      <c r="K1619" s="24"/>
      <c r="L1619" s="24"/>
      <c r="M1619" s="26"/>
      <c r="N1619" s="26"/>
      <c r="O1619" s="26"/>
      <c r="P1619" s="27"/>
      <c r="Q1619" s="27"/>
      <c r="R1619" s="27"/>
      <c r="S1619" s="22"/>
      <c r="T1619" s="22"/>
      <c r="U1619" s="28"/>
    </row>
    <row r="1620">
      <c r="A1620" s="189"/>
      <c r="B1620" s="22"/>
      <c r="C1620" s="22"/>
      <c r="D1620" s="22"/>
      <c r="E1620" s="22"/>
      <c r="F1620" s="22"/>
      <c r="G1620" s="22"/>
      <c r="H1620" s="22"/>
      <c r="I1620" s="24"/>
      <c r="J1620" s="24"/>
      <c r="K1620" s="24"/>
      <c r="L1620" s="24"/>
      <c r="M1620" s="26"/>
      <c r="N1620" s="26"/>
      <c r="O1620" s="26"/>
      <c r="P1620" s="27"/>
      <c r="Q1620" s="27"/>
      <c r="R1620" s="27"/>
      <c r="S1620" s="22"/>
      <c r="T1620" s="22"/>
      <c r="U1620" s="28"/>
    </row>
    <row r="1621">
      <c r="A1621" s="189"/>
      <c r="B1621" s="22"/>
      <c r="C1621" s="22"/>
      <c r="D1621" s="22"/>
      <c r="E1621" s="22"/>
      <c r="F1621" s="22"/>
      <c r="G1621" s="22"/>
      <c r="H1621" s="22"/>
      <c r="I1621" s="24"/>
      <c r="J1621" s="24"/>
      <c r="K1621" s="24"/>
      <c r="L1621" s="24"/>
      <c r="M1621" s="26"/>
      <c r="N1621" s="26"/>
      <c r="O1621" s="26"/>
      <c r="P1621" s="27"/>
      <c r="Q1621" s="27"/>
      <c r="R1621" s="27"/>
      <c r="S1621" s="22"/>
      <c r="T1621" s="22"/>
      <c r="U1621" s="28"/>
    </row>
    <row r="1622">
      <c r="A1622" s="189"/>
      <c r="B1622" s="22"/>
      <c r="C1622" s="22"/>
      <c r="D1622" s="22"/>
      <c r="E1622" s="22"/>
      <c r="F1622" s="22"/>
      <c r="G1622" s="22"/>
      <c r="H1622" s="22"/>
      <c r="I1622" s="24"/>
      <c r="J1622" s="24"/>
      <c r="K1622" s="24"/>
      <c r="L1622" s="24"/>
      <c r="M1622" s="26"/>
      <c r="N1622" s="26"/>
      <c r="O1622" s="26"/>
      <c r="P1622" s="27"/>
      <c r="Q1622" s="27"/>
      <c r="R1622" s="27"/>
      <c r="S1622" s="22"/>
      <c r="T1622" s="22"/>
      <c r="U1622" s="28"/>
    </row>
    <row r="1623">
      <c r="A1623" s="189"/>
      <c r="B1623" s="22"/>
      <c r="C1623" s="22"/>
      <c r="D1623" s="22"/>
      <c r="E1623" s="22"/>
      <c r="F1623" s="22"/>
      <c r="G1623" s="22"/>
      <c r="H1623" s="22"/>
      <c r="I1623" s="24"/>
      <c r="J1623" s="24"/>
      <c r="K1623" s="24"/>
      <c r="L1623" s="24"/>
      <c r="M1623" s="26"/>
      <c r="N1623" s="26"/>
      <c r="O1623" s="26"/>
      <c r="P1623" s="27"/>
      <c r="Q1623" s="27"/>
      <c r="R1623" s="27"/>
      <c r="S1623" s="22"/>
      <c r="T1623" s="22"/>
      <c r="U1623" s="28"/>
    </row>
    <row r="1624">
      <c r="A1624" s="189"/>
      <c r="B1624" s="22"/>
      <c r="C1624" s="22"/>
      <c r="D1624" s="22"/>
      <c r="E1624" s="22"/>
      <c r="F1624" s="22"/>
      <c r="G1624" s="22"/>
      <c r="H1624" s="22"/>
      <c r="I1624" s="24"/>
      <c r="J1624" s="24"/>
      <c r="K1624" s="24"/>
      <c r="L1624" s="24"/>
      <c r="M1624" s="26"/>
      <c r="N1624" s="26"/>
      <c r="O1624" s="26"/>
      <c r="P1624" s="27"/>
      <c r="Q1624" s="27"/>
      <c r="R1624" s="27"/>
      <c r="S1624" s="22"/>
      <c r="T1624" s="22"/>
      <c r="U1624" s="28"/>
    </row>
    <row r="1625">
      <c r="A1625" s="189"/>
      <c r="B1625" s="22"/>
      <c r="C1625" s="22"/>
      <c r="D1625" s="22"/>
      <c r="E1625" s="22"/>
      <c r="F1625" s="22"/>
      <c r="G1625" s="22"/>
      <c r="H1625" s="22"/>
      <c r="I1625" s="24"/>
      <c r="J1625" s="24"/>
      <c r="K1625" s="24"/>
      <c r="L1625" s="24"/>
      <c r="M1625" s="26"/>
      <c r="N1625" s="26"/>
      <c r="O1625" s="26"/>
      <c r="P1625" s="27"/>
      <c r="Q1625" s="27"/>
      <c r="R1625" s="27"/>
      <c r="S1625" s="22"/>
      <c r="T1625" s="22"/>
      <c r="U1625" s="28"/>
    </row>
    <row r="1626">
      <c r="A1626" s="189"/>
      <c r="B1626" s="22"/>
      <c r="C1626" s="22"/>
      <c r="D1626" s="22"/>
      <c r="E1626" s="22"/>
      <c r="F1626" s="22"/>
      <c r="G1626" s="22"/>
      <c r="H1626" s="22"/>
      <c r="I1626" s="24"/>
      <c r="J1626" s="24"/>
      <c r="K1626" s="24"/>
      <c r="L1626" s="24"/>
      <c r="M1626" s="26"/>
      <c r="N1626" s="26"/>
      <c r="O1626" s="26"/>
      <c r="P1626" s="27"/>
      <c r="Q1626" s="27"/>
      <c r="R1626" s="27"/>
      <c r="S1626" s="22"/>
      <c r="T1626" s="22"/>
      <c r="U1626" s="28"/>
    </row>
    <row r="1627">
      <c r="A1627" s="189"/>
      <c r="B1627" s="22"/>
      <c r="C1627" s="22"/>
      <c r="D1627" s="22"/>
      <c r="E1627" s="22"/>
      <c r="F1627" s="22"/>
      <c r="G1627" s="22"/>
      <c r="H1627" s="22"/>
      <c r="I1627" s="24"/>
      <c r="J1627" s="24"/>
      <c r="K1627" s="24"/>
      <c r="L1627" s="24"/>
      <c r="M1627" s="26"/>
      <c r="N1627" s="26"/>
      <c r="O1627" s="26"/>
      <c r="P1627" s="27"/>
      <c r="Q1627" s="27"/>
      <c r="R1627" s="27"/>
      <c r="S1627" s="22"/>
      <c r="T1627" s="22"/>
      <c r="U1627" s="28"/>
    </row>
    <row r="1628">
      <c r="A1628" s="189"/>
      <c r="B1628" s="22"/>
      <c r="C1628" s="22"/>
      <c r="D1628" s="22"/>
      <c r="E1628" s="22"/>
      <c r="F1628" s="22"/>
      <c r="G1628" s="22"/>
      <c r="H1628" s="22"/>
      <c r="I1628" s="24"/>
      <c r="J1628" s="24"/>
      <c r="K1628" s="24"/>
      <c r="L1628" s="24"/>
      <c r="M1628" s="26"/>
      <c r="N1628" s="26"/>
      <c r="O1628" s="26"/>
      <c r="P1628" s="27"/>
      <c r="Q1628" s="27"/>
      <c r="R1628" s="27"/>
      <c r="S1628" s="22"/>
      <c r="T1628" s="22"/>
      <c r="U1628" s="28"/>
    </row>
    <row r="1629">
      <c r="A1629" s="189"/>
      <c r="B1629" s="22"/>
      <c r="C1629" s="22"/>
      <c r="D1629" s="22"/>
      <c r="E1629" s="22"/>
      <c r="F1629" s="22"/>
      <c r="G1629" s="22"/>
      <c r="H1629" s="22"/>
      <c r="I1629" s="24"/>
      <c r="J1629" s="24"/>
      <c r="K1629" s="24"/>
      <c r="L1629" s="24"/>
      <c r="M1629" s="26"/>
      <c r="N1629" s="26"/>
      <c r="O1629" s="26"/>
      <c r="P1629" s="27"/>
      <c r="Q1629" s="27"/>
      <c r="R1629" s="27"/>
      <c r="S1629" s="22"/>
      <c r="T1629" s="22"/>
      <c r="U1629" s="28"/>
    </row>
    <row r="1630">
      <c r="A1630" s="189"/>
      <c r="B1630" s="22"/>
      <c r="C1630" s="22"/>
      <c r="D1630" s="22"/>
      <c r="E1630" s="22"/>
      <c r="F1630" s="22"/>
      <c r="G1630" s="22"/>
      <c r="H1630" s="22"/>
      <c r="I1630" s="24"/>
      <c r="J1630" s="24"/>
      <c r="K1630" s="24"/>
      <c r="L1630" s="24"/>
      <c r="M1630" s="26"/>
      <c r="N1630" s="26"/>
      <c r="O1630" s="26"/>
      <c r="P1630" s="27"/>
      <c r="Q1630" s="27"/>
      <c r="R1630" s="27"/>
      <c r="S1630" s="22"/>
      <c r="T1630" s="22"/>
      <c r="U1630" s="28"/>
    </row>
    <row r="1631">
      <c r="A1631" s="189"/>
      <c r="B1631" s="22"/>
      <c r="C1631" s="22"/>
      <c r="D1631" s="22"/>
      <c r="E1631" s="22"/>
      <c r="F1631" s="22"/>
      <c r="G1631" s="22"/>
      <c r="H1631" s="22"/>
      <c r="I1631" s="24"/>
      <c r="J1631" s="24"/>
      <c r="K1631" s="24"/>
      <c r="L1631" s="24"/>
      <c r="M1631" s="26"/>
      <c r="N1631" s="26"/>
      <c r="O1631" s="26"/>
      <c r="P1631" s="27"/>
      <c r="Q1631" s="27"/>
      <c r="R1631" s="27"/>
      <c r="S1631" s="22"/>
      <c r="T1631" s="22"/>
      <c r="U1631" s="28"/>
    </row>
    <row r="1632">
      <c r="A1632" s="189"/>
      <c r="B1632" s="22"/>
      <c r="C1632" s="22"/>
      <c r="D1632" s="22"/>
      <c r="E1632" s="22"/>
      <c r="F1632" s="22"/>
      <c r="G1632" s="22"/>
      <c r="H1632" s="22"/>
      <c r="I1632" s="24"/>
      <c r="J1632" s="24"/>
      <c r="K1632" s="24"/>
      <c r="L1632" s="24"/>
      <c r="M1632" s="26"/>
      <c r="N1632" s="26"/>
      <c r="O1632" s="26"/>
      <c r="P1632" s="27"/>
      <c r="Q1632" s="27"/>
      <c r="R1632" s="27"/>
      <c r="S1632" s="22"/>
      <c r="T1632" s="22"/>
      <c r="U1632" s="28"/>
    </row>
    <row r="1633">
      <c r="A1633" s="189"/>
      <c r="B1633" s="22"/>
      <c r="C1633" s="22"/>
      <c r="D1633" s="22"/>
      <c r="E1633" s="22"/>
      <c r="F1633" s="22"/>
      <c r="G1633" s="22"/>
      <c r="H1633" s="22"/>
      <c r="I1633" s="24"/>
      <c r="J1633" s="24"/>
      <c r="K1633" s="24"/>
      <c r="L1633" s="24"/>
      <c r="M1633" s="26"/>
      <c r="N1633" s="26"/>
      <c r="O1633" s="26"/>
      <c r="P1633" s="27"/>
      <c r="Q1633" s="27"/>
      <c r="R1633" s="27"/>
      <c r="S1633" s="22"/>
      <c r="T1633" s="22"/>
      <c r="U1633" s="28"/>
    </row>
    <row r="1634">
      <c r="A1634" s="189"/>
      <c r="B1634" s="22"/>
      <c r="C1634" s="22"/>
      <c r="D1634" s="22"/>
      <c r="E1634" s="22"/>
      <c r="F1634" s="22"/>
      <c r="G1634" s="22"/>
      <c r="H1634" s="22"/>
      <c r="I1634" s="24"/>
      <c r="J1634" s="24"/>
      <c r="K1634" s="24"/>
      <c r="L1634" s="24"/>
      <c r="M1634" s="26"/>
      <c r="N1634" s="26"/>
      <c r="O1634" s="26"/>
      <c r="P1634" s="27"/>
      <c r="Q1634" s="27"/>
      <c r="R1634" s="27"/>
      <c r="S1634" s="22"/>
      <c r="T1634" s="22"/>
      <c r="U1634" s="28"/>
    </row>
    <row r="1635">
      <c r="A1635" s="189"/>
      <c r="B1635" s="22"/>
      <c r="C1635" s="22"/>
      <c r="D1635" s="22"/>
      <c r="E1635" s="22"/>
      <c r="F1635" s="22"/>
      <c r="G1635" s="22"/>
      <c r="H1635" s="22"/>
      <c r="I1635" s="24"/>
      <c r="J1635" s="24"/>
      <c r="K1635" s="24"/>
      <c r="L1635" s="24"/>
      <c r="M1635" s="26"/>
      <c r="N1635" s="26"/>
      <c r="O1635" s="26"/>
      <c r="P1635" s="27"/>
      <c r="Q1635" s="27"/>
      <c r="R1635" s="27"/>
      <c r="S1635" s="22"/>
      <c r="T1635" s="22"/>
      <c r="U1635" s="28"/>
    </row>
    <row r="1636">
      <c r="A1636" s="189"/>
      <c r="B1636" s="22"/>
      <c r="C1636" s="22"/>
      <c r="D1636" s="22"/>
      <c r="E1636" s="22"/>
      <c r="F1636" s="22"/>
      <c r="G1636" s="22"/>
      <c r="H1636" s="22"/>
      <c r="I1636" s="24"/>
      <c r="J1636" s="24"/>
      <c r="K1636" s="24"/>
      <c r="L1636" s="24"/>
      <c r="M1636" s="26"/>
      <c r="N1636" s="26"/>
      <c r="O1636" s="26"/>
      <c r="P1636" s="27"/>
      <c r="Q1636" s="27"/>
      <c r="R1636" s="27"/>
      <c r="S1636" s="22"/>
      <c r="T1636" s="22"/>
      <c r="U1636" s="28"/>
    </row>
    <row r="1637">
      <c r="A1637" s="189"/>
      <c r="B1637" s="22"/>
      <c r="C1637" s="22"/>
      <c r="D1637" s="22"/>
      <c r="E1637" s="22"/>
      <c r="F1637" s="22"/>
      <c r="G1637" s="22"/>
      <c r="H1637" s="22"/>
      <c r="I1637" s="24"/>
      <c r="J1637" s="24"/>
      <c r="K1637" s="24"/>
      <c r="L1637" s="24"/>
      <c r="M1637" s="26"/>
      <c r="N1637" s="26"/>
      <c r="O1637" s="26"/>
      <c r="P1637" s="27"/>
      <c r="Q1637" s="27"/>
      <c r="R1637" s="27"/>
      <c r="S1637" s="22"/>
      <c r="T1637" s="22"/>
      <c r="U1637" s="28"/>
    </row>
    <row r="1638">
      <c r="A1638" s="189"/>
      <c r="B1638" s="22"/>
      <c r="C1638" s="22"/>
      <c r="D1638" s="22"/>
      <c r="E1638" s="22"/>
      <c r="F1638" s="22"/>
      <c r="G1638" s="22"/>
      <c r="H1638" s="22"/>
      <c r="I1638" s="24"/>
      <c r="J1638" s="24"/>
      <c r="K1638" s="24"/>
      <c r="L1638" s="24"/>
      <c r="M1638" s="26"/>
      <c r="N1638" s="26"/>
      <c r="O1638" s="26"/>
      <c r="P1638" s="27"/>
      <c r="Q1638" s="27"/>
      <c r="R1638" s="27"/>
      <c r="S1638" s="22"/>
      <c r="T1638" s="22"/>
      <c r="U1638" s="28"/>
    </row>
    <row r="1639">
      <c r="A1639" s="189"/>
      <c r="B1639" s="22"/>
      <c r="C1639" s="22"/>
      <c r="D1639" s="22"/>
      <c r="E1639" s="22"/>
      <c r="F1639" s="22"/>
      <c r="G1639" s="22"/>
      <c r="H1639" s="22"/>
      <c r="I1639" s="24"/>
      <c r="J1639" s="24"/>
      <c r="K1639" s="24"/>
      <c r="L1639" s="24"/>
      <c r="M1639" s="26"/>
      <c r="N1639" s="26"/>
      <c r="O1639" s="26"/>
      <c r="P1639" s="27"/>
      <c r="Q1639" s="27"/>
      <c r="R1639" s="27"/>
      <c r="S1639" s="22"/>
      <c r="T1639" s="22"/>
      <c r="U1639" s="28"/>
    </row>
    <row r="1640">
      <c r="A1640" s="189"/>
      <c r="B1640" s="22"/>
      <c r="C1640" s="22"/>
      <c r="D1640" s="22"/>
      <c r="E1640" s="22"/>
      <c r="F1640" s="22"/>
      <c r="G1640" s="22"/>
      <c r="H1640" s="22"/>
      <c r="I1640" s="24"/>
      <c r="J1640" s="24"/>
      <c r="K1640" s="24"/>
      <c r="L1640" s="24"/>
      <c r="M1640" s="26"/>
      <c r="N1640" s="26"/>
      <c r="O1640" s="26"/>
      <c r="P1640" s="27"/>
      <c r="Q1640" s="27"/>
      <c r="R1640" s="27"/>
      <c r="S1640" s="22"/>
      <c r="T1640" s="22"/>
      <c r="U1640" s="28"/>
    </row>
    <row r="1641">
      <c r="A1641" s="189"/>
      <c r="B1641" s="22"/>
      <c r="C1641" s="22"/>
      <c r="D1641" s="22"/>
      <c r="E1641" s="22"/>
      <c r="F1641" s="22"/>
      <c r="G1641" s="22"/>
      <c r="H1641" s="22"/>
      <c r="I1641" s="24"/>
      <c r="J1641" s="24"/>
      <c r="K1641" s="24"/>
      <c r="L1641" s="24"/>
      <c r="M1641" s="26"/>
      <c r="N1641" s="26"/>
      <c r="O1641" s="26"/>
      <c r="P1641" s="27"/>
      <c r="Q1641" s="27"/>
      <c r="R1641" s="27"/>
      <c r="S1641" s="22"/>
      <c r="T1641" s="22"/>
      <c r="U1641" s="28"/>
    </row>
    <row r="1642">
      <c r="A1642" s="189"/>
      <c r="B1642" s="22"/>
      <c r="C1642" s="22"/>
      <c r="D1642" s="22"/>
      <c r="E1642" s="22"/>
      <c r="F1642" s="22"/>
      <c r="G1642" s="22"/>
      <c r="H1642" s="22"/>
      <c r="I1642" s="24"/>
      <c r="J1642" s="24"/>
      <c r="K1642" s="24"/>
      <c r="L1642" s="24"/>
      <c r="M1642" s="26"/>
      <c r="N1642" s="26"/>
      <c r="O1642" s="26"/>
      <c r="P1642" s="27"/>
      <c r="Q1642" s="27"/>
      <c r="R1642" s="27"/>
      <c r="S1642" s="22"/>
      <c r="T1642" s="22"/>
      <c r="U1642" s="28"/>
    </row>
    <row r="1643">
      <c r="A1643" s="189"/>
      <c r="B1643" s="22"/>
      <c r="C1643" s="22"/>
      <c r="D1643" s="22"/>
      <c r="E1643" s="22"/>
      <c r="F1643" s="22"/>
      <c r="G1643" s="22"/>
      <c r="H1643" s="22"/>
      <c r="I1643" s="24"/>
      <c r="J1643" s="24"/>
      <c r="K1643" s="24"/>
      <c r="L1643" s="24"/>
      <c r="M1643" s="26"/>
      <c r="N1643" s="26"/>
      <c r="O1643" s="26"/>
      <c r="P1643" s="27"/>
      <c r="Q1643" s="27"/>
      <c r="R1643" s="27"/>
      <c r="S1643" s="22"/>
      <c r="T1643" s="22"/>
      <c r="U1643" s="28"/>
    </row>
    <row r="1644">
      <c r="A1644" s="189"/>
      <c r="B1644" s="22"/>
      <c r="C1644" s="22"/>
      <c r="D1644" s="22"/>
      <c r="E1644" s="22"/>
      <c r="F1644" s="22"/>
      <c r="G1644" s="22"/>
      <c r="H1644" s="22"/>
      <c r="I1644" s="24"/>
      <c r="J1644" s="24"/>
      <c r="K1644" s="24"/>
      <c r="L1644" s="24"/>
      <c r="M1644" s="26"/>
      <c r="N1644" s="26"/>
      <c r="O1644" s="26"/>
      <c r="P1644" s="27"/>
      <c r="Q1644" s="27"/>
      <c r="R1644" s="27"/>
      <c r="S1644" s="22"/>
      <c r="T1644" s="22"/>
      <c r="U1644" s="28"/>
    </row>
    <row r="1645">
      <c r="A1645" s="189"/>
      <c r="B1645" s="22"/>
      <c r="C1645" s="22"/>
      <c r="D1645" s="22"/>
      <c r="E1645" s="22"/>
      <c r="F1645" s="22"/>
      <c r="G1645" s="22"/>
      <c r="H1645" s="22"/>
      <c r="I1645" s="24"/>
      <c r="J1645" s="24"/>
      <c r="K1645" s="24"/>
      <c r="L1645" s="24"/>
      <c r="M1645" s="26"/>
      <c r="N1645" s="26"/>
      <c r="O1645" s="26"/>
      <c r="P1645" s="27"/>
      <c r="Q1645" s="27"/>
      <c r="R1645" s="27"/>
      <c r="S1645" s="22"/>
      <c r="T1645" s="22"/>
      <c r="U1645" s="28"/>
    </row>
    <row r="1646">
      <c r="A1646" s="189"/>
      <c r="B1646" s="22"/>
      <c r="C1646" s="22"/>
      <c r="D1646" s="22"/>
      <c r="E1646" s="22"/>
      <c r="F1646" s="22"/>
      <c r="G1646" s="22"/>
      <c r="H1646" s="22"/>
      <c r="I1646" s="24"/>
      <c r="J1646" s="24"/>
      <c r="K1646" s="24"/>
      <c r="L1646" s="24"/>
      <c r="M1646" s="26"/>
      <c r="N1646" s="26"/>
      <c r="O1646" s="26"/>
      <c r="P1646" s="27"/>
      <c r="Q1646" s="27"/>
      <c r="R1646" s="27"/>
      <c r="S1646" s="22"/>
      <c r="T1646" s="22"/>
      <c r="U1646" s="28"/>
    </row>
    <row r="1647">
      <c r="A1647" s="189"/>
      <c r="B1647" s="22"/>
      <c r="C1647" s="22"/>
      <c r="D1647" s="22"/>
      <c r="E1647" s="22"/>
      <c r="F1647" s="22"/>
      <c r="G1647" s="22"/>
      <c r="H1647" s="22"/>
      <c r="I1647" s="24"/>
      <c r="J1647" s="24"/>
      <c r="K1647" s="24"/>
      <c r="L1647" s="24"/>
      <c r="M1647" s="26"/>
      <c r="N1647" s="26"/>
      <c r="O1647" s="26"/>
      <c r="P1647" s="27"/>
      <c r="Q1647" s="27"/>
      <c r="R1647" s="27"/>
      <c r="S1647" s="22"/>
      <c r="T1647" s="22"/>
      <c r="U1647" s="28"/>
    </row>
    <row r="1648">
      <c r="A1648" s="189"/>
      <c r="B1648" s="22"/>
      <c r="C1648" s="22"/>
      <c r="D1648" s="22"/>
      <c r="E1648" s="22"/>
      <c r="F1648" s="22"/>
      <c r="G1648" s="22"/>
      <c r="H1648" s="22"/>
      <c r="I1648" s="24"/>
      <c r="J1648" s="24"/>
      <c r="K1648" s="24"/>
      <c r="L1648" s="24"/>
      <c r="M1648" s="26"/>
      <c r="N1648" s="26"/>
      <c r="O1648" s="26"/>
      <c r="P1648" s="27"/>
      <c r="Q1648" s="27"/>
      <c r="R1648" s="27"/>
      <c r="S1648" s="22"/>
      <c r="T1648" s="22"/>
      <c r="U1648" s="28"/>
    </row>
    <row r="1649">
      <c r="A1649" s="189"/>
      <c r="B1649" s="22"/>
      <c r="C1649" s="22"/>
      <c r="D1649" s="22"/>
      <c r="E1649" s="22"/>
      <c r="F1649" s="22"/>
      <c r="G1649" s="22"/>
      <c r="H1649" s="22"/>
      <c r="I1649" s="24"/>
      <c r="J1649" s="24"/>
      <c r="K1649" s="24"/>
      <c r="L1649" s="24"/>
      <c r="M1649" s="26"/>
      <c r="N1649" s="26"/>
      <c r="O1649" s="26"/>
      <c r="P1649" s="27"/>
      <c r="Q1649" s="27"/>
      <c r="R1649" s="27"/>
      <c r="S1649" s="22"/>
      <c r="T1649" s="22"/>
      <c r="U1649" s="28"/>
    </row>
    <row r="1650">
      <c r="A1650" s="189"/>
      <c r="B1650" s="22"/>
      <c r="C1650" s="22"/>
      <c r="D1650" s="22"/>
      <c r="E1650" s="22"/>
      <c r="F1650" s="22"/>
      <c r="G1650" s="22"/>
      <c r="H1650" s="22"/>
      <c r="I1650" s="24"/>
      <c r="J1650" s="24"/>
      <c r="K1650" s="24"/>
      <c r="L1650" s="24"/>
      <c r="M1650" s="26"/>
      <c r="N1650" s="26"/>
      <c r="O1650" s="26"/>
      <c r="P1650" s="27"/>
      <c r="Q1650" s="27"/>
      <c r="R1650" s="27"/>
      <c r="S1650" s="22"/>
      <c r="T1650" s="22"/>
      <c r="U1650" s="28"/>
    </row>
    <row r="1651">
      <c r="A1651" s="189"/>
      <c r="B1651" s="22"/>
      <c r="C1651" s="22"/>
      <c r="D1651" s="22"/>
      <c r="E1651" s="22"/>
      <c r="F1651" s="22"/>
      <c r="G1651" s="22"/>
      <c r="H1651" s="22"/>
      <c r="I1651" s="24"/>
      <c r="J1651" s="24"/>
      <c r="K1651" s="24"/>
      <c r="L1651" s="24"/>
      <c r="M1651" s="26"/>
      <c r="N1651" s="26"/>
      <c r="O1651" s="26"/>
      <c r="P1651" s="27"/>
      <c r="Q1651" s="27"/>
      <c r="R1651" s="27"/>
      <c r="S1651" s="22"/>
      <c r="T1651" s="22"/>
      <c r="U1651" s="28"/>
    </row>
    <row r="1652">
      <c r="A1652" s="189"/>
      <c r="B1652" s="22"/>
      <c r="C1652" s="22"/>
      <c r="D1652" s="22"/>
      <c r="E1652" s="22"/>
      <c r="F1652" s="22"/>
      <c r="G1652" s="22"/>
      <c r="H1652" s="22"/>
      <c r="I1652" s="24"/>
      <c r="J1652" s="24"/>
      <c r="K1652" s="24"/>
      <c r="L1652" s="24"/>
      <c r="M1652" s="26"/>
      <c r="N1652" s="26"/>
      <c r="O1652" s="26"/>
      <c r="P1652" s="27"/>
      <c r="Q1652" s="27"/>
      <c r="R1652" s="27"/>
      <c r="S1652" s="22"/>
      <c r="T1652" s="22"/>
      <c r="U1652" s="28"/>
    </row>
    <row r="1653">
      <c r="A1653" s="189"/>
      <c r="B1653" s="22"/>
      <c r="C1653" s="22"/>
      <c r="D1653" s="22"/>
      <c r="E1653" s="22"/>
      <c r="F1653" s="22"/>
      <c r="G1653" s="22"/>
      <c r="H1653" s="22"/>
      <c r="I1653" s="24"/>
      <c r="J1653" s="24"/>
      <c r="K1653" s="24"/>
      <c r="L1653" s="24"/>
      <c r="M1653" s="26"/>
      <c r="N1653" s="26"/>
      <c r="O1653" s="26"/>
      <c r="P1653" s="27"/>
      <c r="Q1653" s="27"/>
      <c r="R1653" s="27"/>
      <c r="S1653" s="22"/>
      <c r="T1653" s="22"/>
      <c r="U1653" s="28"/>
    </row>
    <row r="1654">
      <c r="A1654" s="189"/>
      <c r="B1654" s="22"/>
      <c r="C1654" s="22"/>
      <c r="D1654" s="22"/>
      <c r="E1654" s="22"/>
      <c r="F1654" s="22"/>
      <c r="G1654" s="22"/>
      <c r="H1654" s="22"/>
      <c r="I1654" s="24"/>
      <c r="J1654" s="24"/>
      <c r="K1654" s="24"/>
      <c r="L1654" s="24"/>
      <c r="M1654" s="26"/>
      <c r="N1654" s="26"/>
      <c r="O1654" s="26"/>
      <c r="P1654" s="27"/>
      <c r="Q1654" s="27"/>
      <c r="R1654" s="27"/>
      <c r="S1654" s="22"/>
      <c r="T1654" s="22"/>
      <c r="U1654" s="28"/>
    </row>
    <row r="1655">
      <c r="A1655" s="189"/>
      <c r="B1655" s="22"/>
      <c r="C1655" s="22"/>
      <c r="D1655" s="22"/>
      <c r="E1655" s="22"/>
      <c r="F1655" s="22"/>
      <c r="G1655" s="22"/>
      <c r="H1655" s="22"/>
      <c r="I1655" s="24"/>
      <c r="J1655" s="24"/>
      <c r="K1655" s="24"/>
      <c r="L1655" s="24"/>
      <c r="M1655" s="26"/>
      <c r="N1655" s="26"/>
      <c r="O1655" s="26"/>
      <c r="P1655" s="27"/>
      <c r="Q1655" s="27"/>
      <c r="R1655" s="27"/>
      <c r="S1655" s="22"/>
      <c r="T1655" s="22"/>
      <c r="U1655" s="28"/>
    </row>
    <row r="1656">
      <c r="A1656" s="189"/>
      <c r="B1656" s="22"/>
      <c r="C1656" s="22"/>
      <c r="D1656" s="22"/>
      <c r="E1656" s="22"/>
      <c r="F1656" s="22"/>
      <c r="G1656" s="22"/>
      <c r="H1656" s="22"/>
      <c r="I1656" s="24"/>
      <c r="J1656" s="24"/>
      <c r="K1656" s="24"/>
      <c r="L1656" s="24"/>
      <c r="M1656" s="26"/>
      <c r="N1656" s="26"/>
      <c r="O1656" s="26"/>
      <c r="P1656" s="27"/>
      <c r="Q1656" s="27"/>
      <c r="R1656" s="27"/>
      <c r="S1656" s="22"/>
      <c r="T1656" s="22"/>
      <c r="U1656" s="28"/>
    </row>
    <row r="1657">
      <c r="A1657" s="189"/>
      <c r="B1657" s="22"/>
      <c r="C1657" s="22"/>
      <c r="D1657" s="22"/>
      <c r="E1657" s="22"/>
      <c r="F1657" s="22"/>
      <c r="G1657" s="22"/>
      <c r="H1657" s="22"/>
      <c r="I1657" s="24"/>
      <c r="J1657" s="24"/>
      <c r="K1657" s="24"/>
      <c r="L1657" s="24"/>
      <c r="M1657" s="26"/>
      <c r="N1657" s="26"/>
      <c r="O1657" s="26"/>
      <c r="P1657" s="27"/>
      <c r="Q1657" s="27"/>
      <c r="R1657" s="27"/>
      <c r="S1657" s="22"/>
      <c r="T1657" s="22"/>
      <c r="U1657" s="28"/>
    </row>
    <row r="1658">
      <c r="A1658" s="189"/>
      <c r="B1658" s="22"/>
      <c r="C1658" s="22"/>
      <c r="D1658" s="22"/>
      <c r="E1658" s="22"/>
      <c r="F1658" s="22"/>
      <c r="G1658" s="22"/>
      <c r="H1658" s="22"/>
      <c r="I1658" s="24"/>
      <c r="J1658" s="24"/>
      <c r="K1658" s="24"/>
      <c r="L1658" s="24"/>
      <c r="M1658" s="26"/>
      <c r="N1658" s="26"/>
      <c r="O1658" s="26"/>
      <c r="P1658" s="27"/>
      <c r="Q1658" s="27"/>
      <c r="R1658" s="27"/>
      <c r="S1658" s="22"/>
      <c r="T1658" s="22"/>
      <c r="U1658" s="28"/>
    </row>
    <row r="1659">
      <c r="A1659" s="189"/>
      <c r="B1659" s="22"/>
      <c r="C1659" s="22"/>
      <c r="D1659" s="22"/>
      <c r="E1659" s="22"/>
      <c r="F1659" s="22"/>
      <c r="G1659" s="22"/>
      <c r="H1659" s="22"/>
      <c r="I1659" s="24"/>
      <c r="J1659" s="24"/>
      <c r="K1659" s="24"/>
      <c r="L1659" s="24"/>
      <c r="M1659" s="26"/>
      <c r="N1659" s="26"/>
      <c r="O1659" s="26"/>
      <c r="P1659" s="27"/>
      <c r="Q1659" s="27"/>
      <c r="R1659" s="27"/>
      <c r="S1659" s="22"/>
      <c r="T1659" s="22"/>
      <c r="U1659" s="28"/>
    </row>
    <row r="1660">
      <c r="A1660" s="189"/>
      <c r="B1660" s="22"/>
      <c r="C1660" s="22"/>
      <c r="D1660" s="22"/>
      <c r="E1660" s="22"/>
      <c r="F1660" s="22"/>
      <c r="G1660" s="22"/>
      <c r="H1660" s="22"/>
      <c r="I1660" s="24"/>
      <c r="J1660" s="24"/>
      <c r="K1660" s="24"/>
      <c r="L1660" s="24"/>
      <c r="M1660" s="26"/>
      <c r="N1660" s="26"/>
      <c r="O1660" s="26"/>
      <c r="P1660" s="27"/>
      <c r="Q1660" s="27"/>
      <c r="R1660" s="27"/>
      <c r="S1660" s="22"/>
      <c r="T1660" s="22"/>
      <c r="U1660" s="28"/>
    </row>
    <row r="1661">
      <c r="A1661" s="189"/>
      <c r="B1661" s="22"/>
      <c r="C1661" s="22"/>
      <c r="D1661" s="22"/>
      <c r="E1661" s="22"/>
      <c r="F1661" s="22"/>
      <c r="G1661" s="22"/>
      <c r="H1661" s="22"/>
      <c r="I1661" s="24"/>
      <c r="J1661" s="24"/>
      <c r="K1661" s="24"/>
      <c r="L1661" s="24"/>
      <c r="M1661" s="26"/>
      <c r="N1661" s="26"/>
      <c r="O1661" s="26"/>
      <c r="P1661" s="27"/>
      <c r="Q1661" s="27"/>
      <c r="R1661" s="27"/>
      <c r="S1661" s="22"/>
      <c r="T1661" s="22"/>
      <c r="U1661" s="28"/>
    </row>
    <row r="1662">
      <c r="A1662" s="189"/>
      <c r="B1662" s="22"/>
      <c r="C1662" s="22"/>
      <c r="D1662" s="22"/>
      <c r="E1662" s="22"/>
      <c r="F1662" s="22"/>
      <c r="G1662" s="22"/>
      <c r="H1662" s="22"/>
      <c r="I1662" s="24"/>
      <c r="J1662" s="24"/>
      <c r="K1662" s="24"/>
      <c r="L1662" s="24"/>
      <c r="M1662" s="26"/>
      <c r="N1662" s="26"/>
      <c r="O1662" s="26"/>
      <c r="P1662" s="27"/>
      <c r="Q1662" s="27"/>
      <c r="R1662" s="27"/>
      <c r="S1662" s="22"/>
      <c r="T1662" s="22"/>
      <c r="U1662" s="28"/>
    </row>
    <row r="1663">
      <c r="A1663" s="189"/>
      <c r="B1663" s="22"/>
      <c r="C1663" s="22"/>
      <c r="D1663" s="22"/>
      <c r="E1663" s="22"/>
      <c r="F1663" s="22"/>
      <c r="G1663" s="22"/>
      <c r="H1663" s="22"/>
      <c r="I1663" s="24"/>
      <c r="J1663" s="24"/>
      <c r="K1663" s="24"/>
      <c r="L1663" s="24"/>
      <c r="M1663" s="26"/>
      <c r="N1663" s="26"/>
      <c r="O1663" s="26"/>
      <c r="P1663" s="27"/>
      <c r="Q1663" s="27"/>
      <c r="R1663" s="27"/>
      <c r="S1663" s="22"/>
      <c r="T1663" s="22"/>
      <c r="U1663" s="28"/>
    </row>
    <row r="1664">
      <c r="A1664" s="189"/>
      <c r="B1664" s="22"/>
      <c r="C1664" s="22"/>
      <c r="D1664" s="22"/>
      <c r="E1664" s="22"/>
      <c r="F1664" s="22"/>
      <c r="G1664" s="22"/>
      <c r="H1664" s="22"/>
      <c r="I1664" s="24"/>
      <c r="J1664" s="24"/>
      <c r="K1664" s="24"/>
      <c r="L1664" s="24"/>
      <c r="M1664" s="26"/>
      <c r="N1664" s="26"/>
      <c r="O1664" s="26"/>
      <c r="P1664" s="27"/>
      <c r="Q1664" s="27"/>
      <c r="R1664" s="27"/>
      <c r="S1664" s="22"/>
      <c r="T1664" s="22"/>
      <c r="U1664" s="28"/>
    </row>
    <row r="1665">
      <c r="A1665" s="189"/>
      <c r="B1665" s="22"/>
      <c r="C1665" s="22"/>
      <c r="D1665" s="22"/>
      <c r="E1665" s="22"/>
      <c r="F1665" s="22"/>
      <c r="G1665" s="22"/>
      <c r="H1665" s="22"/>
      <c r="I1665" s="24"/>
      <c r="J1665" s="24"/>
      <c r="K1665" s="24"/>
      <c r="L1665" s="24"/>
      <c r="M1665" s="26"/>
      <c r="N1665" s="26"/>
      <c r="O1665" s="26"/>
      <c r="P1665" s="27"/>
      <c r="Q1665" s="27"/>
      <c r="R1665" s="27"/>
      <c r="S1665" s="22"/>
      <c r="T1665" s="22"/>
      <c r="U1665" s="28"/>
    </row>
    <row r="1666">
      <c r="A1666" s="189"/>
      <c r="B1666" s="22"/>
      <c r="C1666" s="22"/>
      <c r="D1666" s="22"/>
      <c r="E1666" s="22"/>
      <c r="F1666" s="22"/>
      <c r="G1666" s="22"/>
      <c r="H1666" s="22"/>
      <c r="I1666" s="24"/>
      <c r="J1666" s="24"/>
      <c r="K1666" s="24"/>
      <c r="L1666" s="24"/>
      <c r="M1666" s="26"/>
      <c r="N1666" s="26"/>
      <c r="O1666" s="26"/>
      <c r="P1666" s="27"/>
      <c r="Q1666" s="27"/>
      <c r="R1666" s="27"/>
      <c r="S1666" s="22"/>
      <c r="T1666" s="22"/>
      <c r="U1666" s="28"/>
    </row>
    <row r="1667">
      <c r="A1667" s="189"/>
      <c r="B1667" s="22"/>
      <c r="C1667" s="22"/>
      <c r="D1667" s="22"/>
      <c r="E1667" s="22"/>
      <c r="F1667" s="22"/>
      <c r="G1667" s="22"/>
      <c r="H1667" s="22"/>
      <c r="I1667" s="24"/>
      <c r="J1667" s="24"/>
      <c r="K1667" s="24"/>
      <c r="L1667" s="24"/>
      <c r="M1667" s="26"/>
      <c r="N1667" s="26"/>
      <c r="O1667" s="26"/>
      <c r="P1667" s="27"/>
      <c r="Q1667" s="27"/>
      <c r="R1667" s="27"/>
      <c r="S1667" s="22"/>
      <c r="T1667" s="22"/>
      <c r="U1667" s="28"/>
    </row>
    <row r="1668">
      <c r="A1668" s="189"/>
      <c r="B1668" s="22"/>
      <c r="C1668" s="22"/>
      <c r="D1668" s="22"/>
      <c r="E1668" s="22"/>
      <c r="F1668" s="22"/>
      <c r="G1668" s="22"/>
      <c r="H1668" s="22"/>
      <c r="I1668" s="24"/>
      <c r="J1668" s="24"/>
      <c r="K1668" s="24"/>
      <c r="L1668" s="24"/>
      <c r="M1668" s="26"/>
      <c r="N1668" s="26"/>
      <c r="O1668" s="26"/>
      <c r="P1668" s="27"/>
      <c r="Q1668" s="27"/>
      <c r="R1668" s="27"/>
      <c r="S1668" s="22"/>
      <c r="T1668" s="22"/>
      <c r="U1668" s="28"/>
    </row>
    <row r="1669">
      <c r="A1669" s="189"/>
      <c r="B1669" s="22"/>
      <c r="C1669" s="22"/>
      <c r="D1669" s="22"/>
      <c r="E1669" s="22"/>
      <c r="F1669" s="22"/>
      <c r="G1669" s="22"/>
      <c r="H1669" s="22"/>
      <c r="I1669" s="24"/>
      <c r="J1669" s="24"/>
      <c r="K1669" s="24"/>
      <c r="L1669" s="24"/>
      <c r="M1669" s="26"/>
      <c r="N1669" s="26"/>
      <c r="O1669" s="26"/>
      <c r="P1669" s="27"/>
      <c r="Q1669" s="27"/>
      <c r="R1669" s="27"/>
      <c r="S1669" s="22"/>
      <c r="T1669" s="22"/>
      <c r="U1669" s="28"/>
    </row>
    <row r="1670">
      <c r="A1670" s="189"/>
      <c r="B1670" s="22"/>
      <c r="C1670" s="22"/>
      <c r="D1670" s="22"/>
      <c r="E1670" s="22"/>
      <c r="F1670" s="22"/>
      <c r="G1670" s="22"/>
      <c r="H1670" s="22"/>
      <c r="I1670" s="24"/>
      <c r="J1670" s="24"/>
      <c r="K1670" s="24"/>
      <c r="L1670" s="24"/>
      <c r="M1670" s="26"/>
      <c r="N1670" s="26"/>
      <c r="O1670" s="26"/>
      <c r="P1670" s="27"/>
      <c r="Q1670" s="27"/>
      <c r="R1670" s="27"/>
      <c r="S1670" s="22"/>
      <c r="T1670" s="22"/>
      <c r="U1670" s="28"/>
    </row>
    <row r="1671">
      <c r="A1671" s="189"/>
      <c r="B1671" s="22"/>
      <c r="C1671" s="22"/>
      <c r="D1671" s="22"/>
      <c r="E1671" s="22"/>
      <c r="F1671" s="22"/>
      <c r="G1671" s="22"/>
      <c r="H1671" s="22"/>
      <c r="I1671" s="24"/>
      <c r="J1671" s="24"/>
      <c r="K1671" s="24"/>
      <c r="L1671" s="24"/>
      <c r="M1671" s="26"/>
      <c r="N1671" s="26"/>
      <c r="O1671" s="26"/>
      <c r="P1671" s="27"/>
      <c r="Q1671" s="27"/>
      <c r="R1671" s="27"/>
      <c r="S1671" s="22"/>
      <c r="T1671" s="22"/>
      <c r="U1671" s="28"/>
    </row>
    <row r="1672">
      <c r="A1672" s="189"/>
      <c r="B1672" s="22"/>
      <c r="C1672" s="22"/>
      <c r="D1672" s="22"/>
      <c r="E1672" s="22"/>
      <c r="F1672" s="22"/>
      <c r="G1672" s="22"/>
      <c r="H1672" s="22"/>
      <c r="I1672" s="24"/>
      <c r="J1672" s="24"/>
      <c r="K1672" s="24"/>
      <c r="L1672" s="24"/>
      <c r="M1672" s="26"/>
      <c r="N1672" s="26"/>
      <c r="O1672" s="26"/>
      <c r="P1672" s="27"/>
      <c r="Q1672" s="27"/>
      <c r="R1672" s="27"/>
      <c r="S1672" s="22"/>
      <c r="T1672" s="22"/>
      <c r="U1672" s="28"/>
    </row>
    <row r="1673">
      <c r="A1673" s="189"/>
      <c r="B1673" s="22"/>
      <c r="C1673" s="22"/>
      <c r="D1673" s="22"/>
      <c r="E1673" s="22"/>
      <c r="F1673" s="22"/>
      <c r="G1673" s="22"/>
      <c r="H1673" s="22"/>
      <c r="I1673" s="24"/>
      <c r="J1673" s="24"/>
      <c r="K1673" s="24"/>
      <c r="L1673" s="24"/>
      <c r="M1673" s="26"/>
      <c r="N1673" s="26"/>
      <c r="O1673" s="26"/>
      <c r="P1673" s="27"/>
      <c r="Q1673" s="27"/>
      <c r="R1673" s="27"/>
      <c r="S1673" s="22"/>
      <c r="T1673" s="22"/>
      <c r="U1673" s="28"/>
    </row>
    <row r="1674">
      <c r="A1674" s="189"/>
      <c r="B1674" s="22"/>
      <c r="C1674" s="22"/>
      <c r="D1674" s="22"/>
      <c r="E1674" s="22"/>
      <c r="F1674" s="22"/>
      <c r="G1674" s="22"/>
      <c r="H1674" s="22"/>
      <c r="I1674" s="24"/>
      <c r="J1674" s="24"/>
      <c r="K1674" s="24"/>
      <c r="L1674" s="24"/>
      <c r="M1674" s="26"/>
      <c r="N1674" s="26"/>
      <c r="O1674" s="26"/>
      <c r="P1674" s="27"/>
      <c r="Q1674" s="27"/>
      <c r="R1674" s="27"/>
      <c r="S1674" s="22"/>
      <c r="T1674" s="22"/>
      <c r="U1674" s="28"/>
    </row>
    <row r="1675">
      <c r="A1675" s="189"/>
      <c r="B1675" s="22"/>
      <c r="C1675" s="22"/>
      <c r="D1675" s="22"/>
      <c r="E1675" s="22"/>
      <c r="F1675" s="22"/>
      <c r="G1675" s="22"/>
      <c r="H1675" s="22"/>
      <c r="I1675" s="24"/>
      <c r="J1675" s="24"/>
      <c r="K1675" s="24"/>
      <c r="L1675" s="24"/>
      <c r="M1675" s="26"/>
      <c r="N1675" s="26"/>
      <c r="O1675" s="26"/>
      <c r="P1675" s="27"/>
      <c r="Q1675" s="27"/>
      <c r="R1675" s="27"/>
      <c r="S1675" s="22"/>
      <c r="T1675" s="22"/>
      <c r="U1675" s="28"/>
    </row>
    <row r="1676">
      <c r="A1676" s="189"/>
      <c r="B1676" s="22"/>
      <c r="C1676" s="22"/>
      <c r="D1676" s="22"/>
      <c r="E1676" s="22"/>
      <c r="F1676" s="22"/>
      <c r="G1676" s="22"/>
      <c r="H1676" s="22"/>
      <c r="I1676" s="24"/>
      <c r="J1676" s="24"/>
      <c r="K1676" s="24"/>
      <c r="L1676" s="24"/>
      <c r="M1676" s="26"/>
      <c r="N1676" s="26"/>
      <c r="O1676" s="26"/>
      <c r="P1676" s="27"/>
      <c r="Q1676" s="27"/>
      <c r="R1676" s="27"/>
      <c r="S1676" s="22"/>
      <c r="T1676" s="22"/>
      <c r="U1676" s="28"/>
    </row>
    <row r="1677">
      <c r="A1677" s="189"/>
      <c r="B1677" s="22"/>
      <c r="C1677" s="22"/>
      <c r="D1677" s="22"/>
      <c r="E1677" s="22"/>
      <c r="F1677" s="22"/>
      <c r="G1677" s="22"/>
      <c r="H1677" s="22"/>
      <c r="I1677" s="24"/>
      <c r="J1677" s="24"/>
      <c r="K1677" s="24"/>
      <c r="L1677" s="24"/>
      <c r="M1677" s="26"/>
      <c r="N1677" s="26"/>
      <c r="O1677" s="26"/>
      <c r="P1677" s="27"/>
      <c r="Q1677" s="27"/>
      <c r="R1677" s="27"/>
      <c r="S1677" s="22"/>
      <c r="T1677" s="22"/>
      <c r="U1677" s="28"/>
    </row>
    <row r="1678">
      <c r="A1678" s="189"/>
      <c r="B1678" s="22"/>
      <c r="C1678" s="22"/>
      <c r="D1678" s="22"/>
      <c r="E1678" s="22"/>
      <c r="F1678" s="22"/>
      <c r="G1678" s="22"/>
      <c r="H1678" s="22"/>
      <c r="I1678" s="24"/>
      <c r="J1678" s="24"/>
      <c r="K1678" s="24"/>
      <c r="L1678" s="24"/>
      <c r="M1678" s="26"/>
      <c r="N1678" s="26"/>
      <c r="O1678" s="26"/>
      <c r="P1678" s="27"/>
      <c r="Q1678" s="27"/>
      <c r="R1678" s="27"/>
      <c r="S1678" s="22"/>
      <c r="T1678" s="22"/>
      <c r="U1678" s="28"/>
    </row>
    <row r="1679">
      <c r="A1679" s="189"/>
      <c r="B1679" s="22"/>
      <c r="C1679" s="22"/>
      <c r="D1679" s="22"/>
      <c r="E1679" s="22"/>
      <c r="F1679" s="22"/>
      <c r="G1679" s="22"/>
      <c r="H1679" s="22"/>
      <c r="I1679" s="24"/>
      <c r="J1679" s="24"/>
      <c r="K1679" s="24"/>
      <c r="L1679" s="24"/>
      <c r="M1679" s="26"/>
      <c r="N1679" s="26"/>
      <c r="O1679" s="26"/>
      <c r="P1679" s="27"/>
      <c r="Q1679" s="27"/>
      <c r="R1679" s="27"/>
      <c r="S1679" s="22"/>
      <c r="T1679" s="22"/>
      <c r="U1679" s="28"/>
    </row>
    <row r="1680">
      <c r="A1680" s="189"/>
      <c r="B1680" s="22"/>
      <c r="C1680" s="22"/>
      <c r="D1680" s="22"/>
      <c r="E1680" s="22"/>
      <c r="F1680" s="22"/>
      <c r="G1680" s="22"/>
      <c r="H1680" s="22"/>
      <c r="I1680" s="24"/>
      <c r="J1680" s="24"/>
      <c r="K1680" s="24"/>
      <c r="L1680" s="24"/>
      <c r="M1680" s="26"/>
      <c r="N1680" s="26"/>
      <c r="O1680" s="26"/>
      <c r="P1680" s="27"/>
      <c r="Q1680" s="27"/>
      <c r="R1680" s="27"/>
      <c r="S1680" s="22"/>
      <c r="T1680" s="22"/>
      <c r="U1680" s="28"/>
    </row>
    <row r="1681">
      <c r="A1681" s="189"/>
      <c r="B1681" s="22"/>
      <c r="C1681" s="22"/>
      <c r="D1681" s="22"/>
      <c r="E1681" s="22"/>
      <c r="F1681" s="22"/>
      <c r="G1681" s="22"/>
      <c r="H1681" s="22"/>
      <c r="I1681" s="24"/>
      <c r="J1681" s="24"/>
      <c r="K1681" s="24"/>
      <c r="L1681" s="24"/>
      <c r="M1681" s="26"/>
      <c r="N1681" s="26"/>
      <c r="O1681" s="26"/>
      <c r="P1681" s="27"/>
      <c r="Q1681" s="27"/>
      <c r="R1681" s="27"/>
      <c r="S1681" s="22"/>
      <c r="T1681" s="22"/>
      <c r="U1681" s="28"/>
    </row>
    <row r="1682">
      <c r="A1682" s="189"/>
      <c r="B1682" s="22"/>
      <c r="C1682" s="22"/>
      <c r="D1682" s="22"/>
      <c r="E1682" s="22"/>
      <c r="F1682" s="22"/>
      <c r="G1682" s="22"/>
      <c r="H1682" s="22"/>
      <c r="I1682" s="24"/>
      <c r="J1682" s="24"/>
      <c r="K1682" s="24"/>
      <c r="L1682" s="24"/>
      <c r="M1682" s="26"/>
      <c r="N1682" s="26"/>
      <c r="O1682" s="26"/>
      <c r="P1682" s="27"/>
      <c r="Q1682" s="27"/>
      <c r="R1682" s="27"/>
      <c r="S1682" s="22"/>
      <c r="T1682" s="22"/>
      <c r="U1682" s="28"/>
    </row>
    <row r="1683">
      <c r="A1683" s="189"/>
      <c r="B1683" s="22"/>
      <c r="C1683" s="22"/>
      <c r="D1683" s="22"/>
      <c r="E1683" s="22"/>
      <c r="F1683" s="22"/>
      <c r="G1683" s="22"/>
      <c r="H1683" s="22"/>
      <c r="I1683" s="24"/>
      <c r="J1683" s="24"/>
      <c r="K1683" s="24"/>
      <c r="L1683" s="24"/>
      <c r="M1683" s="26"/>
      <c r="N1683" s="26"/>
      <c r="O1683" s="26"/>
      <c r="P1683" s="27"/>
      <c r="Q1683" s="27"/>
      <c r="R1683" s="27"/>
      <c r="S1683" s="22"/>
      <c r="T1683" s="22"/>
      <c r="U1683" s="28"/>
    </row>
    <row r="1684">
      <c r="A1684" s="189"/>
      <c r="B1684" s="22"/>
      <c r="C1684" s="22"/>
      <c r="D1684" s="22"/>
      <c r="E1684" s="22"/>
      <c r="F1684" s="22"/>
      <c r="G1684" s="22"/>
      <c r="H1684" s="22"/>
      <c r="I1684" s="24"/>
      <c r="J1684" s="24"/>
      <c r="K1684" s="24"/>
      <c r="L1684" s="24"/>
      <c r="M1684" s="26"/>
      <c r="N1684" s="26"/>
      <c r="O1684" s="26"/>
      <c r="P1684" s="27"/>
      <c r="Q1684" s="27"/>
      <c r="R1684" s="27"/>
      <c r="S1684" s="22"/>
      <c r="T1684" s="22"/>
      <c r="U1684" s="28"/>
    </row>
    <row r="1685">
      <c r="A1685" s="189"/>
      <c r="B1685" s="22"/>
      <c r="C1685" s="22"/>
      <c r="D1685" s="22"/>
      <c r="E1685" s="22"/>
      <c r="F1685" s="22"/>
      <c r="G1685" s="22"/>
      <c r="H1685" s="22"/>
      <c r="I1685" s="24"/>
      <c r="J1685" s="24"/>
      <c r="K1685" s="24"/>
      <c r="L1685" s="24"/>
      <c r="M1685" s="26"/>
      <c r="N1685" s="26"/>
      <c r="O1685" s="26"/>
      <c r="P1685" s="27"/>
      <c r="Q1685" s="27"/>
      <c r="R1685" s="27"/>
      <c r="S1685" s="22"/>
      <c r="T1685" s="22"/>
      <c r="U1685" s="28"/>
    </row>
    <row r="1686">
      <c r="A1686" s="189"/>
      <c r="B1686" s="22"/>
      <c r="C1686" s="22"/>
      <c r="D1686" s="22"/>
      <c r="E1686" s="22"/>
      <c r="F1686" s="22"/>
      <c r="G1686" s="22"/>
      <c r="H1686" s="22"/>
      <c r="I1686" s="24"/>
      <c r="J1686" s="24"/>
      <c r="K1686" s="24"/>
      <c r="L1686" s="24"/>
      <c r="M1686" s="26"/>
      <c r="N1686" s="26"/>
      <c r="O1686" s="26"/>
      <c r="P1686" s="27"/>
      <c r="Q1686" s="27"/>
      <c r="R1686" s="27"/>
      <c r="S1686" s="22"/>
      <c r="T1686" s="22"/>
      <c r="U1686" s="28"/>
    </row>
    <row r="1687">
      <c r="A1687" s="189"/>
      <c r="B1687" s="22"/>
      <c r="C1687" s="22"/>
      <c r="D1687" s="22"/>
      <c r="E1687" s="22"/>
      <c r="F1687" s="22"/>
      <c r="G1687" s="22"/>
      <c r="H1687" s="22"/>
      <c r="I1687" s="24"/>
      <c r="J1687" s="24"/>
      <c r="K1687" s="24"/>
      <c r="L1687" s="24"/>
      <c r="M1687" s="26"/>
      <c r="N1687" s="26"/>
      <c r="O1687" s="26"/>
      <c r="P1687" s="27"/>
      <c r="Q1687" s="27"/>
      <c r="R1687" s="27"/>
      <c r="S1687" s="22"/>
      <c r="T1687" s="22"/>
      <c r="U1687" s="28"/>
    </row>
    <row r="1688">
      <c r="A1688" s="189"/>
      <c r="B1688" s="22"/>
      <c r="C1688" s="22"/>
      <c r="D1688" s="22"/>
      <c r="E1688" s="22"/>
      <c r="F1688" s="22"/>
      <c r="G1688" s="22"/>
      <c r="H1688" s="22"/>
      <c r="I1688" s="24"/>
      <c r="J1688" s="24"/>
      <c r="K1688" s="24"/>
      <c r="L1688" s="24"/>
      <c r="M1688" s="26"/>
      <c r="N1688" s="26"/>
      <c r="O1688" s="26"/>
      <c r="P1688" s="27"/>
      <c r="Q1688" s="27"/>
      <c r="R1688" s="27"/>
      <c r="S1688" s="22"/>
      <c r="T1688" s="22"/>
      <c r="U1688" s="28"/>
    </row>
    <row r="1689">
      <c r="A1689" s="189"/>
      <c r="B1689" s="22"/>
      <c r="C1689" s="22"/>
      <c r="D1689" s="22"/>
      <c r="E1689" s="22"/>
      <c r="F1689" s="22"/>
      <c r="G1689" s="22"/>
      <c r="H1689" s="22"/>
      <c r="I1689" s="24"/>
      <c r="J1689" s="24"/>
      <c r="K1689" s="24"/>
      <c r="L1689" s="24"/>
      <c r="M1689" s="26"/>
      <c r="N1689" s="26"/>
      <c r="O1689" s="26"/>
      <c r="P1689" s="27"/>
      <c r="Q1689" s="27"/>
      <c r="R1689" s="27"/>
      <c r="S1689" s="22"/>
      <c r="T1689" s="22"/>
      <c r="U1689" s="28"/>
    </row>
    <row r="1690">
      <c r="A1690" s="189"/>
      <c r="B1690" s="22"/>
      <c r="C1690" s="22"/>
      <c r="D1690" s="22"/>
      <c r="E1690" s="22"/>
      <c r="F1690" s="22"/>
      <c r="G1690" s="22"/>
      <c r="H1690" s="22"/>
      <c r="I1690" s="24"/>
      <c r="J1690" s="24"/>
      <c r="K1690" s="24"/>
      <c r="L1690" s="24"/>
      <c r="M1690" s="26"/>
      <c r="N1690" s="26"/>
      <c r="O1690" s="26"/>
      <c r="P1690" s="27"/>
      <c r="Q1690" s="27"/>
      <c r="R1690" s="27"/>
      <c r="S1690" s="22"/>
      <c r="T1690" s="22"/>
      <c r="U1690" s="28"/>
    </row>
    <row r="1691">
      <c r="A1691" s="189"/>
      <c r="B1691" s="22"/>
      <c r="C1691" s="22"/>
      <c r="D1691" s="22"/>
      <c r="E1691" s="22"/>
      <c r="F1691" s="22"/>
      <c r="G1691" s="22"/>
      <c r="H1691" s="22"/>
      <c r="I1691" s="24"/>
      <c r="J1691" s="24"/>
      <c r="K1691" s="24"/>
      <c r="L1691" s="24"/>
      <c r="M1691" s="26"/>
      <c r="N1691" s="26"/>
      <c r="O1691" s="26"/>
      <c r="P1691" s="27"/>
      <c r="Q1691" s="27"/>
      <c r="R1691" s="27"/>
      <c r="S1691" s="22"/>
      <c r="T1691" s="22"/>
      <c r="U1691" s="28"/>
    </row>
    <row r="1692">
      <c r="A1692" s="189"/>
      <c r="B1692" s="22"/>
      <c r="C1692" s="22"/>
      <c r="D1692" s="22"/>
      <c r="E1692" s="22"/>
      <c r="F1692" s="22"/>
      <c r="G1692" s="22"/>
      <c r="H1692" s="22"/>
      <c r="I1692" s="24"/>
      <c r="J1692" s="24"/>
      <c r="K1692" s="24"/>
      <c r="L1692" s="24"/>
      <c r="M1692" s="26"/>
      <c r="N1692" s="26"/>
      <c r="O1692" s="26"/>
      <c r="P1692" s="27"/>
      <c r="Q1692" s="27"/>
      <c r="R1692" s="27"/>
      <c r="S1692" s="22"/>
      <c r="T1692" s="22"/>
      <c r="U1692" s="28"/>
    </row>
    <row r="1693">
      <c r="A1693" s="189"/>
      <c r="B1693" s="22"/>
      <c r="C1693" s="22"/>
      <c r="D1693" s="22"/>
      <c r="E1693" s="22"/>
      <c r="F1693" s="22"/>
      <c r="G1693" s="22"/>
      <c r="H1693" s="22"/>
      <c r="I1693" s="24"/>
      <c r="J1693" s="24"/>
      <c r="K1693" s="24"/>
      <c r="L1693" s="24"/>
      <c r="M1693" s="26"/>
      <c r="N1693" s="26"/>
      <c r="O1693" s="26"/>
      <c r="P1693" s="27"/>
      <c r="Q1693" s="27"/>
      <c r="R1693" s="27"/>
      <c r="S1693" s="22"/>
      <c r="T1693" s="22"/>
      <c r="U1693" s="28"/>
    </row>
    <row r="1694">
      <c r="A1694" s="189"/>
      <c r="B1694" s="22"/>
      <c r="C1694" s="22"/>
      <c r="D1694" s="22"/>
      <c r="E1694" s="22"/>
      <c r="F1694" s="22"/>
      <c r="G1694" s="22"/>
      <c r="H1694" s="22"/>
      <c r="I1694" s="24"/>
      <c r="J1694" s="24"/>
      <c r="K1694" s="24"/>
      <c r="L1694" s="24"/>
      <c r="M1694" s="26"/>
      <c r="N1694" s="26"/>
      <c r="O1694" s="26"/>
      <c r="P1694" s="27"/>
      <c r="Q1694" s="27"/>
      <c r="R1694" s="27"/>
      <c r="S1694" s="22"/>
      <c r="T1694" s="22"/>
      <c r="U1694" s="28"/>
    </row>
    <row r="1695">
      <c r="A1695" s="189"/>
      <c r="B1695" s="22"/>
      <c r="C1695" s="22"/>
      <c r="D1695" s="22"/>
      <c r="E1695" s="22"/>
      <c r="F1695" s="22"/>
      <c r="G1695" s="22"/>
      <c r="H1695" s="22"/>
      <c r="I1695" s="24"/>
      <c r="J1695" s="24"/>
      <c r="K1695" s="24"/>
      <c r="L1695" s="24"/>
      <c r="M1695" s="26"/>
      <c r="N1695" s="26"/>
      <c r="O1695" s="26"/>
      <c r="P1695" s="27"/>
      <c r="Q1695" s="27"/>
      <c r="R1695" s="27"/>
      <c r="S1695" s="22"/>
      <c r="T1695" s="22"/>
      <c r="U1695" s="28"/>
    </row>
    <row r="1696">
      <c r="A1696" s="189"/>
      <c r="B1696" s="22"/>
      <c r="C1696" s="22"/>
      <c r="D1696" s="22"/>
      <c r="E1696" s="22"/>
      <c r="F1696" s="22"/>
      <c r="G1696" s="22"/>
      <c r="H1696" s="22"/>
      <c r="I1696" s="24"/>
      <c r="J1696" s="24"/>
      <c r="K1696" s="24"/>
      <c r="L1696" s="24"/>
      <c r="M1696" s="26"/>
      <c r="N1696" s="26"/>
      <c r="O1696" s="26"/>
      <c r="P1696" s="27"/>
      <c r="Q1696" s="27"/>
      <c r="R1696" s="27"/>
      <c r="S1696" s="22"/>
      <c r="T1696" s="22"/>
      <c r="U1696" s="28"/>
    </row>
    <row r="1697">
      <c r="A1697" s="189"/>
      <c r="B1697" s="22"/>
      <c r="C1697" s="22"/>
      <c r="D1697" s="22"/>
      <c r="E1697" s="22"/>
      <c r="F1697" s="22"/>
      <c r="G1697" s="22"/>
      <c r="H1697" s="22"/>
      <c r="I1697" s="24"/>
      <c r="J1697" s="24"/>
      <c r="K1697" s="24"/>
      <c r="L1697" s="24"/>
      <c r="M1697" s="26"/>
      <c r="N1697" s="26"/>
      <c r="O1697" s="26"/>
      <c r="P1697" s="27"/>
      <c r="Q1697" s="27"/>
      <c r="R1697" s="27"/>
      <c r="S1697" s="22"/>
      <c r="T1697" s="22"/>
      <c r="U1697" s="28"/>
    </row>
    <row r="1698">
      <c r="A1698" s="189"/>
      <c r="B1698" s="22"/>
      <c r="C1698" s="22"/>
      <c r="D1698" s="22"/>
      <c r="E1698" s="22"/>
      <c r="F1698" s="22"/>
      <c r="G1698" s="22"/>
      <c r="H1698" s="22"/>
      <c r="I1698" s="24"/>
      <c r="J1698" s="24"/>
      <c r="K1698" s="24"/>
      <c r="L1698" s="24"/>
      <c r="M1698" s="26"/>
      <c r="N1698" s="26"/>
      <c r="O1698" s="26"/>
      <c r="P1698" s="27"/>
      <c r="Q1698" s="27"/>
      <c r="R1698" s="27"/>
      <c r="S1698" s="22"/>
      <c r="T1698" s="22"/>
      <c r="U1698" s="28"/>
    </row>
    <row r="1699">
      <c r="A1699" s="189"/>
      <c r="B1699" s="22"/>
      <c r="C1699" s="22"/>
      <c r="D1699" s="22"/>
      <c r="E1699" s="22"/>
      <c r="F1699" s="22"/>
      <c r="G1699" s="22"/>
      <c r="H1699" s="22"/>
      <c r="I1699" s="24"/>
      <c r="J1699" s="24"/>
      <c r="K1699" s="24"/>
      <c r="L1699" s="24"/>
      <c r="M1699" s="26"/>
      <c r="N1699" s="26"/>
      <c r="O1699" s="26"/>
      <c r="P1699" s="27"/>
      <c r="Q1699" s="27"/>
      <c r="R1699" s="27"/>
      <c r="S1699" s="22"/>
      <c r="T1699" s="22"/>
      <c r="U1699" s="28"/>
    </row>
    <row r="1700">
      <c r="A1700" s="189"/>
      <c r="B1700" s="22"/>
      <c r="C1700" s="22"/>
      <c r="D1700" s="22"/>
      <c r="E1700" s="22"/>
      <c r="F1700" s="22"/>
      <c r="G1700" s="22"/>
      <c r="H1700" s="22"/>
      <c r="I1700" s="24"/>
      <c r="J1700" s="24"/>
      <c r="K1700" s="24"/>
      <c r="L1700" s="24"/>
      <c r="M1700" s="26"/>
      <c r="N1700" s="26"/>
      <c r="O1700" s="26"/>
      <c r="P1700" s="27"/>
      <c r="Q1700" s="27"/>
      <c r="R1700" s="27"/>
      <c r="S1700" s="22"/>
      <c r="T1700" s="22"/>
      <c r="U1700" s="28"/>
    </row>
    <row r="1701">
      <c r="A1701" s="189"/>
      <c r="B1701" s="22"/>
      <c r="C1701" s="22"/>
      <c r="D1701" s="22"/>
      <c r="E1701" s="22"/>
      <c r="F1701" s="22"/>
      <c r="G1701" s="22"/>
      <c r="H1701" s="22"/>
      <c r="I1701" s="24"/>
      <c r="J1701" s="24"/>
      <c r="K1701" s="24"/>
      <c r="L1701" s="24"/>
      <c r="M1701" s="26"/>
      <c r="N1701" s="26"/>
      <c r="O1701" s="26"/>
      <c r="P1701" s="27"/>
      <c r="Q1701" s="27"/>
      <c r="R1701" s="27"/>
      <c r="S1701" s="22"/>
      <c r="T1701" s="22"/>
      <c r="U1701" s="28"/>
    </row>
    <row r="1702">
      <c r="A1702" s="189"/>
      <c r="B1702" s="22"/>
      <c r="C1702" s="22"/>
      <c r="D1702" s="22"/>
      <c r="E1702" s="22"/>
      <c r="F1702" s="22"/>
      <c r="G1702" s="22"/>
      <c r="H1702" s="22"/>
      <c r="I1702" s="24"/>
      <c r="J1702" s="24"/>
      <c r="K1702" s="24"/>
      <c r="L1702" s="24"/>
      <c r="M1702" s="26"/>
      <c r="N1702" s="26"/>
      <c r="O1702" s="26"/>
      <c r="P1702" s="27"/>
      <c r="Q1702" s="27"/>
      <c r="R1702" s="27"/>
      <c r="S1702" s="22"/>
      <c r="T1702" s="22"/>
      <c r="U1702" s="28"/>
    </row>
    <row r="1703">
      <c r="A1703" s="189"/>
      <c r="B1703" s="22"/>
      <c r="C1703" s="22"/>
      <c r="D1703" s="22"/>
      <c r="E1703" s="22"/>
      <c r="F1703" s="22"/>
      <c r="G1703" s="22"/>
      <c r="H1703" s="22"/>
      <c r="I1703" s="24"/>
      <c r="J1703" s="24"/>
      <c r="K1703" s="24"/>
      <c r="L1703" s="24"/>
      <c r="M1703" s="26"/>
      <c r="N1703" s="26"/>
      <c r="O1703" s="26"/>
      <c r="P1703" s="27"/>
      <c r="Q1703" s="27"/>
      <c r="R1703" s="27"/>
      <c r="S1703" s="22"/>
      <c r="T1703" s="22"/>
      <c r="U1703" s="28"/>
    </row>
    <row r="1704">
      <c r="A1704" s="189"/>
      <c r="B1704" s="22"/>
      <c r="C1704" s="22"/>
      <c r="D1704" s="22"/>
      <c r="E1704" s="22"/>
      <c r="F1704" s="22"/>
      <c r="G1704" s="22"/>
      <c r="H1704" s="22"/>
      <c r="I1704" s="24"/>
      <c r="J1704" s="24"/>
      <c r="K1704" s="24"/>
      <c r="L1704" s="24"/>
      <c r="M1704" s="26"/>
      <c r="N1704" s="26"/>
      <c r="O1704" s="26"/>
      <c r="P1704" s="27"/>
      <c r="Q1704" s="27"/>
      <c r="R1704" s="27"/>
      <c r="S1704" s="22"/>
      <c r="T1704" s="22"/>
      <c r="U1704" s="28"/>
    </row>
    <row r="1705">
      <c r="A1705" s="189"/>
      <c r="B1705" s="22"/>
      <c r="C1705" s="22"/>
      <c r="D1705" s="22"/>
      <c r="E1705" s="22"/>
      <c r="F1705" s="22"/>
      <c r="G1705" s="22"/>
      <c r="H1705" s="22"/>
      <c r="I1705" s="24"/>
      <c r="J1705" s="24"/>
      <c r="K1705" s="24"/>
      <c r="L1705" s="24"/>
      <c r="M1705" s="26"/>
      <c r="N1705" s="26"/>
      <c r="O1705" s="26"/>
      <c r="P1705" s="27"/>
      <c r="Q1705" s="27"/>
      <c r="R1705" s="27"/>
      <c r="S1705" s="22"/>
      <c r="T1705" s="22"/>
      <c r="U1705" s="28"/>
    </row>
    <row r="1706">
      <c r="A1706" s="189"/>
      <c r="B1706" s="22"/>
      <c r="C1706" s="22"/>
      <c r="D1706" s="22"/>
      <c r="E1706" s="22"/>
      <c r="F1706" s="22"/>
      <c r="G1706" s="22"/>
      <c r="H1706" s="22"/>
      <c r="I1706" s="24"/>
      <c r="J1706" s="24"/>
      <c r="K1706" s="24"/>
      <c r="L1706" s="24"/>
      <c r="M1706" s="26"/>
      <c r="N1706" s="26"/>
      <c r="O1706" s="26"/>
      <c r="P1706" s="27"/>
      <c r="Q1706" s="27"/>
      <c r="R1706" s="27"/>
      <c r="S1706" s="22"/>
      <c r="T1706" s="22"/>
      <c r="U1706" s="28"/>
    </row>
    <row r="1707">
      <c r="A1707" s="189"/>
      <c r="B1707" s="22"/>
      <c r="C1707" s="22"/>
      <c r="D1707" s="22"/>
      <c r="E1707" s="22"/>
      <c r="F1707" s="22"/>
      <c r="G1707" s="22"/>
      <c r="H1707" s="22"/>
      <c r="I1707" s="24"/>
      <c r="J1707" s="24"/>
      <c r="K1707" s="24"/>
      <c r="L1707" s="24"/>
      <c r="M1707" s="26"/>
      <c r="N1707" s="26"/>
      <c r="O1707" s="26"/>
      <c r="P1707" s="27"/>
      <c r="Q1707" s="27"/>
      <c r="R1707" s="27"/>
      <c r="S1707" s="22"/>
      <c r="T1707" s="22"/>
      <c r="U1707" s="28"/>
    </row>
    <row r="1708">
      <c r="A1708" s="189"/>
      <c r="B1708" s="22"/>
      <c r="C1708" s="22"/>
      <c r="D1708" s="22"/>
      <c r="E1708" s="22"/>
      <c r="F1708" s="22"/>
      <c r="G1708" s="22"/>
      <c r="H1708" s="22"/>
      <c r="I1708" s="24"/>
      <c r="J1708" s="24"/>
      <c r="K1708" s="24"/>
      <c r="L1708" s="24"/>
      <c r="M1708" s="26"/>
      <c r="N1708" s="26"/>
      <c r="O1708" s="26"/>
      <c r="P1708" s="27"/>
      <c r="Q1708" s="27"/>
      <c r="R1708" s="27"/>
      <c r="S1708" s="22"/>
      <c r="T1708" s="22"/>
      <c r="U1708" s="28"/>
    </row>
    <row r="1709">
      <c r="A1709" s="189"/>
      <c r="B1709" s="22"/>
      <c r="C1709" s="22"/>
      <c r="D1709" s="22"/>
      <c r="E1709" s="22"/>
      <c r="F1709" s="22"/>
      <c r="G1709" s="22"/>
      <c r="H1709" s="22"/>
      <c r="I1709" s="24"/>
      <c r="J1709" s="24"/>
      <c r="K1709" s="24"/>
      <c r="L1709" s="24"/>
      <c r="M1709" s="26"/>
      <c r="N1709" s="26"/>
      <c r="O1709" s="26"/>
      <c r="P1709" s="27"/>
      <c r="Q1709" s="27"/>
      <c r="R1709" s="27"/>
      <c r="S1709" s="22"/>
      <c r="T1709" s="22"/>
      <c r="U1709" s="28"/>
    </row>
    <row r="1710">
      <c r="A1710" s="189"/>
      <c r="B1710" s="22"/>
      <c r="C1710" s="22"/>
      <c r="D1710" s="22"/>
      <c r="E1710" s="22"/>
      <c r="F1710" s="22"/>
      <c r="G1710" s="22"/>
      <c r="H1710" s="22"/>
      <c r="I1710" s="24"/>
      <c r="J1710" s="24"/>
      <c r="K1710" s="24"/>
      <c r="L1710" s="24"/>
      <c r="M1710" s="26"/>
      <c r="N1710" s="26"/>
      <c r="O1710" s="26"/>
      <c r="P1710" s="27"/>
      <c r="Q1710" s="27"/>
      <c r="R1710" s="27"/>
      <c r="S1710" s="22"/>
      <c r="T1710" s="22"/>
      <c r="U1710" s="28"/>
    </row>
    <row r="1711">
      <c r="A1711" s="189"/>
      <c r="B1711" s="22"/>
      <c r="C1711" s="22"/>
      <c r="D1711" s="22"/>
      <c r="E1711" s="22"/>
      <c r="F1711" s="22"/>
      <c r="G1711" s="22"/>
      <c r="H1711" s="22"/>
      <c r="I1711" s="24"/>
      <c r="J1711" s="24"/>
      <c r="K1711" s="24"/>
      <c r="L1711" s="24"/>
      <c r="M1711" s="26"/>
      <c r="N1711" s="26"/>
      <c r="O1711" s="26"/>
      <c r="P1711" s="27"/>
      <c r="Q1711" s="27"/>
      <c r="R1711" s="27"/>
      <c r="S1711" s="22"/>
      <c r="T1711" s="22"/>
      <c r="U1711" s="28"/>
    </row>
    <row r="1712">
      <c r="A1712" s="189"/>
      <c r="B1712" s="22"/>
      <c r="C1712" s="22"/>
      <c r="D1712" s="22"/>
      <c r="E1712" s="22"/>
      <c r="F1712" s="22"/>
      <c r="G1712" s="22"/>
      <c r="H1712" s="22"/>
      <c r="I1712" s="24"/>
      <c r="J1712" s="24"/>
      <c r="K1712" s="24"/>
      <c r="L1712" s="24"/>
      <c r="M1712" s="26"/>
      <c r="N1712" s="26"/>
      <c r="O1712" s="26"/>
      <c r="P1712" s="27"/>
      <c r="Q1712" s="27"/>
      <c r="R1712" s="27"/>
      <c r="S1712" s="22"/>
      <c r="T1712" s="22"/>
      <c r="U1712" s="28"/>
    </row>
    <row r="1713">
      <c r="A1713" s="189"/>
      <c r="B1713" s="22"/>
      <c r="C1713" s="22"/>
      <c r="D1713" s="22"/>
      <c r="E1713" s="22"/>
      <c r="F1713" s="22"/>
      <c r="G1713" s="22"/>
      <c r="H1713" s="22"/>
      <c r="I1713" s="24"/>
      <c r="J1713" s="24"/>
      <c r="K1713" s="24"/>
      <c r="L1713" s="24"/>
      <c r="M1713" s="26"/>
      <c r="N1713" s="26"/>
      <c r="O1713" s="26"/>
      <c r="P1713" s="27"/>
      <c r="Q1713" s="27"/>
      <c r="R1713" s="27"/>
      <c r="S1713" s="22"/>
      <c r="T1713" s="22"/>
      <c r="U1713" s="28"/>
    </row>
    <row r="1714">
      <c r="A1714" s="189"/>
      <c r="B1714" s="22"/>
      <c r="C1714" s="22"/>
      <c r="D1714" s="22"/>
      <c r="E1714" s="22"/>
      <c r="F1714" s="22"/>
      <c r="G1714" s="22"/>
      <c r="H1714" s="22"/>
      <c r="I1714" s="24"/>
      <c r="J1714" s="24"/>
      <c r="K1714" s="24"/>
      <c r="L1714" s="24"/>
      <c r="M1714" s="26"/>
      <c r="N1714" s="26"/>
      <c r="O1714" s="26"/>
      <c r="P1714" s="27"/>
      <c r="Q1714" s="27"/>
      <c r="R1714" s="27"/>
      <c r="S1714" s="22"/>
      <c r="T1714" s="22"/>
      <c r="U1714" s="28"/>
    </row>
    <row r="1715">
      <c r="A1715" s="189"/>
      <c r="B1715" s="22"/>
      <c r="C1715" s="22"/>
      <c r="D1715" s="22"/>
      <c r="E1715" s="22"/>
      <c r="F1715" s="22"/>
      <c r="G1715" s="22"/>
      <c r="H1715" s="22"/>
      <c r="I1715" s="24"/>
      <c r="J1715" s="24"/>
      <c r="K1715" s="24"/>
      <c r="L1715" s="24"/>
      <c r="M1715" s="26"/>
      <c r="N1715" s="26"/>
      <c r="O1715" s="26"/>
      <c r="P1715" s="27"/>
      <c r="Q1715" s="27"/>
      <c r="R1715" s="27"/>
      <c r="S1715" s="22"/>
      <c r="T1715" s="22"/>
      <c r="U1715" s="28"/>
    </row>
    <row r="1716">
      <c r="A1716" s="189"/>
      <c r="B1716" s="22"/>
      <c r="C1716" s="22"/>
      <c r="D1716" s="22"/>
      <c r="E1716" s="22"/>
      <c r="F1716" s="22"/>
      <c r="G1716" s="22"/>
      <c r="H1716" s="22"/>
      <c r="I1716" s="24"/>
      <c r="J1716" s="24"/>
      <c r="K1716" s="24"/>
      <c r="L1716" s="24"/>
      <c r="M1716" s="26"/>
      <c r="N1716" s="26"/>
      <c r="O1716" s="26"/>
      <c r="P1716" s="27"/>
      <c r="Q1716" s="27"/>
      <c r="R1716" s="27"/>
      <c r="S1716" s="22"/>
      <c r="T1716" s="22"/>
      <c r="U1716" s="28"/>
    </row>
    <row r="1717">
      <c r="A1717" s="189"/>
      <c r="B1717" s="22"/>
      <c r="C1717" s="22"/>
      <c r="D1717" s="22"/>
      <c r="E1717" s="22"/>
      <c r="F1717" s="22"/>
      <c r="G1717" s="22"/>
      <c r="H1717" s="22"/>
      <c r="I1717" s="24"/>
      <c r="J1717" s="24"/>
      <c r="K1717" s="24"/>
      <c r="L1717" s="24"/>
      <c r="M1717" s="26"/>
      <c r="N1717" s="26"/>
      <c r="O1717" s="26"/>
      <c r="P1717" s="27"/>
      <c r="Q1717" s="27"/>
      <c r="R1717" s="27"/>
      <c r="S1717" s="22"/>
      <c r="T1717" s="22"/>
      <c r="U1717" s="28"/>
    </row>
    <row r="1718">
      <c r="A1718" s="189"/>
      <c r="B1718" s="22"/>
      <c r="C1718" s="22"/>
      <c r="D1718" s="22"/>
      <c r="E1718" s="22"/>
      <c r="F1718" s="22"/>
      <c r="G1718" s="22"/>
      <c r="H1718" s="22"/>
      <c r="I1718" s="24"/>
      <c r="J1718" s="24"/>
      <c r="K1718" s="24"/>
      <c r="L1718" s="24"/>
      <c r="M1718" s="26"/>
      <c r="N1718" s="26"/>
      <c r="O1718" s="26"/>
      <c r="P1718" s="27"/>
      <c r="Q1718" s="27"/>
      <c r="R1718" s="27"/>
      <c r="S1718" s="22"/>
      <c r="T1718" s="22"/>
      <c r="U1718" s="28"/>
    </row>
    <row r="1719">
      <c r="A1719" s="189"/>
      <c r="B1719" s="22"/>
      <c r="C1719" s="22"/>
      <c r="D1719" s="22"/>
      <c r="E1719" s="22"/>
      <c r="F1719" s="22"/>
      <c r="G1719" s="22"/>
      <c r="H1719" s="22"/>
      <c r="I1719" s="24"/>
      <c r="J1719" s="24"/>
      <c r="K1719" s="24"/>
      <c r="L1719" s="24"/>
      <c r="M1719" s="26"/>
      <c r="N1719" s="26"/>
      <c r="O1719" s="26"/>
      <c r="P1719" s="27"/>
      <c r="Q1719" s="27"/>
      <c r="R1719" s="27"/>
      <c r="S1719" s="22"/>
      <c r="T1719" s="22"/>
      <c r="U1719" s="28"/>
    </row>
    <row r="1720">
      <c r="A1720" s="189"/>
      <c r="B1720" s="22"/>
      <c r="C1720" s="22"/>
      <c r="D1720" s="22"/>
      <c r="E1720" s="22"/>
      <c r="F1720" s="22"/>
      <c r="G1720" s="22"/>
      <c r="H1720" s="22"/>
      <c r="I1720" s="24"/>
      <c r="J1720" s="24"/>
      <c r="K1720" s="24"/>
      <c r="L1720" s="24"/>
      <c r="M1720" s="26"/>
      <c r="N1720" s="26"/>
      <c r="O1720" s="26"/>
      <c r="P1720" s="27"/>
      <c r="Q1720" s="27"/>
      <c r="R1720" s="27"/>
      <c r="S1720" s="22"/>
      <c r="T1720" s="22"/>
      <c r="U1720" s="28"/>
    </row>
    <row r="1721">
      <c r="A1721" s="189"/>
      <c r="B1721" s="22"/>
      <c r="C1721" s="22"/>
      <c r="D1721" s="22"/>
      <c r="E1721" s="22"/>
      <c r="F1721" s="22"/>
      <c r="G1721" s="22"/>
      <c r="H1721" s="22"/>
      <c r="I1721" s="24"/>
      <c r="J1721" s="24"/>
      <c r="K1721" s="24"/>
      <c r="L1721" s="24"/>
      <c r="M1721" s="26"/>
      <c r="N1721" s="26"/>
      <c r="O1721" s="26"/>
      <c r="P1721" s="27"/>
      <c r="Q1721" s="27"/>
      <c r="R1721" s="27"/>
      <c r="S1721" s="22"/>
      <c r="T1721" s="22"/>
      <c r="U1721" s="28"/>
    </row>
    <row r="1722">
      <c r="A1722" s="189"/>
      <c r="B1722" s="22"/>
      <c r="C1722" s="22"/>
      <c r="D1722" s="22"/>
      <c r="E1722" s="22"/>
      <c r="F1722" s="22"/>
      <c r="G1722" s="22"/>
      <c r="H1722" s="22"/>
      <c r="I1722" s="24"/>
      <c r="J1722" s="24"/>
      <c r="K1722" s="24"/>
      <c r="L1722" s="24"/>
      <c r="M1722" s="26"/>
      <c r="N1722" s="26"/>
      <c r="O1722" s="26"/>
      <c r="P1722" s="27"/>
      <c r="Q1722" s="27"/>
      <c r="R1722" s="27"/>
      <c r="S1722" s="22"/>
      <c r="T1722" s="22"/>
      <c r="U1722" s="28"/>
    </row>
    <row r="1723">
      <c r="A1723" s="189"/>
      <c r="B1723" s="22"/>
      <c r="C1723" s="22"/>
      <c r="D1723" s="22"/>
      <c r="E1723" s="22"/>
      <c r="F1723" s="22"/>
      <c r="G1723" s="22"/>
      <c r="H1723" s="22"/>
      <c r="I1723" s="24"/>
      <c r="J1723" s="24"/>
      <c r="K1723" s="24"/>
      <c r="L1723" s="24"/>
      <c r="M1723" s="26"/>
      <c r="N1723" s="26"/>
      <c r="O1723" s="26"/>
      <c r="P1723" s="27"/>
      <c r="Q1723" s="27"/>
      <c r="R1723" s="27"/>
      <c r="S1723" s="22"/>
      <c r="T1723" s="22"/>
      <c r="U1723" s="28"/>
    </row>
    <row r="1724">
      <c r="A1724" s="189"/>
      <c r="B1724" s="22"/>
      <c r="C1724" s="22"/>
      <c r="D1724" s="22"/>
      <c r="E1724" s="22"/>
      <c r="F1724" s="22"/>
      <c r="G1724" s="22"/>
      <c r="H1724" s="22"/>
      <c r="I1724" s="24"/>
      <c r="J1724" s="24"/>
      <c r="K1724" s="24"/>
      <c r="L1724" s="24"/>
      <c r="M1724" s="26"/>
      <c r="N1724" s="26"/>
      <c r="O1724" s="26"/>
      <c r="P1724" s="27"/>
      <c r="Q1724" s="27"/>
      <c r="R1724" s="27"/>
      <c r="S1724" s="22"/>
      <c r="T1724" s="22"/>
      <c r="U1724" s="28"/>
    </row>
    <row r="1725">
      <c r="A1725" s="189"/>
      <c r="B1725" s="22"/>
      <c r="C1725" s="22"/>
      <c r="D1725" s="22"/>
      <c r="E1725" s="22"/>
      <c r="F1725" s="22"/>
      <c r="G1725" s="22"/>
      <c r="H1725" s="22"/>
      <c r="I1725" s="24"/>
      <c r="J1725" s="24"/>
      <c r="K1725" s="24"/>
      <c r="L1725" s="24"/>
      <c r="M1725" s="26"/>
      <c r="N1725" s="26"/>
      <c r="O1725" s="26"/>
      <c r="P1725" s="27"/>
      <c r="Q1725" s="27"/>
      <c r="R1725" s="27"/>
      <c r="S1725" s="22"/>
      <c r="T1725" s="22"/>
      <c r="U1725" s="28"/>
    </row>
    <row r="1726">
      <c r="A1726" s="189"/>
      <c r="B1726" s="22"/>
      <c r="C1726" s="22"/>
      <c r="D1726" s="22"/>
      <c r="E1726" s="22"/>
      <c r="F1726" s="22"/>
      <c r="G1726" s="22"/>
      <c r="H1726" s="22"/>
      <c r="I1726" s="24"/>
      <c r="J1726" s="24"/>
      <c r="K1726" s="24"/>
      <c r="L1726" s="24"/>
      <c r="M1726" s="26"/>
      <c r="N1726" s="26"/>
      <c r="O1726" s="26"/>
      <c r="P1726" s="27"/>
      <c r="Q1726" s="27"/>
      <c r="R1726" s="27"/>
      <c r="S1726" s="22"/>
      <c r="T1726" s="22"/>
      <c r="U1726" s="28"/>
    </row>
    <row r="1727">
      <c r="A1727" s="189"/>
      <c r="B1727" s="22"/>
      <c r="C1727" s="22"/>
      <c r="D1727" s="22"/>
      <c r="E1727" s="22"/>
      <c r="F1727" s="22"/>
      <c r="G1727" s="22"/>
      <c r="H1727" s="22"/>
      <c r="I1727" s="24"/>
      <c r="J1727" s="24"/>
      <c r="K1727" s="24"/>
      <c r="L1727" s="24"/>
      <c r="M1727" s="26"/>
      <c r="N1727" s="26"/>
      <c r="O1727" s="26"/>
      <c r="P1727" s="27"/>
      <c r="Q1727" s="27"/>
      <c r="R1727" s="27"/>
      <c r="S1727" s="22"/>
      <c r="T1727" s="22"/>
      <c r="U1727" s="28"/>
    </row>
    <row r="1728">
      <c r="A1728" s="189"/>
      <c r="B1728" s="22"/>
      <c r="C1728" s="22"/>
      <c r="D1728" s="22"/>
      <c r="E1728" s="22"/>
      <c r="F1728" s="22"/>
      <c r="G1728" s="22"/>
      <c r="H1728" s="22"/>
      <c r="I1728" s="24"/>
      <c r="J1728" s="24"/>
      <c r="K1728" s="24"/>
      <c r="L1728" s="24"/>
      <c r="M1728" s="26"/>
      <c r="N1728" s="26"/>
      <c r="O1728" s="26"/>
      <c r="P1728" s="27"/>
      <c r="Q1728" s="27"/>
      <c r="R1728" s="27"/>
      <c r="S1728" s="22"/>
      <c r="T1728" s="22"/>
      <c r="U1728" s="28"/>
    </row>
    <row r="1729">
      <c r="A1729" s="189"/>
      <c r="B1729" s="22"/>
      <c r="C1729" s="22"/>
      <c r="D1729" s="22"/>
      <c r="E1729" s="22"/>
      <c r="F1729" s="22"/>
      <c r="G1729" s="22"/>
      <c r="H1729" s="22"/>
      <c r="I1729" s="24"/>
      <c r="J1729" s="24"/>
      <c r="K1729" s="24"/>
      <c r="L1729" s="24"/>
      <c r="M1729" s="26"/>
      <c r="N1729" s="26"/>
      <c r="O1729" s="26"/>
      <c r="P1729" s="27"/>
      <c r="Q1729" s="27"/>
      <c r="R1729" s="27"/>
      <c r="S1729" s="22"/>
      <c r="T1729" s="22"/>
      <c r="U1729" s="28"/>
    </row>
    <row r="1730">
      <c r="A1730" s="189"/>
      <c r="B1730" s="22"/>
      <c r="C1730" s="22"/>
      <c r="D1730" s="22"/>
      <c r="E1730" s="22"/>
      <c r="F1730" s="22"/>
      <c r="G1730" s="22"/>
      <c r="H1730" s="22"/>
      <c r="I1730" s="24"/>
      <c r="J1730" s="24"/>
      <c r="K1730" s="24"/>
      <c r="L1730" s="24"/>
      <c r="M1730" s="26"/>
      <c r="N1730" s="26"/>
      <c r="O1730" s="26"/>
      <c r="P1730" s="27"/>
      <c r="Q1730" s="27"/>
      <c r="R1730" s="27"/>
      <c r="S1730" s="22"/>
      <c r="T1730" s="22"/>
      <c r="U1730" s="28"/>
    </row>
    <row r="1731">
      <c r="A1731" s="189"/>
      <c r="B1731" s="22"/>
      <c r="C1731" s="22"/>
      <c r="D1731" s="22"/>
      <c r="E1731" s="22"/>
      <c r="F1731" s="22"/>
      <c r="G1731" s="22"/>
      <c r="H1731" s="22"/>
      <c r="I1731" s="24"/>
      <c r="J1731" s="24"/>
      <c r="K1731" s="24"/>
      <c r="L1731" s="24"/>
      <c r="M1731" s="26"/>
      <c r="N1731" s="26"/>
      <c r="O1731" s="26"/>
      <c r="P1731" s="27"/>
      <c r="Q1731" s="27"/>
      <c r="R1731" s="27"/>
      <c r="S1731" s="22"/>
      <c r="T1731" s="22"/>
      <c r="U1731" s="28"/>
    </row>
    <row r="1732">
      <c r="A1732" s="189"/>
      <c r="B1732" s="22"/>
      <c r="C1732" s="22"/>
      <c r="D1732" s="22"/>
      <c r="E1732" s="22"/>
      <c r="F1732" s="22"/>
      <c r="G1732" s="22"/>
      <c r="H1732" s="22"/>
      <c r="I1732" s="24"/>
      <c r="J1732" s="24"/>
      <c r="K1732" s="24"/>
      <c r="L1732" s="24"/>
      <c r="M1732" s="26"/>
      <c r="N1732" s="26"/>
      <c r="O1732" s="26"/>
      <c r="P1732" s="27"/>
      <c r="Q1732" s="27"/>
      <c r="R1732" s="27"/>
      <c r="S1732" s="22"/>
      <c r="T1732" s="22"/>
      <c r="U1732" s="28"/>
    </row>
    <row r="1733">
      <c r="A1733" s="189"/>
      <c r="B1733" s="22"/>
      <c r="C1733" s="22"/>
      <c r="D1733" s="22"/>
      <c r="E1733" s="22"/>
      <c r="F1733" s="22"/>
      <c r="G1733" s="22"/>
      <c r="H1733" s="22"/>
      <c r="I1733" s="24"/>
      <c r="J1733" s="24"/>
      <c r="K1733" s="24"/>
      <c r="L1733" s="24"/>
      <c r="M1733" s="26"/>
      <c r="N1733" s="26"/>
      <c r="O1733" s="26"/>
      <c r="P1733" s="27"/>
      <c r="Q1733" s="27"/>
      <c r="R1733" s="27"/>
      <c r="S1733" s="22"/>
      <c r="T1733" s="22"/>
      <c r="U1733" s="28"/>
    </row>
    <row r="1734">
      <c r="A1734" s="189"/>
      <c r="B1734" s="22"/>
      <c r="C1734" s="22"/>
      <c r="D1734" s="22"/>
      <c r="E1734" s="22"/>
      <c r="F1734" s="22"/>
      <c r="G1734" s="22"/>
      <c r="H1734" s="22"/>
      <c r="I1734" s="24"/>
      <c r="J1734" s="24"/>
      <c r="K1734" s="24"/>
      <c r="L1734" s="24"/>
      <c r="M1734" s="26"/>
      <c r="N1734" s="26"/>
      <c r="O1734" s="26"/>
      <c r="P1734" s="27"/>
      <c r="Q1734" s="27"/>
      <c r="R1734" s="27"/>
      <c r="S1734" s="22"/>
      <c r="T1734" s="22"/>
      <c r="U1734" s="28"/>
    </row>
    <row r="1735">
      <c r="A1735" s="189"/>
      <c r="B1735" s="22"/>
      <c r="C1735" s="22"/>
      <c r="D1735" s="22"/>
      <c r="E1735" s="22"/>
      <c r="F1735" s="22"/>
      <c r="G1735" s="22"/>
      <c r="H1735" s="22"/>
      <c r="I1735" s="24"/>
      <c r="J1735" s="24"/>
      <c r="K1735" s="24"/>
      <c r="L1735" s="24"/>
      <c r="M1735" s="26"/>
      <c r="N1735" s="26"/>
      <c r="O1735" s="26"/>
      <c r="P1735" s="27"/>
      <c r="Q1735" s="27"/>
      <c r="R1735" s="27"/>
      <c r="S1735" s="22"/>
      <c r="T1735" s="22"/>
      <c r="U1735" s="28"/>
    </row>
    <row r="1736">
      <c r="A1736" s="189"/>
      <c r="B1736" s="22"/>
      <c r="C1736" s="22"/>
      <c r="D1736" s="22"/>
      <c r="E1736" s="22"/>
      <c r="F1736" s="22"/>
      <c r="G1736" s="22"/>
      <c r="H1736" s="22"/>
      <c r="I1736" s="24"/>
      <c r="J1736" s="24"/>
      <c r="K1736" s="24"/>
      <c r="L1736" s="24"/>
      <c r="M1736" s="26"/>
      <c r="N1736" s="26"/>
      <c r="O1736" s="26"/>
      <c r="P1736" s="27"/>
      <c r="Q1736" s="27"/>
      <c r="R1736" s="27"/>
      <c r="S1736" s="22"/>
      <c r="T1736" s="22"/>
      <c r="U1736" s="28"/>
    </row>
    <row r="1737">
      <c r="A1737" s="189"/>
      <c r="B1737" s="22"/>
      <c r="C1737" s="22"/>
      <c r="D1737" s="22"/>
      <c r="E1737" s="22"/>
      <c r="F1737" s="22"/>
      <c r="G1737" s="22"/>
      <c r="H1737" s="22"/>
      <c r="I1737" s="24"/>
      <c r="J1737" s="24"/>
      <c r="K1737" s="24"/>
      <c r="L1737" s="24"/>
      <c r="M1737" s="26"/>
      <c r="N1737" s="26"/>
      <c r="O1737" s="26"/>
      <c r="P1737" s="27"/>
      <c r="Q1737" s="27"/>
      <c r="R1737" s="27"/>
      <c r="S1737" s="22"/>
      <c r="T1737" s="22"/>
      <c r="U1737" s="28"/>
    </row>
    <row r="1738">
      <c r="A1738" s="189"/>
      <c r="B1738" s="22"/>
      <c r="C1738" s="22"/>
      <c r="D1738" s="22"/>
      <c r="E1738" s="22"/>
      <c r="F1738" s="22"/>
      <c r="G1738" s="22"/>
      <c r="H1738" s="22"/>
      <c r="I1738" s="24"/>
      <c r="J1738" s="24"/>
      <c r="K1738" s="24"/>
      <c r="L1738" s="24"/>
      <c r="M1738" s="26"/>
      <c r="N1738" s="26"/>
      <c r="O1738" s="26"/>
      <c r="P1738" s="27"/>
      <c r="Q1738" s="27"/>
      <c r="R1738" s="27"/>
      <c r="S1738" s="22"/>
      <c r="T1738" s="22"/>
      <c r="U1738" s="28"/>
    </row>
    <row r="1739">
      <c r="A1739" s="189"/>
      <c r="B1739" s="22"/>
      <c r="C1739" s="22"/>
      <c r="D1739" s="22"/>
      <c r="E1739" s="22"/>
      <c r="F1739" s="22"/>
      <c r="G1739" s="22"/>
      <c r="H1739" s="22"/>
      <c r="I1739" s="24"/>
      <c r="J1739" s="24"/>
      <c r="K1739" s="24"/>
      <c r="L1739" s="24"/>
      <c r="M1739" s="26"/>
      <c r="N1739" s="26"/>
      <c r="O1739" s="26"/>
      <c r="P1739" s="27"/>
      <c r="Q1739" s="27"/>
      <c r="R1739" s="27"/>
      <c r="S1739" s="22"/>
      <c r="T1739" s="22"/>
      <c r="U1739" s="28"/>
    </row>
    <row r="1740">
      <c r="A1740" s="189"/>
      <c r="B1740" s="22"/>
      <c r="C1740" s="22"/>
      <c r="D1740" s="22"/>
      <c r="E1740" s="22"/>
      <c r="F1740" s="22"/>
      <c r="G1740" s="22"/>
      <c r="H1740" s="22"/>
      <c r="I1740" s="24"/>
      <c r="J1740" s="24"/>
      <c r="K1740" s="24"/>
      <c r="L1740" s="24"/>
      <c r="M1740" s="26"/>
      <c r="N1740" s="26"/>
      <c r="O1740" s="26"/>
      <c r="P1740" s="27"/>
      <c r="Q1740" s="27"/>
      <c r="R1740" s="27"/>
      <c r="S1740" s="22"/>
      <c r="T1740" s="22"/>
      <c r="U1740" s="28"/>
    </row>
    <row r="1741">
      <c r="A1741" s="189"/>
      <c r="B1741" s="22"/>
      <c r="C1741" s="22"/>
      <c r="D1741" s="22"/>
      <c r="E1741" s="22"/>
      <c r="F1741" s="22"/>
      <c r="G1741" s="22"/>
      <c r="H1741" s="22"/>
      <c r="I1741" s="24"/>
      <c r="J1741" s="24"/>
      <c r="K1741" s="24"/>
      <c r="L1741" s="24"/>
      <c r="M1741" s="26"/>
      <c r="N1741" s="26"/>
      <c r="O1741" s="26"/>
      <c r="P1741" s="27"/>
      <c r="Q1741" s="27"/>
      <c r="R1741" s="27"/>
      <c r="S1741" s="22"/>
      <c r="T1741" s="22"/>
      <c r="U1741" s="28"/>
    </row>
    <row r="1742">
      <c r="A1742" s="189"/>
      <c r="B1742" s="22"/>
      <c r="C1742" s="22"/>
      <c r="D1742" s="22"/>
      <c r="E1742" s="22"/>
      <c r="F1742" s="22"/>
      <c r="G1742" s="22"/>
      <c r="H1742" s="22"/>
      <c r="I1742" s="24"/>
      <c r="J1742" s="24"/>
      <c r="K1742" s="24"/>
      <c r="L1742" s="24"/>
      <c r="M1742" s="26"/>
      <c r="N1742" s="26"/>
      <c r="O1742" s="26"/>
      <c r="P1742" s="27"/>
      <c r="Q1742" s="27"/>
      <c r="R1742" s="27"/>
      <c r="S1742" s="22"/>
      <c r="T1742" s="22"/>
      <c r="U1742" s="28"/>
    </row>
    <row r="1743">
      <c r="A1743" s="189"/>
      <c r="B1743" s="22"/>
      <c r="C1743" s="22"/>
      <c r="D1743" s="22"/>
      <c r="E1743" s="22"/>
      <c r="F1743" s="22"/>
      <c r="G1743" s="22"/>
      <c r="H1743" s="22"/>
      <c r="I1743" s="24"/>
      <c r="J1743" s="24"/>
      <c r="K1743" s="24"/>
      <c r="L1743" s="24"/>
      <c r="M1743" s="26"/>
      <c r="N1743" s="26"/>
      <c r="O1743" s="26"/>
      <c r="P1743" s="27"/>
      <c r="Q1743" s="27"/>
      <c r="R1743" s="27"/>
      <c r="S1743" s="22"/>
      <c r="T1743" s="22"/>
      <c r="U1743" s="28"/>
    </row>
    <row r="1744">
      <c r="A1744" s="189"/>
      <c r="B1744" s="22"/>
      <c r="C1744" s="22"/>
      <c r="D1744" s="22"/>
      <c r="E1744" s="22"/>
      <c r="F1744" s="22"/>
      <c r="G1744" s="22"/>
      <c r="H1744" s="22"/>
      <c r="I1744" s="24"/>
      <c r="J1744" s="24"/>
      <c r="K1744" s="24"/>
      <c r="L1744" s="24"/>
      <c r="M1744" s="26"/>
      <c r="N1744" s="26"/>
      <c r="O1744" s="26"/>
      <c r="P1744" s="27"/>
      <c r="Q1744" s="27"/>
      <c r="R1744" s="27"/>
      <c r="S1744" s="22"/>
      <c r="T1744" s="22"/>
      <c r="U1744" s="28"/>
    </row>
    <row r="1745">
      <c r="A1745" s="189"/>
      <c r="B1745" s="22"/>
      <c r="C1745" s="22"/>
      <c r="D1745" s="22"/>
      <c r="E1745" s="22"/>
      <c r="F1745" s="22"/>
      <c r="G1745" s="22"/>
      <c r="H1745" s="22"/>
      <c r="I1745" s="24"/>
      <c r="J1745" s="24"/>
      <c r="K1745" s="24"/>
      <c r="L1745" s="24"/>
      <c r="M1745" s="26"/>
      <c r="N1745" s="26"/>
      <c r="O1745" s="26"/>
      <c r="P1745" s="27"/>
      <c r="Q1745" s="27"/>
      <c r="R1745" s="27"/>
      <c r="S1745" s="22"/>
      <c r="T1745" s="22"/>
      <c r="U1745" s="28"/>
    </row>
    <row r="1746">
      <c r="A1746" s="189"/>
      <c r="B1746" s="22"/>
      <c r="C1746" s="22"/>
      <c r="D1746" s="22"/>
      <c r="E1746" s="22"/>
      <c r="F1746" s="22"/>
      <c r="G1746" s="22"/>
      <c r="H1746" s="22"/>
      <c r="I1746" s="24"/>
      <c r="J1746" s="24"/>
      <c r="K1746" s="24"/>
      <c r="L1746" s="24"/>
      <c r="M1746" s="26"/>
      <c r="N1746" s="26"/>
      <c r="O1746" s="26"/>
      <c r="P1746" s="27"/>
      <c r="Q1746" s="27"/>
      <c r="R1746" s="27"/>
      <c r="S1746" s="22"/>
      <c r="T1746" s="22"/>
      <c r="U1746" s="28"/>
    </row>
    <row r="1747">
      <c r="A1747" s="189"/>
      <c r="B1747" s="22"/>
      <c r="C1747" s="22"/>
      <c r="D1747" s="22"/>
      <c r="E1747" s="22"/>
      <c r="F1747" s="22"/>
      <c r="G1747" s="22"/>
      <c r="H1747" s="22"/>
      <c r="I1747" s="24"/>
      <c r="J1747" s="24"/>
      <c r="K1747" s="24"/>
      <c r="L1747" s="24"/>
      <c r="M1747" s="26"/>
      <c r="N1747" s="26"/>
      <c r="O1747" s="26"/>
      <c r="P1747" s="27"/>
      <c r="Q1747" s="27"/>
      <c r="R1747" s="27"/>
      <c r="S1747" s="22"/>
      <c r="T1747" s="22"/>
      <c r="U1747" s="28"/>
    </row>
    <row r="1748">
      <c r="A1748" s="189"/>
      <c r="B1748" s="22"/>
      <c r="C1748" s="22"/>
      <c r="D1748" s="22"/>
      <c r="E1748" s="22"/>
      <c r="F1748" s="22"/>
      <c r="G1748" s="22"/>
      <c r="H1748" s="22"/>
      <c r="I1748" s="24"/>
      <c r="J1748" s="24"/>
      <c r="K1748" s="24"/>
      <c r="L1748" s="24"/>
      <c r="M1748" s="26"/>
      <c r="N1748" s="26"/>
      <c r="O1748" s="26"/>
      <c r="P1748" s="27"/>
      <c r="Q1748" s="27"/>
      <c r="R1748" s="27"/>
      <c r="S1748" s="22"/>
      <c r="T1748" s="22"/>
      <c r="U1748" s="28"/>
    </row>
    <row r="1749">
      <c r="A1749" s="189"/>
      <c r="B1749" s="22"/>
      <c r="C1749" s="22"/>
      <c r="D1749" s="22"/>
      <c r="E1749" s="22"/>
      <c r="F1749" s="22"/>
      <c r="G1749" s="22"/>
      <c r="H1749" s="22"/>
      <c r="I1749" s="24"/>
      <c r="J1749" s="24"/>
      <c r="K1749" s="24"/>
      <c r="L1749" s="24"/>
      <c r="M1749" s="26"/>
      <c r="N1749" s="26"/>
      <c r="O1749" s="26"/>
      <c r="P1749" s="27"/>
      <c r="Q1749" s="27"/>
      <c r="R1749" s="27"/>
      <c r="S1749" s="22"/>
      <c r="T1749" s="22"/>
      <c r="U1749" s="28"/>
    </row>
    <row r="1750">
      <c r="A1750" s="189"/>
      <c r="B1750" s="22"/>
      <c r="C1750" s="22"/>
      <c r="D1750" s="22"/>
      <c r="E1750" s="22"/>
      <c r="F1750" s="22"/>
      <c r="G1750" s="22"/>
      <c r="H1750" s="22"/>
      <c r="I1750" s="24"/>
      <c r="J1750" s="24"/>
      <c r="K1750" s="24"/>
      <c r="L1750" s="24"/>
      <c r="M1750" s="26"/>
      <c r="N1750" s="26"/>
      <c r="O1750" s="26"/>
      <c r="P1750" s="27"/>
      <c r="Q1750" s="27"/>
      <c r="R1750" s="27"/>
      <c r="S1750" s="22"/>
      <c r="T1750" s="22"/>
      <c r="U1750" s="28"/>
    </row>
    <row r="1751">
      <c r="A1751" s="189"/>
      <c r="B1751" s="22"/>
      <c r="C1751" s="22"/>
      <c r="D1751" s="22"/>
      <c r="E1751" s="22"/>
      <c r="F1751" s="22"/>
      <c r="G1751" s="22"/>
      <c r="H1751" s="22"/>
      <c r="I1751" s="24"/>
      <c r="J1751" s="24"/>
      <c r="K1751" s="24"/>
      <c r="L1751" s="24"/>
      <c r="M1751" s="26"/>
      <c r="N1751" s="26"/>
      <c r="O1751" s="26"/>
      <c r="P1751" s="27"/>
      <c r="Q1751" s="27"/>
      <c r="R1751" s="27"/>
      <c r="S1751" s="22"/>
      <c r="T1751" s="22"/>
      <c r="U1751" s="28"/>
    </row>
    <row r="1752">
      <c r="A1752" s="189"/>
      <c r="B1752" s="22"/>
      <c r="C1752" s="22"/>
      <c r="D1752" s="22"/>
      <c r="E1752" s="22"/>
      <c r="F1752" s="22"/>
      <c r="G1752" s="22"/>
      <c r="H1752" s="22"/>
      <c r="I1752" s="24"/>
      <c r="J1752" s="24"/>
      <c r="K1752" s="24"/>
      <c r="L1752" s="24"/>
      <c r="M1752" s="26"/>
      <c r="N1752" s="26"/>
      <c r="O1752" s="26"/>
      <c r="P1752" s="27"/>
      <c r="Q1752" s="27"/>
      <c r="R1752" s="27"/>
      <c r="S1752" s="22"/>
      <c r="T1752" s="22"/>
      <c r="U1752" s="28"/>
    </row>
    <row r="1753">
      <c r="A1753" s="189"/>
      <c r="B1753" s="22"/>
      <c r="C1753" s="22"/>
      <c r="D1753" s="22"/>
      <c r="E1753" s="22"/>
      <c r="F1753" s="22"/>
      <c r="G1753" s="22"/>
      <c r="H1753" s="22"/>
      <c r="I1753" s="24"/>
      <c r="J1753" s="24"/>
      <c r="K1753" s="24"/>
      <c r="L1753" s="24"/>
      <c r="M1753" s="26"/>
      <c r="N1753" s="26"/>
      <c r="O1753" s="26"/>
      <c r="P1753" s="27"/>
      <c r="Q1753" s="27"/>
      <c r="R1753" s="27"/>
      <c r="S1753" s="22"/>
      <c r="T1753" s="22"/>
      <c r="U1753" s="28"/>
    </row>
    <row r="1754">
      <c r="A1754" s="189"/>
      <c r="B1754" s="22"/>
      <c r="C1754" s="22"/>
      <c r="D1754" s="22"/>
      <c r="E1754" s="22"/>
      <c r="F1754" s="22"/>
      <c r="G1754" s="22"/>
      <c r="H1754" s="22"/>
      <c r="I1754" s="24"/>
      <c r="J1754" s="24"/>
      <c r="K1754" s="24"/>
      <c r="L1754" s="24"/>
      <c r="M1754" s="26"/>
      <c r="N1754" s="26"/>
      <c r="O1754" s="26"/>
      <c r="P1754" s="27"/>
      <c r="Q1754" s="27"/>
      <c r="R1754" s="27"/>
      <c r="S1754" s="22"/>
      <c r="T1754" s="22"/>
      <c r="U1754" s="28"/>
    </row>
    <row r="1755">
      <c r="A1755" s="189"/>
      <c r="B1755" s="22"/>
      <c r="C1755" s="22"/>
      <c r="D1755" s="22"/>
      <c r="E1755" s="22"/>
      <c r="F1755" s="22"/>
      <c r="G1755" s="22"/>
      <c r="H1755" s="22"/>
      <c r="I1755" s="24"/>
      <c r="J1755" s="24"/>
      <c r="K1755" s="24"/>
      <c r="L1755" s="24"/>
      <c r="M1755" s="26"/>
      <c r="N1755" s="26"/>
      <c r="O1755" s="26"/>
      <c r="P1755" s="27"/>
      <c r="Q1755" s="27"/>
      <c r="R1755" s="27"/>
      <c r="S1755" s="22"/>
      <c r="T1755" s="22"/>
      <c r="U1755" s="28"/>
    </row>
    <row r="1756">
      <c r="A1756" s="189"/>
      <c r="B1756" s="22"/>
      <c r="C1756" s="22"/>
      <c r="D1756" s="22"/>
      <c r="E1756" s="22"/>
      <c r="F1756" s="22"/>
      <c r="G1756" s="22"/>
      <c r="H1756" s="22"/>
      <c r="I1756" s="24"/>
      <c r="J1756" s="24"/>
      <c r="K1756" s="24"/>
      <c r="L1756" s="24"/>
      <c r="M1756" s="26"/>
      <c r="N1756" s="26"/>
      <c r="O1756" s="26"/>
      <c r="P1756" s="27"/>
      <c r="Q1756" s="27"/>
      <c r="R1756" s="27"/>
      <c r="S1756" s="22"/>
      <c r="T1756" s="22"/>
      <c r="U1756" s="28"/>
    </row>
    <row r="1757">
      <c r="A1757" s="189"/>
      <c r="B1757" s="22"/>
      <c r="C1757" s="22"/>
      <c r="D1757" s="22"/>
      <c r="E1757" s="22"/>
      <c r="F1757" s="22"/>
      <c r="G1757" s="22"/>
      <c r="H1757" s="22"/>
      <c r="I1757" s="24"/>
      <c r="J1757" s="24"/>
      <c r="K1757" s="24"/>
      <c r="L1757" s="24"/>
      <c r="M1757" s="26"/>
      <c r="N1757" s="26"/>
      <c r="O1757" s="26"/>
      <c r="P1757" s="27"/>
      <c r="Q1757" s="27"/>
      <c r="R1757" s="27"/>
      <c r="S1757" s="22"/>
      <c r="T1757" s="22"/>
      <c r="U1757" s="28"/>
    </row>
    <row r="1758">
      <c r="A1758" s="189"/>
      <c r="B1758" s="22"/>
      <c r="C1758" s="22"/>
      <c r="D1758" s="22"/>
      <c r="E1758" s="22"/>
      <c r="F1758" s="22"/>
      <c r="G1758" s="22"/>
      <c r="H1758" s="22"/>
      <c r="I1758" s="24"/>
      <c r="J1758" s="24"/>
      <c r="K1758" s="24"/>
      <c r="L1758" s="24"/>
      <c r="M1758" s="26"/>
      <c r="N1758" s="26"/>
      <c r="O1758" s="26"/>
      <c r="P1758" s="27"/>
      <c r="Q1758" s="27"/>
      <c r="R1758" s="27"/>
      <c r="S1758" s="22"/>
      <c r="T1758" s="22"/>
      <c r="U1758" s="28"/>
    </row>
    <row r="1759">
      <c r="A1759" s="189"/>
      <c r="B1759" s="22"/>
      <c r="C1759" s="22"/>
      <c r="D1759" s="22"/>
      <c r="E1759" s="22"/>
      <c r="F1759" s="22"/>
      <c r="G1759" s="22"/>
      <c r="H1759" s="22"/>
      <c r="I1759" s="24"/>
      <c r="J1759" s="24"/>
      <c r="K1759" s="24"/>
      <c r="L1759" s="24"/>
      <c r="M1759" s="26"/>
      <c r="N1759" s="26"/>
      <c r="O1759" s="26"/>
      <c r="P1759" s="27"/>
      <c r="Q1759" s="27"/>
      <c r="R1759" s="27"/>
      <c r="S1759" s="22"/>
      <c r="T1759" s="22"/>
      <c r="U1759" s="28"/>
    </row>
    <row r="1760">
      <c r="A1760" s="189"/>
      <c r="B1760" s="22"/>
      <c r="C1760" s="22"/>
      <c r="D1760" s="22"/>
      <c r="E1760" s="22"/>
      <c r="F1760" s="22"/>
      <c r="G1760" s="22"/>
      <c r="H1760" s="22"/>
      <c r="I1760" s="24"/>
      <c r="J1760" s="24"/>
      <c r="K1760" s="24"/>
      <c r="L1760" s="24"/>
      <c r="M1760" s="26"/>
      <c r="N1760" s="26"/>
      <c r="O1760" s="26"/>
      <c r="P1760" s="27"/>
      <c r="Q1760" s="27"/>
      <c r="R1760" s="27"/>
      <c r="S1760" s="22"/>
      <c r="T1760" s="22"/>
      <c r="U1760" s="28"/>
    </row>
    <row r="1761">
      <c r="A1761" s="189"/>
      <c r="B1761" s="22"/>
      <c r="C1761" s="22"/>
      <c r="D1761" s="22"/>
      <c r="E1761" s="22"/>
      <c r="F1761" s="22"/>
      <c r="G1761" s="22"/>
      <c r="H1761" s="22"/>
      <c r="I1761" s="24"/>
      <c r="J1761" s="24"/>
      <c r="K1761" s="24"/>
      <c r="L1761" s="24"/>
      <c r="M1761" s="26"/>
      <c r="N1761" s="26"/>
      <c r="O1761" s="26"/>
      <c r="P1761" s="27"/>
      <c r="Q1761" s="27"/>
      <c r="R1761" s="27"/>
      <c r="S1761" s="22"/>
      <c r="T1761" s="22"/>
      <c r="U1761" s="28"/>
    </row>
    <row r="1762">
      <c r="A1762" s="189"/>
      <c r="B1762" s="22"/>
      <c r="C1762" s="22"/>
      <c r="D1762" s="22"/>
      <c r="E1762" s="22"/>
      <c r="F1762" s="22"/>
      <c r="G1762" s="22"/>
      <c r="H1762" s="22"/>
      <c r="I1762" s="24"/>
      <c r="J1762" s="24"/>
      <c r="K1762" s="24"/>
      <c r="L1762" s="24"/>
      <c r="M1762" s="26"/>
      <c r="N1762" s="26"/>
      <c r="O1762" s="26"/>
      <c r="P1762" s="27"/>
      <c r="Q1762" s="27"/>
      <c r="R1762" s="27"/>
      <c r="S1762" s="22"/>
      <c r="T1762" s="22"/>
      <c r="U1762" s="28"/>
    </row>
    <row r="1763">
      <c r="A1763" s="189"/>
      <c r="B1763" s="22"/>
      <c r="C1763" s="22"/>
      <c r="D1763" s="22"/>
      <c r="E1763" s="22"/>
      <c r="F1763" s="22"/>
      <c r="G1763" s="22"/>
      <c r="H1763" s="22"/>
      <c r="I1763" s="24"/>
      <c r="J1763" s="24"/>
      <c r="K1763" s="24"/>
      <c r="L1763" s="24"/>
      <c r="M1763" s="26"/>
      <c r="N1763" s="26"/>
      <c r="O1763" s="26"/>
      <c r="P1763" s="27"/>
      <c r="Q1763" s="27"/>
      <c r="R1763" s="27"/>
      <c r="S1763" s="22"/>
      <c r="T1763" s="22"/>
      <c r="U1763" s="28"/>
    </row>
    <row r="1764">
      <c r="A1764" s="189"/>
      <c r="B1764" s="22"/>
      <c r="C1764" s="22"/>
      <c r="D1764" s="22"/>
      <c r="E1764" s="22"/>
      <c r="F1764" s="22"/>
      <c r="G1764" s="22"/>
      <c r="H1764" s="22"/>
      <c r="I1764" s="24"/>
      <c r="J1764" s="24"/>
      <c r="K1764" s="24"/>
      <c r="L1764" s="24"/>
      <c r="M1764" s="26"/>
      <c r="N1764" s="26"/>
      <c r="O1764" s="26"/>
      <c r="P1764" s="27"/>
      <c r="Q1764" s="27"/>
      <c r="R1764" s="27"/>
      <c r="S1764" s="22"/>
      <c r="T1764" s="22"/>
      <c r="U1764" s="28"/>
    </row>
    <row r="1765">
      <c r="A1765" s="189"/>
      <c r="B1765" s="22"/>
      <c r="C1765" s="22"/>
      <c r="D1765" s="22"/>
      <c r="E1765" s="22"/>
      <c r="F1765" s="22"/>
      <c r="G1765" s="22"/>
      <c r="H1765" s="22"/>
      <c r="I1765" s="24"/>
      <c r="J1765" s="24"/>
      <c r="K1765" s="24"/>
      <c r="L1765" s="24"/>
      <c r="M1765" s="26"/>
      <c r="N1765" s="26"/>
      <c r="O1765" s="26"/>
      <c r="P1765" s="27"/>
      <c r="Q1765" s="27"/>
      <c r="R1765" s="27"/>
      <c r="S1765" s="22"/>
      <c r="T1765" s="22"/>
      <c r="U1765" s="28"/>
    </row>
    <row r="1766">
      <c r="A1766" s="189"/>
      <c r="B1766" s="22"/>
      <c r="C1766" s="22"/>
      <c r="D1766" s="22"/>
      <c r="E1766" s="22"/>
      <c r="F1766" s="22"/>
      <c r="G1766" s="22"/>
      <c r="H1766" s="22"/>
      <c r="I1766" s="24"/>
      <c r="J1766" s="24"/>
      <c r="K1766" s="24"/>
      <c r="L1766" s="24"/>
      <c r="M1766" s="26"/>
      <c r="N1766" s="26"/>
      <c r="O1766" s="26"/>
      <c r="P1766" s="27"/>
      <c r="Q1766" s="27"/>
      <c r="R1766" s="27"/>
      <c r="S1766" s="22"/>
      <c r="T1766" s="22"/>
      <c r="U1766" s="28"/>
    </row>
    <row r="1767">
      <c r="A1767" s="189"/>
      <c r="B1767" s="22"/>
      <c r="C1767" s="22"/>
      <c r="D1767" s="22"/>
      <c r="E1767" s="22"/>
      <c r="F1767" s="22"/>
      <c r="G1767" s="22"/>
      <c r="H1767" s="22"/>
      <c r="I1767" s="24"/>
      <c r="J1767" s="24"/>
      <c r="K1767" s="24"/>
      <c r="L1767" s="24"/>
      <c r="M1767" s="26"/>
      <c r="N1767" s="26"/>
      <c r="O1767" s="26"/>
      <c r="P1767" s="27"/>
      <c r="Q1767" s="27"/>
      <c r="R1767" s="27"/>
      <c r="S1767" s="22"/>
      <c r="T1767" s="22"/>
      <c r="U1767" s="28"/>
    </row>
    <row r="1768">
      <c r="A1768" s="189"/>
      <c r="B1768" s="22"/>
      <c r="C1768" s="22"/>
      <c r="D1768" s="22"/>
      <c r="E1768" s="22"/>
      <c r="F1768" s="22"/>
      <c r="G1768" s="22"/>
      <c r="H1768" s="22"/>
      <c r="I1768" s="24"/>
      <c r="J1768" s="24"/>
      <c r="K1768" s="24"/>
      <c r="L1768" s="24"/>
      <c r="M1768" s="26"/>
      <c r="N1768" s="26"/>
      <c r="O1768" s="26"/>
      <c r="P1768" s="27"/>
      <c r="Q1768" s="27"/>
      <c r="R1768" s="27"/>
      <c r="S1768" s="22"/>
      <c r="T1768" s="22"/>
      <c r="U1768" s="28"/>
    </row>
    <row r="1769">
      <c r="A1769" s="189"/>
      <c r="B1769" s="22"/>
      <c r="C1769" s="22"/>
      <c r="D1769" s="22"/>
      <c r="E1769" s="22"/>
      <c r="F1769" s="22"/>
      <c r="G1769" s="22"/>
      <c r="H1769" s="22"/>
      <c r="I1769" s="24"/>
      <c r="J1769" s="24"/>
      <c r="K1769" s="24"/>
      <c r="L1769" s="24"/>
      <c r="M1769" s="26"/>
      <c r="N1769" s="26"/>
      <c r="O1769" s="26"/>
      <c r="P1769" s="27"/>
      <c r="Q1769" s="27"/>
      <c r="R1769" s="27"/>
      <c r="S1769" s="22"/>
      <c r="T1769" s="22"/>
      <c r="U1769" s="28"/>
    </row>
    <row r="1770">
      <c r="A1770" s="189"/>
      <c r="B1770" s="22"/>
      <c r="C1770" s="22"/>
      <c r="D1770" s="22"/>
      <c r="E1770" s="22"/>
      <c r="F1770" s="22"/>
      <c r="G1770" s="22"/>
      <c r="H1770" s="22"/>
      <c r="I1770" s="24"/>
      <c r="J1770" s="24"/>
      <c r="K1770" s="24"/>
      <c r="L1770" s="24"/>
      <c r="M1770" s="26"/>
      <c r="N1770" s="26"/>
      <c r="O1770" s="26"/>
      <c r="P1770" s="27"/>
      <c r="Q1770" s="27"/>
      <c r="R1770" s="27"/>
      <c r="S1770" s="22"/>
      <c r="T1770" s="22"/>
      <c r="U1770" s="28"/>
    </row>
    <row r="1771">
      <c r="A1771" s="189"/>
      <c r="B1771" s="22"/>
      <c r="C1771" s="22"/>
      <c r="D1771" s="22"/>
      <c r="E1771" s="22"/>
      <c r="F1771" s="22"/>
      <c r="G1771" s="22"/>
      <c r="H1771" s="22"/>
      <c r="I1771" s="24"/>
      <c r="J1771" s="24"/>
      <c r="K1771" s="24"/>
      <c r="L1771" s="24"/>
      <c r="M1771" s="26"/>
      <c r="N1771" s="26"/>
      <c r="O1771" s="26"/>
      <c r="P1771" s="27"/>
      <c r="Q1771" s="27"/>
      <c r="R1771" s="27"/>
      <c r="S1771" s="22"/>
      <c r="T1771" s="22"/>
      <c r="U1771" s="28"/>
    </row>
    <row r="1772">
      <c r="A1772" s="189"/>
      <c r="B1772" s="22"/>
      <c r="C1772" s="22"/>
      <c r="D1772" s="22"/>
      <c r="E1772" s="22"/>
      <c r="F1772" s="22"/>
      <c r="G1772" s="22"/>
      <c r="H1772" s="22"/>
      <c r="I1772" s="24"/>
      <c r="J1772" s="24"/>
      <c r="K1772" s="24"/>
      <c r="L1772" s="24"/>
      <c r="M1772" s="26"/>
      <c r="N1772" s="26"/>
      <c r="O1772" s="26"/>
      <c r="P1772" s="27"/>
      <c r="Q1772" s="27"/>
      <c r="R1772" s="27"/>
      <c r="S1772" s="22"/>
      <c r="T1772" s="22"/>
      <c r="U1772" s="28"/>
    </row>
    <row r="1773">
      <c r="A1773" s="189"/>
      <c r="B1773" s="22"/>
      <c r="C1773" s="22"/>
      <c r="D1773" s="22"/>
      <c r="E1773" s="22"/>
      <c r="F1773" s="22"/>
      <c r="G1773" s="22"/>
      <c r="H1773" s="22"/>
      <c r="I1773" s="24"/>
      <c r="J1773" s="24"/>
      <c r="K1773" s="24"/>
      <c r="L1773" s="24"/>
      <c r="M1773" s="26"/>
      <c r="N1773" s="26"/>
      <c r="O1773" s="26"/>
      <c r="P1773" s="27"/>
      <c r="Q1773" s="27"/>
      <c r="R1773" s="27"/>
      <c r="S1773" s="22"/>
      <c r="T1773" s="22"/>
      <c r="U1773" s="28"/>
    </row>
    <row r="1774">
      <c r="A1774" s="189"/>
      <c r="B1774" s="22"/>
      <c r="C1774" s="22"/>
      <c r="D1774" s="22"/>
      <c r="E1774" s="22"/>
      <c r="F1774" s="22"/>
      <c r="G1774" s="22"/>
      <c r="H1774" s="22"/>
      <c r="I1774" s="24"/>
      <c r="J1774" s="24"/>
      <c r="K1774" s="24"/>
      <c r="L1774" s="24"/>
      <c r="M1774" s="26"/>
      <c r="N1774" s="26"/>
      <c r="O1774" s="26"/>
      <c r="P1774" s="27"/>
      <c r="Q1774" s="27"/>
      <c r="R1774" s="27"/>
      <c r="S1774" s="22"/>
      <c r="T1774" s="22"/>
      <c r="U1774" s="28"/>
    </row>
    <row r="1775">
      <c r="A1775" s="189"/>
      <c r="B1775" s="22"/>
      <c r="C1775" s="22"/>
      <c r="D1775" s="22"/>
      <c r="E1775" s="22"/>
      <c r="F1775" s="22"/>
      <c r="G1775" s="22"/>
      <c r="H1775" s="22"/>
      <c r="I1775" s="24"/>
      <c r="J1775" s="24"/>
      <c r="K1775" s="24"/>
      <c r="L1775" s="24"/>
      <c r="M1775" s="26"/>
      <c r="N1775" s="26"/>
      <c r="O1775" s="26"/>
      <c r="P1775" s="27"/>
      <c r="Q1775" s="27"/>
      <c r="R1775" s="27"/>
      <c r="S1775" s="22"/>
      <c r="T1775" s="22"/>
      <c r="U1775" s="28"/>
    </row>
    <row r="1776">
      <c r="A1776" s="189"/>
      <c r="B1776" s="22"/>
      <c r="C1776" s="22"/>
      <c r="D1776" s="22"/>
      <c r="E1776" s="22"/>
      <c r="F1776" s="22"/>
      <c r="G1776" s="22"/>
      <c r="H1776" s="22"/>
      <c r="I1776" s="24"/>
      <c r="J1776" s="24"/>
      <c r="K1776" s="24"/>
      <c r="L1776" s="24"/>
      <c r="M1776" s="26"/>
      <c r="N1776" s="26"/>
      <c r="O1776" s="26"/>
      <c r="P1776" s="27"/>
      <c r="Q1776" s="27"/>
      <c r="R1776" s="27"/>
      <c r="S1776" s="22"/>
      <c r="T1776" s="22"/>
      <c r="U1776" s="28"/>
    </row>
    <row r="1777">
      <c r="A1777" s="189"/>
      <c r="B1777" s="22"/>
      <c r="C1777" s="22"/>
      <c r="D1777" s="22"/>
      <c r="E1777" s="22"/>
      <c r="F1777" s="22"/>
      <c r="G1777" s="22"/>
      <c r="H1777" s="22"/>
      <c r="I1777" s="24"/>
      <c r="J1777" s="24"/>
      <c r="K1777" s="24"/>
      <c r="L1777" s="24"/>
      <c r="M1777" s="26"/>
      <c r="N1777" s="26"/>
      <c r="O1777" s="26"/>
      <c r="P1777" s="27"/>
      <c r="Q1777" s="27"/>
      <c r="R1777" s="27"/>
      <c r="S1777" s="22"/>
      <c r="T1777" s="22"/>
      <c r="U1777" s="28"/>
    </row>
    <row r="1778">
      <c r="A1778" s="189"/>
      <c r="B1778" s="22"/>
      <c r="C1778" s="22"/>
      <c r="D1778" s="22"/>
      <c r="E1778" s="22"/>
      <c r="F1778" s="22"/>
      <c r="G1778" s="22"/>
      <c r="H1778" s="22"/>
      <c r="I1778" s="24"/>
      <c r="J1778" s="24"/>
      <c r="K1778" s="24"/>
      <c r="L1778" s="24"/>
      <c r="M1778" s="26"/>
      <c r="N1778" s="26"/>
      <c r="O1778" s="26"/>
      <c r="P1778" s="27"/>
      <c r="Q1778" s="27"/>
      <c r="R1778" s="27"/>
      <c r="S1778" s="22"/>
      <c r="T1778" s="22"/>
      <c r="U1778" s="28"/>
    </row>
    <row r="1779">
      <c r="A1779" s="189"/>
      <c r="B1779" s="22"/>
      <c r="C1779" s="22"/>
      <c r="D1779" s="22"/>
      <c r="E1779" s="22"/>
      <c r="F1779" s="22"/>
      <c r="G1779" s="22"/>
      <c r="H1779" s="22"/>
      <c r="I1779" s="24"/>
      <c r="J1779" s="24"/>
      <c r="K1779" s="24"/>
      <c r="L1779" s="24"/>
      <c r="M1779" s="26"/>
      <c r="N1779" s="26"/>
      <c r="O1779" s="26"/>
      <c r="P1779" s="27"/>
      <c r="Q1779" s="27"/>
      <c r="R1779" s="27"/>
      <c r="S1779" s="22"/>
      <c r="T1779" s="22"/>
      <c r="U1779" s="28"/>
    </row>
    <row r="1780">
      <c r="A1780" s="189"/>
      <c r="B1780" s="22"/>
      <c r="C1780" s="22"/>
      <c r="D1780" s="22"/>
      <c r="E1780" s="22"/>
      <c r="F1780" s="22"/>
      <c r="G1780" s="22"/>
      <c r="H1780" s="22"/>
      <c r="I1780" s="24"/>
      <c r="J1780" s="24"/>
      <c r="K1780" s="24"/>
      <c r="L1780" s="24"/>
      <c r="M1780" s="26"/>
      <c r="N1780" s="26"/>
      <c r="O1780" s="26"/>
      <c r="P1780" s="27"/>
      <c r="Q1780" s="27"/>
      <c r="R1780" s="27"/>
      <c r="S1780" s="22"/>
      <c r="T1780" s="22"/>
      <c r="U1780" s="28"/>
    </row>
    <row r="1781">
      <c r="A1781" s="189"/>
      <c r="B1781" s="22"/>
      <c r="C1781" s="22"/>
      <c r="D1781" s="22"/>
      <c r="E1781" s="22"/>
      <c r="F1781" s="22"/>
      <c r="G1781" s="22"/>
      <c r="H1781" s="22"/>
      <c r="I1781" s="24"/>
      <c r="J1781" s="24"/>
      <c r="K1781" s="24"/>
      <c r="L1781" s="24"/>
      <c r="M1781" s="26"/>
      <c r="N1781" s="26"/>
      <c r="O1781" s="26"/>
      <c r="P1781" s="27"/>
      <c r="Q1781" s="27"/>
      <c r="R1781" s="27"/>
      <c r="S1781" s="22"/>
      <c r="T1781" s="22"/>
      <c r="U1781" s="28"/>
    </row>
    <row r="1782">
      <c r="A1782" s="189"/>
      <c r="B1782" s="22"/>
      <c r="C1782" s="22"/>
      <c r="D1782" s="22"/>
      <c r="E1782" s="22"/>
      <c r="F1782" s="22"/>
      <c r="G1782" s="22"/>
      <c r="H1782" s="22"/>
      <c r="I1782" s="24"/>
      <c r="J1782" s="24"/>
      <c r="K1782" s="24"/>
      <c r="L1782" s="24"/>
      <c r="M1782" s="26"/>
      <c r="N1782" s="26"/>
      <c r="O1782" s="26"/>
      <c r="P1782" s="27"/>
      <c r="Q1782" s="27"/>
      <c r="R1782" s="27"/>
      <c r="S1782" s="22"/>
      <c r="T1782" s="22"/>
      <c r="U1782" s="28"/>
    </row>
    <row r="1783">
      <c r="A1783" s="189"/>
      <c r="B1783" s="22"/>
      <c r="C1783" s="22"/>
      <c r="D1783" s="22"/>
      <c r="E1783" s="22"/>
      <c r="F1783" s="22"/>
      <c r="G1783" s="22"/>
      <c r="H1783" s="22"/>
      <c r="I1783" s="24"/>
      <c r="J1783" s="24"/>
      <c r="K1783" s="24"/>
      <c r="L1783" s="24"/>
      <c r="M1783" s="26"/>
      <c r="N1783" s="26"/>
      <c r="O1783" s="26"/>
      <c r="P1783" s="27"/>
      <c r="Q1783" s="27"/>
      <c r="R1783" s="27"/>
      <c r="S1783" s="22"/>
      <c r="T1783" s="22"/>
      <c r="U1783" s="28"/>
    </row>
    <row r="1784">
      <c r="A1784" s="189"/>
      <c r="B1784" s="22"/>
      <c r="C1784" s="22"/>
      <c r="D1784" s="22"/>
      <c r="E1784" s="22"/>
      <c r="F1784" s="22"/>
      <c r="G1784" s="22"/>
      <c r="H1784" s="22"/>
      <c r="I1784" s="24"/>
      <c r="J1784" s="24"/>
      <c r="K1784" s="24"/>
      <c r="L1784" s="24"/>
      <c r="M1784" s="26"/>
      <c r="N1784" s="26"/>
      <c r="O1784" s="26"/>
      <c r="P1784" s="27"/>
      <c r="Q1784" s="27"/>
      <c r="R1784" s="27"/>
      <c r="S1784" s="22"/>
      <c r="T1784" s="22"/>
      <c r="U1784" s="28"/>
    </row>
    <row r="1785">
      <c r="A1785" s="189"/>
      <c r="B1785" s="22"/>
      <c r="C1785" s="22"/>
      <c r="D1785" s="22"/>
      <c r="E1785" s="22"/>
      <c r="F1785" s="22"/>
      <c r="G1785" s="22"/>
      <c r="H1785" s="22"/>
      <c r="I1785" s="24"/>
      <c r="J1785" s="24"/>
      <c r="K1785" s="24"/>
      <c r="L1785" s="24"/>
      <c r="M1785" s="26"/>
      <c r="N1785" s="26"/>
      <c r="O1785" s="26"/>
      <c r="P1785" s="27"/>
      <c r="Q1785" s="27"/>
      <c r="R1785" s="27"/>
      <c r="S1785" s="22"/>
      <c r="T1785" s="22"/>
      <c r="U1785" s="28"/>
    </row>
    <row r="1786">
      <c r="A1786" s="189"/>
      <c r="B1786" s="22"/>
      <c r="C1786" s="22"/>
      <c r="D1786" s="22"/>
      <c r="E1786" s="22"/>
      <c r="F1786" s="22"/>
      <c r="G1786" s="22"/>
      <c r="H1786" s="22"/>
      <c r="I1786" s="24"/>
      <c r="J1786" s="24"/>
      <c r="K1786" s="24"/>
      <c r="L1786" s="24"/>
      <c r="M1786" s="26"/>
      <c r="N1786" s="26"/>
      <c r="O1786" s="26"/>
      <c r="P1786" s="27"/>
      <c r="Q1786" s="27"/>
      <c r="R1786" s="27"/>
      <c r="S1786" s="22"/>
      <c r="T1786" s="22"/>
      <c r="U1786" s="28"/>
    </row>
    <row r="1787">
      <c r="A1787" s="189"/>
      <c r="B1787" s="22"/>
      <c r="C1787" s="22"/>
      <c r="D1787" s="22"/>
      <c r="E1787" s="22"/>
      <c r="F1787" s="22"/>
      <c r="G1787" s="22"/>
      <c r="H1787" s="22"/>
      <c r="I1787" s="24"/>
      <c r="J1787" s="24"/>
      <c r="K1787" s="24"/>
      <c r="L1787" s="24"/>
      <c r="M1787" s="26"/>
      <c r="N1787" s="26"/>
      <c r="O1787" s="26"/>
      <c r="P1787" s="27"/>
      <c r="Q1787" s="27"/>
      <c r="R1787" s="27"/>
      <c r="S1787" s="22"/>
      <c r="T1787" s="22"/>
      <c r="U1787" s="28"/>
    </row>
    <row r="1788">
      <c r="A1788" s="189"/>
      <c r="B1788" s="22"/>
      <c r="C1788" s="22"/>
      <c r="D1788" s="22"/>
      <c r="E1788" s="22"/>
      <c r="F1788" s="22"/>
      <c r="G1788" s="22"/>
      <c r="H1788" s="22"/>
      <c r="I1788" s="24"/>
      <c r="J1788" s="24"/>
      <c r="K1788" s="24"/>
      <c r="L1788" s="24"/>
      <c r="M1788" s="26"/>
      <c r="N1788" s="26"/>
      <c r="O1788" s="26"/>
      <c r="P1788" s="27"/>
      <c r="Q1788" s="27"/>
      <c r="R1788" s="27"/>
      <c r="S1788" s="22"/>
      <c r="T1788" s="22"/>
      <c r="U1788" s="28"/>
    </row>
    <row r="1789">
      <c r="A1789" s="189"/>
      <c r="B1789" s="22"/>
      <c r="C1789" s="22"/>
      <c r="D1789" s="22"/>
      <c r="E1789" s="22"/>
      <c r="F1789" s="22"/>
      <c r="G1789" s="22"/>
      <c r="H1789" s="22"/>
      <c r="I1789" s="24"/>
      <c r="J1789" s="24"/>
      <c r="K1789" s="24"/>
      <c r="L1789" s="24"/>
      <c r="M1789" s="26"/>
      <c r="N1789" s="26"/>
      <c r="O1789" s="26"/>
      <c r="P1789" s="27"/>
      <c r="Q1789" s="27"/>
      <c r="R1789" s="27"/>
      <c r="S1789" s="22"/>
      <c r="T1789" s="22"/>
      <c r="U1789" s="28"/>
    </row>
    <row r="1790">
      <c r="A1790" s="189"/>
      <c r="B1790" s="22"/>
      <c r="C1790" s="22"/>
      <c r="D1790" s="22"/>
      <c r="E1790" s="22"/>
      <c r="F1790" s="22"/>
      <c r="G1790" s="22"/>
      <c r="H1790" s="22"/>
      <c r="I1790" s="24"/>
      <c r="J1790" s="24"/>
      <c r="K1790" s="24"/>
      <c r="L1790" s="24"/>
      <c r="M1790" s="26"/>
      <c r="N1790" s="26"/>
      <c r="O1790" s="26"/>
      <c r="P1790" s="27"/>
      <c r="Q1790" s="27"/>
      <c r="R1790" s="27"/>
      <c r="S1790" s="22"/>
      <c r="T1790" s="22"/>
      <c r="U1790" s="28"/>
    </row>
    <row r="1791">
      <c r="A1791" s="189"/>
      <c r="B1791" s="22"/>
      <c r="C1791" s="22"/>
      <c r="D1791" s="22"/>
      <c r="E1791" s="22"/>
      <c r="F1791" s="22"/>
      <c r="G1791" s="22"/>
      <c r="H1791" s="22"/>
      <c r="I1791" s="24"/>
      <c r="J1791" s="24"/>
      <c r="K1791" s="24"/>
      <c r="L1791" s="24"/>
      <c r="M1791" s="26"/>
      <c r="N1791" s="26"/>
      <c r="O1791" s="26"/>
      <c r="P1791" s="27"/>
      <c r="Q1791" s="27"/>
      <c r="R1791" s="27"/>
      <c r="S1791" s="22"/>
      <c r="T1791" s="22"/>
      <c r="U1791" s="28"/>
    </row>
    <row r="1792">
      <c r="A1792" s="189"/>
      <c r="B1792" s="22"/>
      <c r="C1792" s="22"/>
      <c r="D1792" s="22"/>
      <c r="E1792" s="22"/>
      <c r="F1792" s="22"/>
      <c r="G1792" s="22"/>
      <c r="H1792" s="22"/>
      <c r="I1792" s="24"/>
      <c r="J1792" s="24"/>
      <c r="K1792" s="24"/>
      <c r="L1792" s="24"/>
      <c r="M1792" s="26"/>
      <c r="N1792" s="26"/>
      <c r="O1792" s="26"/>
      <c r="P1792" s="27"/>
      <c r="Q1792" s="27"/>
      <c r="R1792" s="27"/>
      <c r="S1792" s="22"/>
      <c r="T1792" s="22"/>
      <c r="U1792" s="28"/>
    </row>
    <row r="1793">
      <c r="A1793" s="189"/>
      <c r="B1793" s="22"/>
      <c r="C1793" s="22"/>
      <c r="D1793" s="22"/>
      <c r="E1793" s="22"/>
      <c r="F1793" s="22"/>
      <c r="G1793" s="22"/>
      <c r="H1793" s="22"/>
      <c r="I1793" s="24"/>
      <c r="J1793" s="24"/>
      <c r="K1793" s="24"/>
      <c r="L1793" s="24"/>
      <c r="M1793" s="26"/>
      <c r="N1793" s="26"/>
      <c r="O1793" s="26"/>
      <c r="P1793" s="27"/>
      <c r="Q1793" s="27"/>
      <c r="R1793" s="27"/>
      <c r="S1793" s="22"/>
      <c r="T1793" s="22"/>
      <c r="U1793" s="28"/>
    </row>
    <row r="1794">
      <c r="A1794" s="189"/>
      <c r="B1794" s="22"/>
      <c r="C1794" s="22"/>
      <c r="D1794" s="22"/>
      <c r="E1794" s="22"/>
      <c r="F1794" s="22"/>
      <c r="G1794" s="22"/>
      <c r="H1794" s="22"/>
      <c r="I1794" s="24"/>
      <c r="J1794" s="24"/>
      <c r="K1794" s="24"/>
      <c r="L1794" s="24"/>
      <c r="M1794" s="26"/>
      <c r="N1794" s="26"/>
      <c r="O1794" s="26"/>
      <c r="P1794" s="27"/>
      <c r="Q1794" s="27"/>
      <c r="R1794" s="27"/>
      <c r="S1794" s="22"/>
      <c r="T1794" s="22"/>
      <c r="U1794" s="28"/>
    </row>
    <row r="1795">
      <c r="A1795" s="189"/>
      <c r="B1795" s="22"/>
      <c r="C1795" s="22"/>
      <c r="D1795" s="22"/>
      <c r="E1795" s="22"/>
      <c r="F1795" s="22"/>
      <c r="G1795" s="22"/>
      <c r="H1795" s="22"/>
      <c r="I1795" s="24"/>
      <c r="J1795" s="24"/>
      <c r="K1795" s="24"/>
      <c r="L1795" s="24"/>
      <c r="M1795" s="26"/>
      <c r="N1795" s="26"/>
      <c r="O1795" s="26"/>
      <c r="P1795" s="27"/>
      <c r="Q1795" s="27"/>
      <c r="R1795" s="27"/>
      <c r="S1795" s="22"/>
      <c r="T1795" s="22"/>
      <c r="U1795" s="28"/>
    </row>
    <row r="1796">
      <c r="A1796" s="189"/>
      <c r="B1796" s="22"/>
      <c r="C1796" s="22"/>
      <c r="D1796" s="22"/>
      <c r="E1796" s="22"/>
      <c r="F1796" s="22"/>
      <c r="G1796" s="22"/>
      <c r="H1796" s="22"/>
      <c r="I1796" s="24"/>
      <c r="J1796" s="24"/>
      <c r="K1796" s="24"/>
      <c r="L1796" s="24"/>
      <c r="M1796" s="26"/>
      <c r="N1796" s="26"/>
      <c r="O1796" s="26"/>
      <c r="P1796" s="27"/>
      <c r="Q1796" s="27"/>
      <c r="R1796" s="27"/>
      <c r="S1796" s="22"/>
      <c r="T1796" s="22"/>
      <c r="U1796" s="28"/>
    </row>
    <row r="1797">
      <c r="A1797" s="189"/>
      <c r="B1797" s="22"/>
      <c r="C1797" s="22"/>
      <c r="D1797" s="22"/>
      <c r="E1797" s="22"/>
      <c r="F1797" s="22"/>
      <c r="G1797" s="22"/>
      <c r="H1797" s="22"/>
      <c r="I1797" s="24"/>
      <c r="J1797" s="24"/>
      <c r="K1797" s="24"/>
      <c r="L1797" s="24"/>
      <c r="M1797" s="26"/>
      <c r="N1797" s="26"/>
      <c r="O1797" s="26"/>
      <c r="P1797" s="27"/>
      <c r="Q1797" s="27"/>
      <c r="R1797" s="27"/>
      <c r="S1797" s="22"/>
      <c r="T1797" s="22"/>
      <c r="U1797" s="28"/>
    </row>
    <row r="1798">
      <c r="A1798" s="189"/>
      <c r="B1798" s="22"/>
      <c r="C1798" s="22"/>
      <c r="D1798" s="22"/>
      <c r="E1798" s="22"/>
      <c r="F1798" s="22"/>
      <c r="G1798" s="22"/>
      <c r="H1798" s="22"/>
      <c r="I1798" s="24"/>
      <c r="J1798" s="24"/>
      <c r="K1798" s="24"/>
      <c r="L1798" s="24"/>
      <c r="M1798" s="26"/>
      <c r="N1798" s="26"/>
      <c r="O1798" s="26"/>
      <c r="P1798" s="27"/>
      <c r="Q1798" s="27"/>
      <c r="R1798" s="27"/>
      <c r="S1798" s="22"/>
      <c r="T1798" s="22"/>
      <c r="U1798" s="28"/>
    </row>
    <row r="1799">
      <c r="A1799" s="189"/>
      <c r="B1799" s="22"/>
      <c r="C1799" s="22"/>
      <c r="D1799" s="22"/>
      <c r="E1799" s="22"/>
      <c r="F1799" s="22"/>
      <c r="G1799" s="22"/>
      <c r="H1799" s="22"/>
      <c r="I1799" s="24"/>
      <c r="J1799" s="24"/>
      <c r="K1799" s="24"/>
      <c r="L1799" s="24"/>
      <c r="M1799" s="26"/>
      <c r="N1799" s="26"/>
      <c r="O1799" s="26"/>
      <c r="P1799" s="27"/>
      <c r="Q1799" s="27"/>
      <c r="R1799" s="27"/>
      <c r="S1799" s="22"/>
      <c r="T1799" s="22"/>
      <c r="U1799" s="28"/>
    </row>
    <row r="1800">
      <c r="A1800" s="189"/>
      <c r="B1800" s="22"/>
      <c r="C1800" s="22"/>
      <c r="D1800" s="22"/>
      <c r="E1800" s="22"/>
      <c r="F1800" s="22"/>
      <c r="G1800" s="22"/>
      <c r="H1800" s="22"/>
      <c r="I1800" s="24"/>
      <c r="J1800" s="24"/>
      <c r="K1800" s="24"/>
      <c r="L1800" s="24"/>
      <c r="M1800" s="26"/>
      <c r="N1800" s="26"/>
      <c r="O1800" s="26"/>
      <c r="P1800" s="27"/>
      <c r="Q1800" s="27"/>
      <c r="R1800" s="27"/>
      <c r="S1800" s="22"/>
      <c r="T1800" s="22"/>
      <c r="U1800" s="28"/>
    </row>
    <row r="1801">
      <c r="A1801" s="189"/>
      <c r="B1801" s="22"/>
      <c r="C1801" s="22"/>
      <c r="D1801" s="22"/>
      <c r="E1801" s="22"/>
      <c r="F1801" s="22"/>
      <c r="G1801" s="22"/>
      <c r="H1801" s="22"/>
      <c r="I1801" s="24"/>
      <c r="J1801" s="24"/>
      <c r="K1801" s="24"/>
      <c r="L1801" s="24"/>
      <c r="M1801" s="26"/>
      <c r="N1801" s="26"/>
      <c r="O1801" s="26"/>
      <c r="P1801" s="27"/>
      <c r="Q1801" s="27"/>
      <c r="R1801" s="27"/>
      <c r="S1801" s="22"/>
      <c r="T1801" s="22"/>
      <c r="U1801" s="28"/>
    </row>
    <row r="1802">
      <c r="A1802" s="189"/>
      <c r="B1802" s="22"/>
      <c r="C1802" s="22"/>
      <c r="D1802" s="22"/>
      <c r="E1802" s="22"/>
      <c r="F1802" s="22"/>
      <c r="G1802" s="22"/>
      <c r="H1802" s="22"/>
      <c r="I1802" s="24"/>
      <c r="J1802" s="24"/>
      <c r="K1802" s="24"/>
      <c r="L1802" s="24"/>
      <c r="M1802" s="26"/>
      <c r="N1802" s="26"/>
      <c r="O1802" s="26"/>
      <c r="P1802" s="27"/>
      <c r="Q1802" s="27"/>
      <c r="R1802" s="27"/>
      <c r="S1802" s="22"/>
      <c r="T1802" s="22"/>
      <c r="U1802" s="28"/>
    </row>
    <row r="1803">
      <c r="A1803" s="189"/>
      <c r="B1803" s="22"/>
      <c r="C1803" s="22"/>
      <c r="D1803" s="22"/>
      <c r="E1803" s="22"/>
      <c r="F1803" s="22"/>
      <c r="G1803" s="22"/>
      <c r="H1803" s="22"/>
      <c r="I1803" s="24"/>
      <c r="J1803" s="24"/>
      <c r="K1803" s="24"/>
      <c r="L1803" s="24"/>
      <c r="M1803" s="26"/>
      <c r="N1803" s="26"/>
      <c r="O1803" s="26"/>
      <c r="P1803" s="27"/>
      <c r="Q1803" s="27"/>
      <c r="R1803" s="27"/>
      <c r="S1803" s="22"/>
      <c r="T1803" s="22"/>
      <c r="U1803" s="28"/>
    </row>
    <row r="1804">
      <c r="A1804" s="189"/>
      <c r="B1804" s="22"/>
      <c r="C1804" s="22"/>
      <c r="D1804" s="22"/>
      <c r="E1804" s="22"/>
      <c r="F1804" s="22"/>
      <c r="G1804" s="22"/>
      <c r="H1804" s="22"/>
      <c r="I1804" s="24"/>
      <c r="J1804" s="24"/>
      <c r="K1804" s="24"/>
      <c r="L1804" s="24"/>
      <c r="M1804" s="26"/>
      <c r="N1804" s="26"/>
      <c r="O1804" s="26"/>
      <c r="P1804" s="27"/>
      <c r="Q1804" s="27"/>
      <c r="R1804" s="27"/>
      <c r="S1804" s="22"/>
      <c r="T1804" s="22"/>
      <c r="U1804" s="28"/>
    </row>
    <row r="1805">
      <c r="A1805" s="189"/>
      <c r="B1805" s="22"/>
      <c r="C1805" s="22"/>
      <c r="D1805" s="22"/>
      <c r="E1805" s="22"/>
      <c r="F1805" s="22"/>
      <c r="G1805" s="22"/>
      <c r="H1805" s="22"/>
      <c r="I1805" s="24"/>
      <c r="J1805" s="24"/>
      <c r="K1805" s="24"/>
      <c r="L1805" s="24"/>
      <c r="M1805" s="26"/>
      <c r="N1805" s="26"/>
      <c r="O1805" s="26"/>
      <c r="P1805" s="27"/>
      <c r="Q1805" s="27"/>
      <c r="R1805" s="27"/>
      <c r="S1805" s="22"/>
      <c r="T1805" s="22"/>
      <c r="U1805" s="28"/>
    </row>
    <row r="1806">
      <c r="A1806" s="189"/>
      <c r="B1806" s="22"/>
      <c r="C1806" s="22"/>
      <c r="D1806" s="22"/>
      <c r="E1806" s="22"/>
      <c r="F1806" s="22"/>
      <c r="G1806" s="22"/>
      <c r="H1806" s="22"/>
      <c r="I1806" s="24"/>
      <c r="J1806" s="24"/>
      <c r="K1806" s="24"/>
      <c r="L1806" s="24"/>
      <c r="M1806" s="26"/>
      <c r="N1806" s="26"/>
      <c r="O1806" s="26"/>
      <c r="P1806" s="27"/>
      <c r="Q1806" s="27"/>
      <c r="R1806" s="27"/>
      <c r="S1806" s="22"/>
      <c r="T1806" s="22"/>
      <c r="U1806" s="28"/>
    </row>
    <row r="1807">
      <c r="A1807" s="189"/>
      <c r="B1807" s="22"/>
      <c r="C1807" s="22"/>
      <c r="D1807" s="22"/>
      <c r="E1807" s="22"/>
      <c r="F1807" s="22"/>
      <c r="G1807" s="22"/>
      <c r="H1807" s="22"/>
      <c r="I1807" s="24"/>
      <c r="J1807" s="24"/>
      <c r="K1807" s="24"/>
      <c r="L1807" s="24"/>
      <c r="M1807" s="26"/>
      <c r="N1807" s="26"/>
      <c r="O1807" s="26"/>
      <c r="P1807" s="27"/>
      <c r="Q1807" s="27"/>
      <c r="R1807" s="27"/>
      <c r="S1807" s="22"/>
      <c r="T1807" s="22"/>
      <c r="U1807" s="28"/>
    </row>
    <row r="1808">
      <c r="A1808" s="189"/>
      <c r="B1808" s="22"/>
      <c r="C1808" s="22"/>
      <c r="D1808" s="22"/>
      <c r="E1808" s="22"/>
      <c r="F1808" s="22"/>
      <c r="G1808" s="22"/>
      <c r="H1808" s="22"/>
      <c r="I1808" s="24"/>
      <c r="J1808" s="24"/>
      <c r="K1808" s="24"/>
      <c r="L1808" s="24"/>
      <c r="M1808" s="26"/>
      <c r="N1808" s="26"/>
      <c r="O1808" s="26"/>
      <c r="P1808" s="27"/>
      <c r="Q1808" s="27"/>
      <c r="R1808" s="27"/>
      <c r="S1808" s="22"/>
      <c r="T1808" s="22"/>
      <c r="U1808" s="28"/>
    </row>
    <row r="1809">
      <c r="A1809" s="189"/>
      <c r="B1809" s="22"/>
      <c r="C1809" s="22"/>
      <c r="D1809" s="22"/>
      <c r="E1809" s="22"/>
      <c r="F1809" s="22"/>
      <c r="G1809" s="22"/>
      <c r="H1809" s="22"/>
      <c r="I1809" s="24"/>
      <c r="J1809" s="24"/>
      <c r="K1809" s="24"/>
      <c r="L1809" s="24"/>
      <c r="M1809" s="26"/>
      <c r="N1809" s="26"/>
      <c r="O1809" s="26"/>
      <c r="P1809" s="27"/>
      <c r="Q1809" s="27"/>
      <c r="R1809" s="27"/>
      <c r="S1809" s="22"/>
      <c r="T1809" s="22"/>
      <c r="U1809" s="28"/>
    </row>
    <row r="1810">
      <c r="A1810" s="189"/>
      <c r="B1810" s="22"/>
      <c r="C1810" s="22"/>
      <c r="D1810" s="22"/>
      <c r="E1810" s="22"/>
      <c r="F1810" s="22"/>
      <c r="G1810" s="22"/>
      <c r="H1810" s="22"/>
      <c r="I1810" s="24"/>
      <c r="J1810" s="24"/>
      <c r="K1810" s="24"/>
      <c r="L1810" s="24"/>
      <c r="M1810" s="26"/>
      <c r="N1810" s="26"/>
      <c r="O1810" s="26"/>
      <c r="P1810" s="27"/>
      <c r="Q1810" s="27"/>
      <c r="R1810" s="27"/>
      <c r="S1810" s="22"/>
      <c r="T1810" s="22"/>
      <c r="U1810" s="28"/>
    </row>
    <row r="1811">
      <c r="A1811" s="189"/>
      <c r="B1811" s="22"/>
      <c r="C1811" s="22"/>
      <c r="D1811" s="22"/>
      <c r="E1811" s="22"/>
      <c r="F1811" s="22"/>
      <c r="G1811" s="22"/>
      <c r="H1811" s="22"/>
      <c r="I1811" s="24"/>
      <c r="J1811" s="24"/>
      <c r="K1811" s="24"/>
      <c r="L1811" s="24"/>
      <c r="M1811" s="26"/>
      <c r="N1811" s="26"/>
      <c r="O1811" s="26"/>
      <c r="P1811" s="27"/>
      <c r="Q1811" s="27"/>
      <c r="R1811" s="27"/>
      <c r="S1811" s="22"/>
      <c r="T1811" s="22"/>
      <c r="U1811" s="28"/>
    </row>
    <row r="1812">
      <c r="A1812" s="189"/>
      <c r="B1812" s="22"/>
      <c r="C1812" s="22"/>
      <c r="D1812" s="22"/>
      <c r="E1812" s="22"/>
      <c r="F1812" s="22"/>
      <c r="G1812" s="22"/>
      <c r="H1812" s="22"/>
      <c r="I1812" s="24"/>
      <c r="J1812" s="24"/>
      <c r="K1812" s="24"/>
      <c r="L1812" s="24"/>
      <c r="M1812" s="26"/>
      <c r="N1812" s="26"/>
      <c r="O1812" s="26"/>
      <c r="P1812" s="27"/>
      <c r="Q1812" s="27"/>
      <c r="R1812" s="27"/>
      <c r="S1812" s="22"/>
      <c r="T1812" s="22"/>
      <c r="U1812" s="28"/>
    </row>
    <row r="1813">
      <c r="A1813" s="189"/>
      <c r="B1813" s="22"/>
      <c r="C1813" s="22"/>
      <c r="D1813" s="22"/>
      <c r="E1813" s="22"/>
      <c r="F1813" s="22"/>
      <c r="G1813" s="22"/>
      <c r="H1813" s="22"/>
      <c r="I1813" s="24"/>
      <c r="J1813" s="24"/>
      <c r="K1813" s="24"/>
      <c r="L1813" s="24"/>
      <c r="M1813" s="26"/>
      <c r="N1813" s="26"/>
      <c r="O1813" s="26"/>
      <c r="P1813" s="27"/>
      <c r="Q1813" s="27"/>
      <c r="R1813" s="27"/>
      <c r="S1813" s="22"/>
      <c r="T1813" s="22"/>
      <c r="U1813" s="28"/>
    </row>
    <row r="1814">
      <c r="A1814" s="189"/>
      <c r="B1814" s="22"/>
      <c r="C1814" s="22"/>
      <c r="D1814" s="22"/>
      <c r="E1814" s="22"/>
      <c r="F1814" s="22"/>
      <c r="G1814" s="22"/>
      <c r="H1814" s="22"/>
      <c r="I1814" s="24"/>
      <c r="J1814" s="24"/>
      <c r="K1814" s="24"/>
      <c r="L1814" s="24"/>
      <c r="M1814" s="26"/>
      <c r="N1814" s="26"/>
      <c r="O1814" s="26"/>
      <c r="P1814" s="27"/>
      <c r="Q1814" s="27"/>
      <c r="R1814" s="27"/>
      <c r="S1814" s="22"/>
      <c r="T1814" s="22"/>
      <c r="U1814" s="28"/>
    </row>
    <row r="1815">
      <c r="A1815" s="189"/>
      <c r="B1815" s="22"/>
      <c r="C1815" s="22"/>
      <c r="D1815" s="22"/>
      <c r="E1815" s="22"/>
      <c r="F1815" s="22"/>
      <c r="G1815" s="22"/>
      <c r="H1815" s="22"/>
      <c r="I1815" s="24"/>
      <c r="J1815" s="24"/>
      <c r="K1815" s="24"/>
      <c r="L1815" s="24"/>
      <c r="M1815" s="26"/>
      <c r="N1815" s="26"/>
      <c r="O1815" s="26"/>
      <c r="P1815" s="27"/>
      <c r="Q1815" s="27"/>
      <c r="R1815" s="27"/>
      <c r="S1815" s="22"/>
      <c r="T1815" s="22"/>
      <c r="U1815" s="28"/>
    </row>
    <row r="1816">
      <c r="A1816" s="189"/>
      <c r="B1816" s="22"/>
      <c r="C1816" s="22"/>
      <c r="D1816" s="22"/>
      <c r="E1816" s="22"/>
      <c r="F1816" s="22"/>
      <c r="G1816" s="22"/>
      <c r="H1816" s="22"/>
      <c r="I1816" s="24"/>
      <c r="J1816" s="24"/>
      <c r="K1816" s="24"/>
      <c r="L1816" s="24"/>
      <c r="M1816" s="26"/>
      <c r="N1816" s="26"/>
      <c r="O1816" s="26"/>
      <c r="P1816" s="27"/>
      <c r="Q1816" s="27"/>
      <c r="R1816" s="27"/>
      <c r="S1816" s="22"/>
      <c r="T1816" s="22"/>
      <c r="U1816" s="28"/>
    </row>
    <row r="1817">
      <c r="A1817" s="189"/>
      <c r="B1817" s="22"/>
      <c r="C1817" s="22"/>
      <c r="D1817" s="22"/>
      <c r="E1817" s="22"/>
      <c r="F1817" s="22"/>
      <c r="G1817" s="22"/>
      <c r="H1817" s="22"/>
      <c r="I1817" s="24"/>
      <c r="J1817" s="24"/>
      <c r="K1817" s="24"/>
      <c r="L1817" s="24"/>
      <c r="M1817" s="26"/>
      <c r="N1817" s="26"/>
      <c r="O1817" s="26"/>
      <c r="P1817" s="27"/>
      <c r="Q1817" s="27"/>
      <c r="R1817" s="27"/>
      <c r="S1817" s="22"/>
      <c r="T1817" s="22"/>
      <c r="U1817" s="28"/>
    </row>
    <row r="1818">
      <c r="A1818" s="189"/>
      <c r="B1818" s="22"/>
      <c r="C1818" s="22"/>
      <c r="D1818" s="22"/>
      <c r="E1818" s="22"/>
      <c r="F1818" s="22"/>
      <c r="G1818" s="22"/>
      <c r="H1818" s="22"/>
      <c r="I1818" s="24"/>
      <c r="J1818" s="24"/>
      <c r="K1818" s="24"/>
      <c r="L1818" s="24"/>
      <c r="M1818" s="26"/>
      <c r="N1818" s="26"/>
      <c r="O1818" s="26"/>
      <c r="P1818" s="27"/>
      <c r="Q1818" s="27"/>
      <c r="R1818" s="27"/>
      <c r="S1818" s="22"/>
      <c r="T1818" s="22"/>
      <c r="U1818" s="28"/>
    </row>
    <row r="1819">
      <c r="A1819" s="189"/>
      <c r="B1819" s="22"/>
      <c r="C1819" s="22"/>
      <c r="D1819" s="22"/>
      <c r="E1819" s="22"/>
      <c r="F1819" s="22"/>
      <c r="G1819" s="22"/>
      <c r="H1819" s="22"/>
      <c r="I1819" s="24"/>
      <c r="J1819" s="24"/>
      <c r="K1819" s="24"/>
      <c r="L1819" s="24"/>
      <c r="M1819" s="26"/>
      <c r="N1819" s="26"/>
      <c r="O1819" s="26"/>
      <c r="P1819" s="27"/>
      <c r="Q1819" s="27"/>
      <c r="R1819" s="27"/>
      <c r="S1819" s="22"/>
      <c r="T1819" s="22"/>
      <c r="U1819" s="28"/>
    </row>
    <row r="1820">
      <c r="A1820" s="189"/>
      <c r="B1820" s="22"/>
      <c r="C1820" s="22"/>
      <c r="D1820" s="22"/>
      <c r="E1820" s="22"/>
      <c r="F1820" s="22"/>
      <c r="G1820" s="22"/>
      <c r="H1820" s="22"/>
      <c r="I1820" s="24"/>
      <c r="J1820" s="24"/>
      <c r="K1820" s="24"/>
      <c r="L1820" s="24"/>
      <c r="M1820" s="26"/>
      <c r="N1820" s="26"/>
      <c r="O1820" s="26"/>
      <c r="P1820" s="27"/>
      <c r="Q1820" s="27"/>
      <c r="R1820" s="27"/>
      <c r="S1820" s="22"/>
      <c r="T1820" s="22"/>
      <c r="U1820" s="28"/>
    </row>
    <row r="1821">
      <c r="A1821" s="189"/>
      <c r="B1821" s="22"/>
      <c r="C1821" s="22"/>
      <c r="D1821" s="22"/>
      <c r="E1821" s="22"/>
      <c r="F1821" s="22"/>
      <c r="G1821" s="22"/>
      <c r="H1821" s="22"/>
      <c r="I1821" s="24"/>
      <c r="J1821" s="24"/>
      <c r="K1821" s="24"/>
      <c r="L1821" s="24"/>
      <c r="M1821" s="26"/>
      <c r="N1821" s="26"/>
      <c r="O1821" s="26"/>
      <c r="P1821" s="27"/>
      <c r="Q1821" s="27"/>
      <c r="R1821" s="27"/>
      <c r="S1821" s="22"/>
      <c r="T1821" s="22"/>
      <c r="U1821" s="28"/>
    </row>
    <row r="1822">
      <c r="A1822" s="189"/>
      <c r="B1822" s="22"/>
      <c r="C1822" s="22"/>
      <c r="D1822" s="22"/>
      <c r="E1822" s="22"/>
      <c r="F1822" s="22"/>
      <c r="G1822" s="22"/>
      <c r="H1822" s="22"/>
      <c r="I1822" s="24"/>
      <c r="J1822" s="24"/>
      <c r="K1822" s="24"/>
      <c r="L1822" s="24"/>
      <c r="M1822" s="26"/>
      <c r="N1822" s="26"/>
      <c r="O1822" s="26"/>
      <c r="P1822" s="27"/>
      <c r="Q1822" s="27"/>
      <c r="R1822" s="27"/>
      <c r="S1822" s="22"/>
      <c r="T1822" s="22"/>
      <c r="U1822" s="28"/>
    </row>
    <row r="1823">
      <c r="A1823" s="189"/>
      <c r="B1823" s="22"/>
      <c r="C1823" s="22"/>
      <c r="D1823" s="22"/>
      <c r="E1823" s="22"/>
      <c r="F1823" s="22"/>
      <c r="G1823" s="22"/>
      <c r="H1823" s="22"/>
      <c r="I1823" s="24"/>
      <c r="J1823" s="24"/>
      <c r="K1823" s="24"/>
      <c r="L1823" s="24"/>
      <c r="M1823" s="26"/>
      <c r="N1823" s="26"/>
      <c r="O1823" s="26"/>
      <c r="P1823" s="27"/>
      <c r="Q1823" s="27"/>
      <c r="R1823" s="27"/>
      <c r="S1823" s="22"/>
      <c r="T1823" s="22"/>
      <c r="U1823" s="28"/>
    </row>
    <row r="1824">
      <c r="A1824" s="189"/>
      <c r="B1824" s="22"/>
      <c r="C1824" s="22"/>
      <c r="D1824" s="22"/>
      <c r="E1824" s="22"/>
      <c r="F1824" s="22"/>
      <c r="G1824" s="22"/>
      <c r="H1824" s="22"/>
      <c r="I1824" s="24"/>
      <c r="J1824" s="24"/>
      <c r="K1824" s="24"/>
      <c r="L1824" s="24"/>
      <c r="M1824" s="26"/>
      <c r="N1824" s="26"/>
      <c r="O1824" s="26"/>
      <c r="P1824" s="27"/>
      <c r="Q1824" s="27"/>
      <c r="R1824" s="27"/>
      <c r="S1824" s="22"/>
      <c r="T1824" s="22"/>
      <c r="U1824" s="28"/>
    </row>
    <row r="1825">
      <c r="A1825" s="189"/>
      <c r="B1825" s="22"/>
      <c r="C1825" s="22"/>
      <c r="D1825" s="22"/>
      <c r="E1825" s="22"/>
      <c r="F1825" s="22"/>
      <c r="G1825" s="22"/>
      <c r="H1825" s="22"/>
      <c r="I1825" s="24"/>
      <c r="J1825" s="24"/>
      <c r="K1825" s="24"/>
      <c r="L1825" s="24"/>
      <c r="M1825" s="26"/>
      <c r="N1825" s="26"/>
      <c r="O1825" s="26"/>
      <c r="P1825" s="27"/>
      <c r="Q1825" s="27"/>
      <c r="R1825" s="27"/>
      <c r="S1825" s="22"/>
      <c r="T1825" s="22"/>
      <c r="U1825" s="28"/>
    </row>
    <row r="1826">
      <c r="A1826" s="189"/>
      <c r="B1826" s="22"/>
      <c r="C1826" s="22"/>
      <c r="D1826" s="22"/>
      <c r="E1826" s="22"/>
      <c r="F1826" s="22"/>
      <c r="G1826" s="22"/>
      <c r="H1826" s="22"/>
      <c r="I1826" s="24"/>
      <c r="J1826" s="24"/>
      <c r="K1826" s="24"/>
      <c r="L1826" s="24"/>
      <c r="M1826" s="26"/>
      <c r="N1826" s="26"/>
      <c r="O1826" s="26"/>
      <c r="P1826" s="27"/>
      <c r="Q1826" s="27"/>
      <c r="R1826" s="27"/>
      <c r="S1826" s="22"/>
      <c r="T1826" s="22"/>
      <c r="U1826" s="28"/>
    </row>
    <row r="1827">
      <c r="A1827" s="189"/>
      <c r="B1827" s="22"/>
      <c r="C1827" s="22"/>
      <c r="D1827" s="22"/>
      <c r="E1827" s="22"/>
      <c r="F1827" s="22"/>
      <c r="G1827" s="22"/>
      <c r="H1827" s="22"/>
      <c r="I1827" s="24"/>
      <c r="J1827" s="24"/>
      <c r="K1827" s="24"/>
      <c r="L1827" s="24"/>
      <c r="M1827" s="26"/>
      <c r="N1827" s="26"/>
      <c r="O1827" s="26"/>
      <c r="P1827" s="27"/>
      <c r="Q1827" s="27"/>
      <c r="R1827" s="27"/>
      <c r="S1827" s="22"/>
      <c r="T1827" s="22"/>
      <c r="U1827" s="28"/>
    </row>
    <row r="1828">
      <c r="A1828" s="189"/>
      <c r="B1828" s="22"/>
      <c r="C1828" s="22"/>
      <c r="D1828" s="22"/>
      <c r="E1828" s="22"/>
      <c r="F1828" s="22"/>
      <c r="G1828" s="22"/>
      <c r="H1828" s="22"/>
      <c r="I1828" s="24"/>
      <c r="J1828" s="24"/>
      <c r="K1828" s="24"/>
      <c r="L1828" s="24"/>
      <c r="M1828" s="26"/>
      <c r="N1828" s="26"/>
      <c r="O1828" s="26"/>
      <c r="P1828" s="27"/>
      <c r="Q1828" s="27"/>
      <c r="R1828" s="27"/>
      <c r="S1828" s="22"/>
      <c r="T1828" s="22"/>
      <c r="U1828" s="28"/>
    </row>
    <row r="1829">
      <c r="A1829" s="189"/>
      <c r="B1829" s="22"/>
      <c r="C1829" s="22"/>
      <c r="D1829" s="22"/>
      <c r="E1829" s="22"/>
      <c r="F1829" s="22"/>
      <c r="G1829" s="22"/>
      <c r="H1829" s="22"/>
      <c r="I1829" s="24"/>
      <c r="J1829" s="24"/>
      <c r="K1829" s="24"/>
      <c r="L1829" s="24"/>
      <c r="M1829" s="26"/>
      <c r="N1829" s="26"/>
      <c r="O1829" s="26"/>
      <c r="P1829" s="27"/>
      <c r="Q1829" s="27"/>
      <c r="R1829" s="27"/>
      <c r="S1829" s="22"/>
      <c r="T1829" s="22"/>
      <c r="U1829" s="28"/>
    </row>
    <row r="1830">
      <c r="A1830" s="189"/>
      <c r="B1830" s="22"/>
      <c r="C1830" s="22"/>
      <c r="D1830" s="22"/>
      <c r="E1830" s="22"/>
      <c r="F1830" s="22"/>
      <c r="G1830" s="22"/>
      <c r="H1830" s="22"/>
      <c r="I1830" s="24"/>
      <c r="J1830" s="24"/>
      <c r="K1830" s="24"/>
      <c r="L1830" s="24"/>
      <c r="M1830" s="26"/>
      <c r="N1830" s="26"/>
      <c r="O1830" s="26"/>
      <c r="P1830" s="27"/>
      <c r="Q1830" s="27"/>
      <c r="R1830" s="27"/>
      <c r="S1830" s="22"/>
      <c r="T1830" s="22"/>
      <c r="U1830" s="28"/>
    </row>
    <row r="1831">
      <c r="A1831" s="189"/>
      <c r="B1831" s="22"/>
      <c r="C1831" s="22"/>
      <c r="D1831" s="22"/>
      <c r="E1831" s="22"/>
      <c r="F1831" s="22"/>
      <c r="G1831" s="22"/>
      <c r="H1831" s="22"/>
      <c r="I1831" s="24"/>
      <c r="J1831" s="24"/>
      <c r="K1831" s="24"/>
      <c r="L1831" s="24"/>
      <c r="M1831" s="26"/>
      <c r="N1831" s="26"/>
      <c r="O1831" s="26"/>
      <c r="P1831" s="27"/>
      <c r="Q1831" s="27"/>
      <c r="R1831" s="27"/>
      <c r="S1831" s="22"/>
      <c r="T1831" s="22"/>
      <c r="U1831" s="28"/>
    </row>
    <row r="1832">
      <c r="A1832" s="189"/>
      <c r="B1832" s="22"/>
      <c r="C1832" s="22"/>
      <c r="D1832" s="22"/>
      <c r="E1832" s="22"/>
      <c r="F1832" s="22"/>
      <c r="G1832" s="22"/>
      <c r="H1832" s="22"/>
      <c r="I1832" s="24"/>
      <c r="J1832" s="24"/>
      <c r="K1832" s="24"/>
      <c r="L1832" s="24"/>
      <c r="M1832" s="26"/>
      <c r="N1832" s="26"/>
      <c r="O1832" s="26"/>
      <c r="P1832" s="27"/>
      <c r="Q1832" s="27"/>
      <c r="R1832" s="27"/>
      <c r="S1832" s="22"/>
      <c r="T1832" s="22"/>
      <c r="U1832" s="28"/>
    </row>
    <row r="1833">
      <c r="A1833" s="189"/>
      <c r="B1833" s="22"/>
      <c r="C1833" s="22"/>
      <c r="D1833" s="22"/>
      <c r="E1833" s="22"/>
      <c r="F1833" s="22"/>
      <c r="G1833" s="22"/>
      <c r="H1833" s="22"/>
      <c r="I1833" s="24"/>
      <c r="J1833" s="24"/>
      <c r="K1833" s="24"/>
      <c r="L1833" s="24"/>
      <c r="M1833" s="26"/>
      <c r="N1833" s="26"/>
      <c r="O1833" s="26"/>
      <c r="P1833" s="27"/>
      <c r="Q1833" s="27"/>
      <c r="R1833" s="27"/>
      <c r="S1833" s="22"/>
      <c r="T1833" s="22"/>
      <c r="U1833" s="28"/>
    </row>
    <row r="1834">
      <c r="A1834" s="189"/>
      <c r="B1834" s="22"/>
      <c r="C1834" s="22"/>
      <c r="D1834" s="22"/>
      <c r="E1834" s="22"/>
      <c r="F1834" s="22"/>
      <c r="G1834" s="22"/>
      <c r="H1834" s="22"/>
      <c r="I1834" s="24"/>
      <c r="J1834" s="24"/>
      <c r="K1834" s="24"/>
      <c r="L1834" s="24"/>
      <c r="M1834" s="26"/>
      <c r="N1834" s="26"/>
      <c r="O1834" s="26"/>
      <c r="P1834" s="27"/>
      <c r="Q1834" s="27"/>
      <c r="R1834" s="27"/>
      <c r="S1834" s="22"/>
      <c r="T1834" s="22"/>
      <c r="U1834" s="28"/>
    </row>
    <row r="1835">
      <c r="A1835" s="189"/>
      <c r="B1835" s="22"/>
      <c r="C1835" s="22"/>
      <c r="D1835" s="22"/>
      <c r="E1835" s="22"/>
      <c r="F1835" s="22"/>
      <c r="G1835" s="22"/>
      <c r="H1835" s="22"/>
      <c r="I1835" s="24"/>
      <c r="J1835" s="24"/>
      <c r="K1835" s="24"/>
      <c r="L1835" s="24"/>
      <c r="M1835" s="26"/>
      <c r="N1835" s="26"/>
      <c r="O1835" s="26"/>
      <c r="P1835" s="27"/>
      <c r="Q1835" s="27"/>
      <c r="R1835" s="27"/>
      <c r="S1835" s="22"/>
      <c r="T1835" s="22"/>
      <c r="U1835" s="28"/>
    </row>
    <row r="1836">
      <c r="A1836" s="189"/>
      <c r="B1836" s="22"/>
      <c r="C1836" s="22"/>
      <c r="D1836" s="22"/>
      <c r="E1836" s="22"/>
      <c r="F1836" s="22"/>
      <c r="G1836" s="22"/>
      <c r="H1836" s="22"/>
      <c r="I1836" s="24"/>
      <c r="J1836" s="24"/>
      <c r="K1836" s="24"/>
      <c r="L1836" s="24"/>
      <c r="M1836" s="26"/>
      <c r="N1836" s="26"/>
      <c r="O1836" s="26"/>
      <c r="P1836" s="27"/>
      <c r="Q1836" s="27"/>
      <c r="R1836" s="27"/>
      <c r="S1836" s="22"/>
      <c r="T1836" s="22"/>
      <c r="U1836" s="28"/>
    </row>
    <row r="1837">
      <c r="A1837" s="189"/>
      <c r="B1837" s="22"/>
      <c r="C1837" s="22"/>
      <c r="D1837" s="22"/>
      <c r="E1837" s="22"/>
      <c r="F1837" s="22"/>
      <c r="G1837" s="22"/>
      <c r="H1837" s="22"/>
      <c r="I1837" s="24"/>
      <c r="J1837" s="24"/>
      <c r="K1837" s="24"/>
      <c r="L1837" s="24"/>
      <c r="M1837" s="26"/>
      <c r="N1837" s="26"/>
      <c r="O1837" s="26"/>
      <c r="P1837" s="27"/>
      <c r="Q1837" s="27"/>
      <c r="R1837" s="27"/>
      <c r="S1837" s="22"/>
      <c r="T1837" s="22"/>
      <c r="U1837" s="28"/>
    </row>
    <row r="1838">
      <c r="A1838" s="189"/>
      <c r="B1838" s="22"/>
      <c r="C1838" s="22"/>
      <c r="D1838" s="22"/>
      <c r="E1838" s="22"/>
      <c r="F1838" s="22"/>
      <c r="G1838" s="22"/>
      <c r="H1838" s="22"/>
      <c r="I1838" s="24"/>
      <c r="J1838" s="24"/>
      <c r="K1838" s="24"/>
      <c r="L1838" s="24"/>
      <c r="M1838" s="26"/>
      <c r="N1838" s="26"/>
      <c r="O1838" s="26"/>
      <c r="P1838" s="27"/>
      <c r="Q1838" s="27"/>
      <c r="R1838" s="27"/>
      <c r="S1838" s="22"/>
      <c r="T1838" s="22"/>
      <c r="U1838" s="28"/>
    </row>
    <row r="1839">
      <c r="A1839" s="189"/>
      <c r="B1839" s="22"/>
      <c r="C1839" s="22"/>
      <c r="D1839" s="22"/>
      <c r="E1839" s="22"/>
      <c r="F1839" s="22"/>
      <c r="G1839" s="22"/>
      <c r="H1839" s="22"/>
      <c r="I1839" s="24"/>
      <c r="J1839" s="24"/>
      <c r="K1839" s="24"/>
      <c r="L1839" s="24"/>
      <c r="M1839" s="26"/>
      <c r="N1839" s="26"/>
      <c r="O1839" s="26"/>
      <c r="P1839" s="27"/>
      <c r="Q1839" s="27"/>
      <c r="R1839" s="27"/>
      <c r="S1839" s="22"/>
      <c r="T1839" s="22"/>
      <c r="U1839" s="28"/>
    </row>
    <row r="1840">
      <c r="A1840" s="189"/>
      <c r="B1840" s="22"/>
      <c r="C1840" s="22"/>
      <c r="D1840" s="22"/>
      <c r="E1840" s="22"/>
      <c r="F1840" s="22"/>
      <c r="G1840" s="22"/>
      <c r="H1840" s="22"/>
      <c r="I1840" s="24"/>
      <c r="J1840" s="24"/>
      <c r="K1840" s="24"/>
      <c r="L1840" s="24"/>
      <c r="M1840" s="26"/>
      <c r="N1840" s="26"/>
      <c r="O1840" s="26"/>
      <c r="P1840" s="27"/>
      <c r="Q1840" s="27"/>
      <c r="R1840" s="27"/>
      <c r="S1840" s="22"/>
      <c r="T1840" s="22"/>
      <c r="U1840" s="28"/>
    </row>
    <row r="1841">
      <c r="A1841" s="189"/>
      <c r="B1841" s="22"/>
      <c r="C1841" s="22"/>
      <c r="D1841" s="22"/>
      <c r="E1841" s="22"/>
      <c r="F1841" s="22"/>
      <c r="G1841" s="22"/>
      <c r="H1841" s="22"/>
      <c r="I1841" s="24"/>
      <c r="J1841" s="24"/>
      <c r="K1841" s="24"/>
      <c r="L1841" s="24"/>
      <c r="M1841" s="26"/>
      <c r="N1841" s="26"/>
      <c r="O1841" s="26"/>
      <c r="P1841" s="27"/>
      <c r="Q1841" s="27"/>
      <c r="R1841" s="27"/>
      <c r="S1841" s="22"/>
      <c r="T1841" s="22"/>
      <c r="U1841" s="28"/>
    </row>
    <row r="1842">
      <c r="A1842" s="189"/>
      <c r="B1842" s="22"/>
      <c r="C1842" s="22"/>
      <c r="D1842" s="22"/>
      <c r="E1842" s="22"/>
      <c r="F1842" s="22"/>
      <c r="G1842" s="22"/>
      <c r="H1842" s="22"/>
      <c r="I1842" s="24"/>
      <c r="J1842" s="24"/>
      <c r="K1842" s="24"/>
      <c r="L1842" s="24"/>
      <c r="M1842" s="26"/>
      <c r="N1842" s="26"/>
      <c r="O1842" s="26"/>
      <c r="P1842" s="27"/>
      <c r="Q1842" s="27"/>
      <c r="R1842" s="27"/>
      <c r="S1842" s="22"/>
      <c r="T1842" s="22"/>
      <c r="U1842" s="28"/>
    </row>
    <row r="1843">
      <c r="A1843" s="189"/>
      <c r="B1843" s="22"/>
      <c r="C1843" s="22"/>
      <c r="D1843" s="22"/>
      <c r="E1843" s="22"/>
      <c r="F1843" s="22"/>
      <c r="G1843" s="22"/>
      <c r="H1843" s="22"/>
      <c r="I1843" s="24"/>
      <c r="J1843" s="24"/>
      <c r="K1843" s="24"/>
      <c r="L1843" s="24"/>
      <c r="M1843" s="26"/>
      <c r="N1843" s="26"/>
      <c r="O1843" s="26"/>
      <c r="P1843" s="27"/>
      <c r="Q1843" s="27"/>
      <c r="R1843" s="27"/>
      <c r="S1843" s="22"/>
      <c r="T1843" s="22"/>
      <c r="U1843" s="28"/>
    </row>
    <row r="1844">
      <c r="A1844" s="189"/>
      <c r="B1844" s="22"/>
      <c r="C1844" s="22"/>
      <c r="D1844" s="22"/>
      <c r="E1844" s="22"/>
      <c r="F1844" s="22"/>
      <c r="G1844" s="22"/>
      <c r="H1844" s="22"/>
      <c r="I1844" s="24"/>
      <c r="J1844" s="24"/>
      <c r="K1844" s="24"/>
      <c r="L1844" s="24"/>
      <c r="M1844" s="26"/>
      <c r="N1844" s="26"/>
      <c r="O1844" s="26"/>
      <c r="P1844" s="27"/>
      <c r="Q1844" s="27"/>
      <c r="R1844" s="27"/>
      <c r="S1844" s="22"/>
      <c r="T1844" s="22"/>
      <c r="U1844" s="28"/>
    </row>
    <row r="1845">
      <c r="A1845" s="189"/>
      <c r="B1845" s="22"/>
      <c r="C1845" s="22"/>
      <c r="D1845" s="22"/>
      <c r="E1845" s="22"/>
      <c r="F1845" s="22"/>
      <c r="G1845" s="22"/>
      <c r="H1845" s="22"/>
      <c r="I1845" s="24"/>
      <c r="J1845" s="24"/>
      <c r="K1845" s="24"/>
      <c r="L1845" s="24"/>
      <c r="M1845" s="26"/>
      <c r="N1845" s="26"/>
      <c r="O1845" s="26"/>
      <c r="P1845" s="27"/>
      <c r="Q1845" s="27"/>
      <c r="R1845" s="27"/>
      <c r="S1845" s="22"/>
      <c r="T1845" s="22"/>
      <c r="U1845" s="28"/>
    </row>
    <row r="1846">
      <c r="A1846" s="189"/>
      <c r="B1846" s="22"/>
      <c r="C1846" s="22"/>
      <c r="D1846" s="22"/>
      <c r="E1846" s="22"/>
      <c r="F1846" s="22"/>
      <c r="G1846" s="22"/>
      <c r="H1846" s="22"/>
      <c r="I1846" s="24"/>
      <c r="J1846" s="24"/>
      <c r="K1846" s="24"/>
      <c r="L1846" s="24"/>
      <c r="M1846" s="26"/>
      <c r="N1846" s="26"/>
      <c r="O1846" s="26"/>
      <c r="P1846" s="27"/>
      <c r="Q1846" s="27"/>
      <c r="R1846" s="27"/>
      <c r="S1846" s="22"/>
      <c r="T1846" s="22"/>
      <c r="U1846" s="28"/>
    </row>
    <row r="1847">
      <c r="A1847" s="189"/>
      <c r="B1847" s="22"/>
      <c r="C1847" s="22"/>
      <c r="D1847" s="22"/>
      <c r="E1847" s="22"/>
      <c r="F1847" s="22"/>
      <c r="G1847" s="22"/>
      <c r="H1847" s="22"/>
      <c r="I1847" s="24"/>
      <c r="J1847" s="24"/>
      <c r="K1847" s="24"/>
      <c r="L1847" s="24"/>
      <c r="M1847" s="26"/>
      <c r="N1847" s="26"/>
      <c r="O1847" s="26"/>
      <c r="P1847" s="27"/>
      <c r="Q1847" s="27"/>
      <c r="R1847" s="27"/>
      <c r="S1847" s="22"/>
      <c r="T1847" s="22"/>
      <c r="U1847" s="28"/>
    </row>
    <row r="1848">
      <c r="A1848" s="189"/>
      <c r="B1848" s="22"/>
      <c r="C1848" s="22"/>
      <c r="D1848" s="22"/>
      <c r="E1848" s="22"/>
      <c r="F1848" s="22"/>
      <c r="G1848" s="22"/>
      <c r="H1848" s="22"/>
      <c r="I1848" s="24"/>
      <c r="J1848" s="24"/>
      <c r="K1848" s="24"/>
      <c r="L1848" s="24"/>
      <c r="M1848" s="26"/>
      <c r="N1848" s="26"/>
      <c r="O1848" s="26"/>
      <c r="P1848" s="27"/>
      <c r="Q1848" s="27"/>
      <c r="R1848" s="27"/>
      <c r="S1848" s="22"/>
      <c r="T1848" s="22"/>
      <c r="U1848" s="28"/>
    </row>
    <row r="1849">
      <c r="A1849" s="189"/>
      <c r="B1849" s="22"/>
      <c r="C1849" s="22"/>
      <c r="D1849" s="22"/>
      <c r="E1849" s="22"/>
      <c r="F1849" s="22"/>
      <c r="G1849" s="22"/>
      <c r="H1849" s="22"/>
      <c r="I1849" s="24"/>
      <c r="J1849" s="24"/>
      <c r="K1849" s="24"/>
      <c r="L1849" s="24"/>
      <c r="M1849" s="26"/>
      <c r="N1849" s="26"/>
      <c r="O1849" s="26"/>
      <c r="P1849" s="27"/>
      <c r="Q1849" s="27"/>
      <c r="R1849" s="27"/>
      <c r="S1849" s="22"/>
      <c r="T1849" s="22"/>
      <c r="U1849" s="28"/>
    </row>
    <row r="1850">
      <c r="A1850" s="189"/>
      <c r="B1850" s="22"/>
      <c r="C1850" s="22"/>
      <c r="D1850" s="22"/>
      <c r="E1850" s="22"/>
      <c r="F1850" s="22"/>
      <c r="G1850" s="22"/>
      <c r="H1850" s="22"/>
      <c r="I1850" s="24"/>
      <c r="J1850" s="24"/>
      <c r="K1850" s="24"/>
      <c r="L1850" s="24"/>
      <c r="M1850" s="26"/>
      <c r="N1850" s="26"/>
      <c r="O1850" s="26"/>
      <c r="P1850" s="27"/>
      <c r="Q1850" s="27"/>
      <c r="R1850" s="27"/>
      <c r="S1850" s="22"/>
      <c r="T1850" s="22"/>
      <c r="U1850" s="28"/>
    </row>
    <row r="1851">
      <c r="A1851" s="189"/>
      <c r="B1851" s="22"/>
      <c r="C1851" s="22"/>
      <c r="D1851" s="22"/>
      <c r="E1851" s="22"/>
      <c r="F1851" s="22"/>
      <c r="G1851" s="22"/>
      <c r="H1851" s="22"/>
      <c r="I1851" s="24"/>
      <c r="J1851" s="24"/>
      <c r="K1851" s="24"/>
      <c r="L1851" s="24"/>
      <c r="M1851" s="26"/>
      <c r="N1851" s="26"/>
      <c r="O1851" s="26"/>
      <c r="P1851" s="27"/>
      <c r="Q1851" s="27"/>
      <c r="R1851" s="27"/>
      <c r="S1851" s="22"/>
      <c r="T1851" s="22"/>
      <c r="U1851" s="28"/>
    </row>
    <row r="1852">
      <c r="A1852" s="189"/>
      <c r="B1852" s="22"/>
      <c r="C1852" s="22"/>
      <c r="D1852" s="22"/>
      <c r="E1852" s="22"/>
      <c r="F1852" s="22"/>
      <c r="G1852" s="22"/>
      <c r="H1852" s="22"/>
      <c r="I1852" s="24"/>
      <c r="J1852" s="24"/>
      <c r="K1852" s="24"/>
      <c r="L1852" s="24"/>
      <c r="M1852" s="26"/>
      <c r="N1852" s="26"/>
      <c r="O1852" s="26"/>
      <c r="P1852" s="27"/>
      <c r="Q1852" s="27"/>
      <c r="R1852" s="27"/>
      <c r="S1852" s="22"/>
      <c r="T1852" s="22"/>
      <c r="U1852" s="28"/>
    </row>
    <row r="1853">
      <c r="A1853" s="189"/>
      <c r="B1853" s="22"/>
      <c r="C1853" s="22"/>
      <c r="D1853" s="22"/>
      <c r="E1853" s="22"/>
      <c r="F1853" s="22"/>
      <c r="G1853" s="22"/>
      <c r="H1853" s="22"/>
      <c r="I1853" s="24"/>
      <c r="J1853" s="24"/>
      <c r="K1853" s="24"/>
      <c r="L1853" s="24"/>
      <c r="M1853" s="26"/>
      <c r="N1853" s="26"/>
      <c r="O1853" s="26"/>
      <c r="P1853" s="27"/>
      <c r="Q1853" s="27"/>
      <c r="R1853" s="27"/>
      <c r="S1853" s="22"/>
      <c r="T1853" s="22"/>
      <c r="U1853" s="28"/>
    </row>
    <row r="1854">
      <c r="A1854" s="189"/>
      <c r="B1854" s="22"/>
      <c r="C1854" s="22"/>
      <c r="D1854" s="22"/>
      <c r="E1854" s="22"/>
      <c r="F1854" s="22"/>
      <c r="G1854" s="22"/>
      <c r="H1854" s="22"/>
      <c r="I1854" s="24"/>
      <c r="J1854" s="24"/>
      <c r="K1854" s="24"/>
      <c r="L1854" s="24"/>
      <c r="M1854" s="26"/>
      <c r="N1854" s="26"/>
      <c r="O1854" s="26"/>
      <c r="P1854" s="27"/>
      <c r="Q1854" s="27"/>
      <c r="R1854" s="27"/>
      <c r="S1854" s="22"/>
      <c r="T1854" s="22"/>
      <c r="U1854" s="28"/>
    </row>
    <row r="1855">
      <c r="A1855" s="189"/>
      <c r="B1855" s="22"/>
      <c r="C1855" s="22"/>
      <c r="D1855" s="22"/>
      <c r="E1855" s="22"/>
      <c r="F1855" s="22"/>
      <c r="G1855" s="22"/>
      <c r="H1855" s="22"/>
      <c r="I1855" s="24"/>
      <c r="J1855" s="24"/>
      <c r="K1855" s="24"/>
      <c r="L1855" s="24"/>
      <c r="M1855" s="26"/>
      <c r="N1855" s="26"/>
      <c r="O1855" s="26"/>
      <c r="P1855" s="27"/>
      <c r="Q1855" s="27"/>
      <c r="R1855" s="27"/>
      <c r="S1855" s="22"/>
      <c r="T1855" s="22"/>
      <c r="U1855" s="28"/>
    </row>
    <row r="1856">
      <c r="A1856" s="189"/>
      <c r="B1856" s="22"/>
      <c r="C1856" s="22"/>
      <c r="D1856" s="22"/>
      <c r="E1856" s="22"/>
      <c r="F1856" s="22"/>
      <c r="G1856" s="22"/>
      <c r="H1856" s="22"/>
      <c r="I1856" s="24"/>
      <c r="J1856" s="24"/>
      <c r="K1856" s="24"/>
      <c r="L1856" s="24"/>
      <c r="M1856" s="26"/>
      <c r="N1856" s="26"/>
      <c r="O1856" s="26"/>
      <c r="P1856" s="27"/>
      <c r="Q1856" s="27"/>
      <c r="R1856" s="27"/>
      <c r="S1856" s="22"/>
      <c r="T1856" s="22"/>
      <c r="U1856" s="28"/>
    </row>
    <row r="1857">
      <c r="A1857" s="189"/>
      <c r="B1857" s="22"/>
      <c r="C1857" s="22"/>
      <c r="D1857" s="22"/>
      <c r="E1857" s="22"/>
      <c r="F1857" s="22"/>
      <c r="G1857" s="22"/>
      <c r="H1857" s="22"/>
      <c r="I1857" s="24"/>
      <c r="J1857" s="24"/>
      <c r="K1857" s="24"/>
      <c r="L1857" s="24"/>
      <c r="M1857" s="26"/>
      <c r="N1857" s="26"/>
      <c r="O1857" s="26"/>
      <c r="P1857" s="27"/>
      <c r="Q1857" s="27"/>
      <c r="R1857" s="27"/>
      <c r="S1857" s="22"/>
      <c r="T1857" s="22"/>
      <c r="U1857" s="28"/>
    </row>
    <row r="1858">
      <c r="A1858" s="189"/>
      <c r="B1858" s="22"/>
      <c r="C1858" s="22"/>
      <c r="D1858" s="22"/>
      <c r="E1858" s="22"/>
      <c r="F1858" s="22"/>
      <c r="G1858" s="22"/>
      <c r="H1858" s="22"/>
      <c r="I1858" s="24"/>
      <c r="J1858" s="24"/>
      <c r="K1858" s="24"/>
      <c r="L1858" s="24"/>
      <c r="M1858" s="26"/>
      <c r="N1858" s="26"/>
      <c r="O1858" s="26"/>
      <c r="P1858" s="27"/>
      <c r="Q1858" s="27"/>
      <c r="R1858" s="27"/>
      <c r="S1858" s="22"/>
      <c r="T1858" s="22"/>
      <c r="U1858" s="28"/>
    </row>
    <row r="1859">
      <c r="A1859" s="189"/>
      <c r="B1859" s="22"/>
      <c r="C1859" s="22"/>
      <c r="D1859" s="22"/>
      <c r="E1859" s="22"/>
      <c r="F1859" s="22"/>
      <c r="G1859" s="22"/>
      <c r="H1859" s="22"/>
      <c r="I1859" s="24"/>
      <c r="J1859" s="24"/>
      <c r="K1859" s="24"/>
      <c r="L1859" s="24"/>
      <c r="M1859" s="26"/>
      <c r="N1859" s="26"/>
      <c r="O1859" s="26"/>
      <c r="P1859" s="27"/>
      <c r="Q1859" s="27"/>
      <c r="R1859" s="27"/>
      <c r="S1859" s="22"/>
      <c r="T1859" s="22"/>
      <c r="U1859" s="28"/>
    </row>
    <row r="1860">
      <c r="A1860" s="189"/>
      <c r="B1860" s="22"/>
      <c r="C1860" s="22"/>
      <c r="D1860" s="22"/>
      <c r="E1860" s="22"/>
      <c r="F1860" s="22"/>
      <c r="G1860" s="22"/>
      <c r="H1860" s="22"/>
      <c r="I1860" s="24"/>
      <c r="J1860" s="24"/>
      <c r="K1860" s="24"/>
      <c r="L1860" s="24"/>
      <c r="M1860" s="26"/>
      <c r="N1860" s="26"/>
      <c r="O1860" s="26"/>
      <c r="P1860" s="27"/>
      <c r="Q1860" s="27"/>
      <c r="R1860" s="27"/>
      <c r="S1860" s="22"/>
      <c r="T1860" s="22"/>
      <c r="U1860" s="28"/>
    </row>
    <row r="1861">
      <c r="A1861" s="189"/>
      <c r="B1861" s="22"/>
      <c r="C1861" s="22"/>
      <c r="D1861" s="22"/>
      <c r="E1861" s="22"/>
      <c r="F1861" s="22"/>
      <c r="G1861" s="22"/>
      <c r="H1861" s="22"/>
      <c r="I1861" s="24"/>
      <c r="J1861" s="24"/>
      <c r="K1861" s="24"/>
      <c r="L1861" s="24"/>
      <c r="M1861" s="26"/>
      <c r="N1861" s="26"/>
      <c r="O1861" s="26"/>
      <c r="P1861" s="27"/>
      <c r="Q1861" s="27"/>
      <c r="R1861" s="27"/>
      <c r="S1861" s="22"/>
      <c r="T1861" s="22"/>
      <c r="U1861" s="28"/>
    </row>
    <row r="1862">
      <c r="A1862" s="189"/>
      <c r="B1862" s="22"/>
      <c r="C1862" s="22"/>
      <c r="D1862" s="22"/>
      <c r="E1862" s="22"/>
      <c r="F1862" s="22"/>
      <c r="G1862" s="22"/>
      <c r="H1862" s="22"/>
      <c r="I1862" s="24"/>
      <c r="J1862" s="24"/>
      <c r="K1862" s="24"/>
      <c r="L1862" s="24"/>
      <c r="M1862" s="26"/>
      <c r="N1862" s="26"/>
      <c r="O1862" s="26"/>
      <c r="P1862" s="27"/>
      <c r="Q1862" s="27"/>
      <c r="R1862" s="27"/>
      <c r="S1862" s="22"/>
      <c r="T1862" s="22"/>
      <c r="U1862" s="28"/>
    </row>
    <row r="1863">
      <c r="A1863" s="189"/>
      <c r="B1863" s="22"/>
      <c r="C1863" s="22"/>
      <c r="D1863" s="22"/>
      <c r="E1863" s="22"/>
      <c r="F1863" s="22"/>
      <c r="G1863" s="22"/>
      <c r="H1863" s="22"/>
      <c r="I1863" s="24"/>
      <c r="J1863" s="24"/>
      <c r="K1863" s="24"/>
      <c r="L1863" s="24"/>
      <c r="M1863" s="26"/>
      <c r="N1863" s="26"/>
      <c r="O1863" s="26"/>
      <c r="P1863" s="27"/>
      <c r="Q1863" s="27"/>
      <c r="R1863" s="27"/>
      <c r="S1863" s="22"/>
      <c r="T1863" s="22"/>
      <c r="U1863" s="28"/>
    </row>
    <row r="1864">
      <c r="A1864" s="189"/>
      <c r="B1864" s="22"/>
      <c r="C1864" s="22"/>
      <c r="D1864" s="22"/>
      <c r="E1864" s="22"/>
      <c r="F1864" s="22"/>
      <c r="G1864" s="22"/>
      <c r="H1864" s="22"/>
      <c r="I1864" s="24"/>
      <c r="J1864" s="24"/>
      <c r="K1864" s="24"/>
      <c r="L1864" s="24"/>
      <c r="M1864" s="26"/>
      <c r="N1864" s="26"/>
      <c r="O1864" s="26"/>
      <c r="P1864" s="27"/>
      <c r="Q1864" s="27"/>
      <c r="R1864" s="27"/>
      <c r="S1864" s="22"/>
      <c r="T1864" s="22"/>
      <c r="U1864" s="28"/>
    </row>
    <row r="1865">
      <c r="A1865" s="189"/>
      <c r="B1865" s="22"/>
      <c r="C1865" s="22"/>
      <c r="D1865" s="22"/>
      <c r="E1865" s="22"/>
      <c r="F1865" s="22"/>
      <c r="G1865" s="22"/>
      <c r="H1865" s="22"/>
      <c r="I1865" s="24"/>
      <c r="J1865" s="24"/>
      <c r="K1865" s="24"/>
      <c r="L1865" s="24"/>
      <c r="M1865" s="26"/>
      <c r="N1865" s="26"/>
      <c r="O1865" s="26"/>
      <c r="P1865" s="27"/>
      <c r="Q1865" s="27"/>
      <c r="R1865" s="27"/>
      <c r="S1865" s="22"/>
      <c r="T1865" s="22"/>
      <c r="U1865" s="28"/>
    </row>
    <row r="1866">
      <c r="A1866" s="189"/>
      <c r="B1866" s="22"/>
      <c r="C1866" s="22"/>
      <c r="D1866" s="22"/>
      <c r="E1866" s="22"/>
      <c r="F1866" s="22"/>
      <c r="G1866" s="22"/>
      <c r="H1866" s="22"/>
      <c r="I1866" s="24"/>
      <c r="J1866" s="24"/>
      <c r="K1866" s="24"/>
      <c r="L1866" s="24"/>
      <c r="M1866" s="26"/>
      <c r="N1866" s="26"/>
      <c r="O1866" s="26"/>
      <c r="P1866" s="27"/>
      <c r="Q1866" s="27"/>
      <c r="R1866" s="27"/>
      <c r="S1866" s="22"/>
      <c r="T1866" s="22"/>
      <c r="U1866" s="28"/>
    </row>
    <row r="1867">
      <c r="A1867" s="189"/>
      <c r="B1867" s="22"/>
      <c r="C1867" s="22"/>
      <c r="D1867" s="22"/>
      <c r="E1867" s="22"/>
      <c r="F1867" s="22"/>
      <c r="G1867" s="22"/>
      <c r="H1867" s="22"/>
      <c r="I1867" s="24"/>
      <c r="J1867" s="24"/>
      <c r="K1867" s="24"/>
      <c r="L1867" s="24"/>
      <c r="M1867" s="26"/>
      <c r="N1867" s="26"/>
      <c r="O1867" s="26"/>
      <c r="P1867" s="27"/>
      <c r="Q1867" s="27"/>
      <c r="R1867" s="27"/>
      <c r="S1867" s="22"/>
      <c r="T1867" s="22"/>
      <c r="U1867" s="28"/>
    </row>
    <row r="1868">
      <c r="A1868" s="189"/>
      <c r="B1868" s="22"/>
      <c r="C1868" s="22"/>
      <c r="D1868" s="22"/>
      <c r="E1868" s="22"/>
      <c r="F1868" s="22"/>
      <c r="G1868" s="22"/>
      <c r="H1868" s="22"/>
      <c r="I1868" s="24"/>
      <c r="J1868" s="24"/>
      <c r="K1868" s="24"/>
      <c r="L1868" s="24"/>
      <c r="M1868" s="26"/>
      <c r="N1868" s="26"/>
      <c r="O1868" s="26"/>
      <c r="P1868" s="27"/>
      <c r="Q1868" s="27"/>
      <c r="R1868" s="27"/>
      <c r="S1868" s="22"/>
      <c r="T1868" s="22"/>
      <c r="U1868" s="28"/>
    </row>
    <row r="1869">
      <c r="A1869" s="189"/>
      <c r="B1869" s="22"/>
      <c r="C1869" s="22"/>
      <c r="D1869" s="22"/>
      <c r="E1869" s="22"/>
      <c r="F1869" s="22"/>
      <c r="G1869" s="22"/>
      <c r="H1869" s="22"/>
      <c r="I1869" s="24"/>
      <c r="J1869" s="24"/>
      <c r="K1869" s="24"/>
      <c r="L1869" s="24"/>
      <c r="M1869" s="26"/>
      <c r="N1869" s="26"/>
      <c r="O1869" s="26"/>
      <c r="P1869" s="27"/>
      <c r="Q1869" s="27"/>
      <c r="R1869" s="27"/>
      <c r="S1869" s="22"/>
      <c r="T1869" s="22"/>
      <c r="U1869" s="28"/>
    </row>
    <row r="1870">
      <c r="A1870" s="189"/>
      <c r="B1870" s="22"/>
      <c r="C1870" s="22"/>
      <c r="D1870" s="22"/>
      <c r="E1870" s="22"/>
      <c r="F1870" s="22"/>
      <c r="G1870" s="22"/>
      <c r="H1870" s="22"/>
      <c r="I1870" s="24"/>
      <c r="J1870" s="24"/>
      <c r="K1870" s="24"/>
      <c r="L1870" s="24"/>
      <c r="M1870" s="26"/>
      <c r="N1870" s="26"/>
      <c r="O1870" s="26"/>
      <c r="P1870" s="27"/>
      <c r="Q1870" s="27"/>
      <c r="R1870" s="27"/>
      <c r="S1870" s="22"/>
      <c r="T1870" s="22"/>
      <c r="U1870" s="28"/>
    </row>
    <row r="1871">
      <c r="A1871" s="189"/>
      <c r="B1871" s="22"/>
      <c r="C1871" s="22"/>
      <c r="D1871" s="22"/>
      <c r="E1871" s="22"/>
      <c r="F1871" s="22"/>
      <c r="G1871" s="22"/>
      <c r="H1871" s="22"/>
      <c r="I1871" s="24"/>
      <c r="J1871" s="24"/>
      <c r="K1871" s="24"/>
      <c r="L1871" s="24"/>
      <c r="M1871" s="26"/>
      <c r="N1871" s="26"/>
      <c r="O1871" s="26"/>
      <c r="P1871" s="27"/>
      <c r="Q1871" s="27"/>
      <c r="R1871" s="27"/>
      <c r="S1871" s="22"/>
      <c r="T1871" s="22"/>
      <c r="U1871" s="28"/>
    </row>
    <row r="1872">
      <c r="A1872" s="189"/>
      <c r="B1872" s="22"/>
      <c r="C1872" s="22"/>
      <c r="D1872" s="22"/>
      <c r="E1872" s="22"/>
      <c r="F1872" s="22"/>
      <c r="G1872" s="22"/>
      <c r="H1872" s="22"/>
      <c r="I1872" s="24"/>
      <c r="J1872" s="24"/>
      <c r="K1872" s="24"/>
      <c r="L1872" s="24"/>
      <c r="M1872" s="26"/>
      <c r="N1872" s="26"/>
      <c r="O1872" s="26"/>
      <c r="P1872" s="27"/>
      <c r="Q1872" s="27"/>
      <c r="R1872" s="27"/>
      <c r="S1872" s="22"/>
      <c r="T1872" s="22"/>
      <c r="U1872" s="28"/>
    </row>
    <row r="1873">
      <c r="A1873" s="189"/>
      <c r="B1873" s="22"/>
      <c r="C1873" s="22"/>
      <c r="D1873" s="22"/>
      <c r="E1873" s="22"/>
      <c r="F1873" s="22"/>
      <c r="G1873" s="22"/>
      <c r="H1873" s="22"/>
      <c r="I1873" s="24"/>
      <c r="J1873" s="24"/>
      <c r="K1873" s="24"/>
      <c r="L1873" s="24"/>
      <c r="M1873" s="26"/>
      <c r="N1873" s="26"/>
      <c r="O1873" s="26"/>
      <c r="P1873" s="27"/>
      <c r="Q1873" s="27"/>
      <c r="R1873" s="27"/>
      <c r="S1873" s="22"/>
      <c r="T1873" s="22"/>
      <c r="U1873" s="28"/>
    </row>
    <row r="1874">
      <c r="A1874" s="189"/>
      <c r="B1874" s="22"/>
      <c r="C1874" s="22"/>
      <c r="D1874" s="22"/>
      <c r="E1874" s="22"/>
      <c r="F1874" s="22"/>
      <c r="G1874" s="22"/>
      <c r="H1874" s="22"/>
      <c r="I1874" s="24"/>
      <c r="J1874" s="24"/>
      <c r="K1874" s="24"/>
      <c r="L1874" s="24"/>
      <c r="M1874" s="26"/>
      <c r="N1874" s="26"/>
      <c r="O1874" s="26"/>
      <c r="P1874" s="27"/>
      <c r="Q1874" s="27"/>
      <c r="R1874" s="27"/>
      <c r="S1874" s="22"/>
      <c r="T1874" s="22"/>
      <c r="U1874" s="28"/>
    </row>
    <row r="1875">
      <c r="A1875" s="189"/>
      <c r="B1875" s="22"/>
      <c r="C1875" s="22"/>
      <c r="D1875" s="22"/>
      <c r="E1875" s="22"/>
      <c r="F1875" s="22"/>
      <c r="G1875" s="22"/>
      <c r="H1875" s="22"/>
      <c r="I1875" s="24"/>
      <c r="J1875" s="24"/>
      <c r="K1875" s="24"/>
      <c r="L1875" s="24"/>
      <c r="M1875" s="26"/>
      <c r="N1875" s="26"/>
      <c r="O1875" s="26"/>
      <c r="P1875" s="27"/>
      <c r="Q1875" s="27"/>
      <c r="R1875" s="27"/>
      <c r="S1875" s="22"/>
      <c r="T1875" s="22"/>
      <c r="U1875" s="28"/>
    </row>
    <row r="1876">
      <c r="A1876" s="189"/>
      <c r="B1876" s="22"/>
      <c r="C1876" s="22"/>
      <c r="D1876" s="22"/>
      <c r="E1876" s="22"/>
      <c r="F1876" s="22"/>
      <c r="G1876" s="22"/>
      <c r="H1876" s="22"/>
      <c r="I1876" s="24"/>
      <c r="J1876" s="24"/>
      <c r="K1876" s="24"/>
      <c r="L1876" s="24"/>
      <c r="M1876" s="26"/>
      <c r="N1876" s="26"/>
      <c r="O1876" s="26"/>
      <c r="P1876" s="27"/>
      <c r="Q1876" s="27"/>
      <c r="R1876" s="27"/>
      <c r="S1876" s="22"/>
      <c r="T1876" s="22"/>
      <c r="U1876" s="28"/>
    </row>
    <row r="1877">
      <c r="A1877" s="189"/>
      <c r="B1877" s="22"/>
      <c r="C1877" s="22"/>
      <c r="D1877" s="22"/>
      <c r="E1877" s="22"/>
      <c r="F1877" s="22"/>
      <c r="G1877" s="22"/>
      <c r="H1877" s="22"/>
      <c r="I1877" s="24"/>
      <c r="J1877" s="24"/>
      <c r="K1877" s="24"/>
      <c r="L1877" s="24"/>
      <c r="M1877" s="26"/>
      <c r="N1877" s="26"/>
      <c r="O1877" s="26"/>
      <c r="P1877" s="27"/>
      <c r="Q1877" s="27"/>
      <c r="R1877" s="27"/>
      <c r="S1877" s="22"/>
      <c r="T1877" s="22"/>
      <c r="U1877" s="28"/>
    </row>
    <row r="1878">
      <c r="A1878" s="189"/>
      <c r="B1878" s="22"/>
      <c r="C1878" s="22"/>
      <c r="D1878" s="22"/>
      <c r="E1878" s="22"/>
      <c r="F1878" s="22"/>
      <c r="G1878" s="22"/>
      <c r="H1878" s="22"/>
      <c r="I1878" s="24"/>
      <c r="J1878" s="24"/>
      <c r="K1878" s="24"/>
      <c r="L1878" s="24"/>
      <c r="M1878" s="26"/>
      <c r="N1878" s="26"/>
      <c r="O1878" s="26"/>
      <c r="P1878" s="27"/>
      <c r="Q1878" s="27"/>
      <c r="R1878" s="27"/>
      <c r="S1878" s="22"/>
      <c r="T1878" s="22"/>
      <c r="U1878" s="28"/>
    </row>
    <row r="1879">
      <c r="A1879" s="189"/>
      <c r="B1879" s="22"/>
      <c r="C1879" s="22"/>
      <c r="D1879" s="22"/>
      <c r="E1879" s="22"/>
      <c r="F1879" s="22"/>
      <c r="G1879" s="22"/>
      <c r="H1879" s="22"/>
      <c r="I1879" s="24"/>
      <c r="J1879" s="24"/>
      <c r="K1879" s="24"/>
      <c r="L1879" s="24"/>
      <c r="M1879" s="26"/>
      <c r="N1879" s="26"/>
      <c r="O1879" s="26"/>
      <c r="P1879" s="27"/>
      <c r="Q1879" s="27"/>
      <c r="R1879" s="27"/>
      <c r="S1879" s="22"/>
      <c r="T1879" s="22"/>
      <c r="U1879" s="28"/>
    </row>
    <row r="1880">
      <c r="A1880" s="189"/>
      <c r="B1880" s="22"/>
      <c r="C1880" s="22"/>
      <c r="D1880" s="22"/>
      <c r="E1880" s="22"/>
      <c r="F1880" s="22"/>
      <c r="G1880" s="22"/>
      <c r="H1880" s="22"/>
      <c r="I1880" s="24"/>
      <c r="J1880" s="24"/>
      <c r="K1880" s="24"/>
      <c r="L1880" s="24"/>
      <c r="M1880" s="26"/>
      <c r="N1880" s="26"/>
      <c r="O1880" s="26"/>
      <c r="P1880" s="27"/>
      <c r="Q1880" s="27"/>
      <c r="R1880" s="27"/>
      <c r="S1880" s="22"/>
      <c r="T1880" s="22"/>
      <c r="U1880" s="28"/>
    </row>
    <row r="1881">
      <c r="A1881" s="189"/>
      <c r="B1881" s="22"/>
      <c r="C1881" s="22"/>
      <c r="D1881" s="22"/>
      <c r="E1881" s="22"/>
      <c r="F1881" s="22"/>
      <c r="G1881" s="22"/>
      <c r="H1881" s="22"/>
      <c r="I1881" s="24"/>
      <c r="J1881" s="24"/>
      <c r="K1881" s="24"/>
      <c r="L1881" s="24"/>
      <c r="M1881" s="26"/>
      <c r="N1881" s="26"/>
      <c r="O1881" s="26"/>
      <c r="P1881" s="27"/>
      <c r="Q1881" s="27"/>
      <c r="R1881" s="27"/>
      <c r="S1881" s="22"/>
      <c r="T1881" s="22"/>
      <c r="U1881" s="28"/>
    </row>
    <row r="1882">
      <c r="A1882" s="189"/>
      <c r="B1882" s="22"/>
      <c r="C1882" s="22"/>
      <c r="D1882" s="22"/>
      <c r="E1882" s="22"/>
      <c r="F1882" s="22"/>
      <c r="G1882" s="22"/>
      <c r="H1882" s="22"/>
      <c r="I1882" s="24"/>
      <c r="J1882" s="24"/>
      <c r="K1882" s="24"/>
      <c r="L1882" s="24"/>
      <c r="M1882" s="26"/>
      <c r="N1882" s="26"/>
      <c r="O1882" s="26"/>
      <c r="P1882" s="27"/>
      <c r="Q1882" s="27"/>
      <c r="R1882" s="27"/>
      <c r="S1882" s="22"/>
      <c r="T1882" s="22"/>
      <c r="U1882" s="28"/>
    </row>
    <row r="1883">
      <c r="A1883" s="189"/>
      <c r="B1883" s="22"/>
      <c r="C1883" s="22"/>
      <c r="D1883" s="22"/>
      <c r="E1883" s="22"/>
      <c r="F1883" s="22"/>
      <c r="G1883" s="22"/>
      <c r="H1883" s="22"/>
      <c r="I1883" s="24"/>
      <c r="J1883" s="24"/>
      <c r="K1883" s="24"/>
      <c r="L1883" s="24"/>
      <c r="M1883" s="26"/>
      <c r="N1883" s="26"/>
      <c r="O1883" s="26"/>
      <c r="P1883" s="27"/>
      <c r="Q1883" s="27"/>
      <c r="R1883" s="27"/>
      <c r="S1883" s="22"/>
      <c r="T1883" s="22"/>
      <c r="U1883" s="28"/>
    </row>
    <row r="1884">
      <c r="A1884" s="189"/>
      <c r="B1884" s="22"/>
      <c r="C1884" s="22"/>
      <c r="D1884" s="22"/>
      <c r="E1884" s="22"/>
      <c r="F1884" s="22"/>
      <c r="G1884" s="22"/>
      <c r="H1884" s="22"/>
      <c r="I1884" s="24"/>
      <c r="J1884" s="24"/>
      <c r="K1884" s="24"/>
      <c r="L1884" s="24"/>
      <c r="M1884" s="26"/>
      <c r="N1884" s="26"/>
      <c r="O1884" s="26"/>
      <c r="P1884" s="27"/>
      <c r="Q1884" s="27"/>
      <c r="R1884" s="27"/>
      <c r="S1884" s="22"/>
      <c r="T1884" s="22"/>
      <c r="U1884" s="28"/>
    </row>
    <row r="1885">
      <c r="A1885" s="189"/>
      <c r="B1885" s="22"/>
      <c r="C1885" s="22"/>
      <c r="D1885" s="22"/>
      <c r="E1885" s="22"/>
      <c r="F1885" s="22"/>
      <c r="G1885" s="22"/>
      <c r="H1885" s="22"/>
      <c r="I1885" s="24"/>
      <c r="J1885" s="24"/>
      <c r="K1885" s="24"/>
      <c r="L1885" s="24"/>
      <c r="M1885" s="26"/>
      <c r="N1885" s="26"/>
      <c r="O1885" s="26"/>
      <c r="P1885" s="27"/>
      <c r="Q1885" s="27"/>
      <c r="R1885" s="27"/>
      <c r="S1885" s="22"/>
      <c r="T1885" s="22"/>
      <c r="U1885" s="28"/>
    </row>
    <row r="1886">
      <c r="A1886" s="189"/>
      <c r="B1886" s="22"/>
      <c r="C1886" s="22"/>
      <c r="D1886" s="22"/>
      <c r="E1886" s="22"/>
      <c r="F1886" s="22"/>
      <c r="G1886" s="22"/>
      <c r="H1886" s="22"/>
      <c r="I1886" s="24"/>
      <c r="J1886" s="24"/>
      <c r="K1886" s="24"/>
      <c r="L1886" s="24"/>
      <c r="M1886" s="26"/>
      <c r="N1886" s="26"/>
      <c r="O1886" s="26"/>
      <c r="P1886" s="27"/>
      <c r="Q1886" s="27"/>
      <c r="R1886" s="27"/>
      <c r="S1886" s="22"/>
      <c r="T1886" s="22"/>
      <c r="U1886" s="28"/>
    </row>
    <row r="1887">
      <c r="A1887" s="189"/>
      <c r="B1887" s="22"/>
      <c r="C1887" s="22"/>
      <c r="D1887" s="22"/>
      <c r="E1887" s="22"/>
      <c r="F1887" s="22"/>
      <c r="G1887" s="22"/>
      <c r="H1887" s="22"/>
      <c r="I1887" s="24"/>
      <c r="J1887" s="24"/>
      <c r="K1887" s="24"/>
      <c r="L1887" s="24"/>
      <c r="M1887" s="26"/>
      <c r="N1887" s="26"/>
      <c r="O1887" s="26"/>
      <c r="P1887" s="27"/>
      <c r="Q1887" s="27"/>
      <c r="R1887" s="27"/>
      <c r="S1887" s="22"/>
      <c r="T1887" s="22"/>
      <c r="U1887" s="28"/>
    </row>
    <row r="1888">
      <c r="A1888" s="189"/>
      <c r="B1888" s="22"/>
      <c r="C1888" s="22"/>
      <c r="D1888" s="22"/>
      <c r="E1888" s="22"/>
      <c r="F1888" s="22"/>
      <c r="G1888" s="22"/>
      <c r="H1888" s="22"/>
      <c r="I1888" s="24"/>
      <c r="J1888" s="24"/>
      <c r="K1888" s="24"/>
      <c r="L1888" s="24"/>
      <c r="M1888" s="26"/>
      <c r="N1888" s="26"/>
      <c r="O1888" s="26"/>
      <c r="P1888" s="27"/>
      <c r="Q1888" s="27"/>
      <c r="R1888" s="27"/>
      <c r="S1888" s="22"/>
      <c r="T1888" s="22"/>
      <c r="U1888" s="28"/>
    </row>
    <row r="1889">
      <c r="A1889" s="189"/>
      <c r="B1889" s="22"/>
      <c r="C1889" s="22"/>
      <c r="D1889" s="22"/>
      <c r="E1889" s="22"/>
      <c r="F1889" s="22"/>
      <c r="G1889" s="22"/>
      <c r="H1889" s="22"/>
      <c r="I1889" s="24"/>
      <c r="J1889" s="24"/>
      <c r="K1889" s="24"/>
      <c r="L1889" s="24"/>
      <c r="M1889" s="26"/>
      <c r="N1889" s="26"/>
      <c r="O1889" s="26"/>
      <c r="P1889" s="27"/>
      <c r="Q1889" s="27"/>
      <c r="R1889" s="27"/>
      <c r="S1889" s="22"/>
      <c r="T1889" s="22"/>
      <c r="U1889" s="28"/>
    </row>
    <row r="1890">
      <c r="A1890" s="189"/>
      <c r="B1890" s="22"/>
      <c r="C1890" s="22"/>
      <c r="D1890" s="22"/>
      <c r="E1890" s="22"/>
      <c r="F1890" s="22"/>
      <c r="G1890" s="22"/>
      <c r="H1890" s="22"/>
      <c r="I1890" s="24"/>
      <c r="J1890" s="24"/>
      <c r="K1890" s="24"/>
      <c r="L1890" s="24"/>
      <c r="M1890" s="26"/>
      <c r="N1890" s="26"/>
      <c r="O1890" s="26"/>
      <c r="P1890" s="27"/>
      <c r="Q1890" s="27"/>
      <c r="R1890" s="27"/>
      <c r="S1890" s="22"/>
      <c r="T1890" s="22"/>
      <c r="U1890" s="28"/>
    </row>
    <row r="1891">
      <c r="A1891" s="189"/>
      <c r="B1891" s="22"/>
      <c r="C1891" s="22"/>
      <c r="D1891" s="22"/>
      <c r="E1891" s="22"/>
      <c r="F1891" s="22"/>
      <c r="G1891" s="22"/>
      <c r="H1891" s="22"/>
      <c r="I1891" s="24"/>
      <c r="J1891" s="24"/>
      <c r="K1891" s="24"/>
      <c r="L1891" s="24"/>
      <c r="M1891" s="26"/>
      <c r="N1891" s="26"/>
      <c r="O1891" s="26"/>
      <c r="P1891" s="27"/>
      <c r="Q1891" s="27"/>
      <c r="R1891" s="27"/>
      <c r="S1891" s="22"/>
      <c r="T1891" s="22"/>
      <c r="U1891" s="28"/>
    </row>
    <row r="1892">
      <c r="A1892" s="189"/>
      <c r="B1892" s="22"/>
      <c r="C1892" s="22"/>
      <c r="D1892" s="22"/>
      <c r="E1892" s="22"/>
      <c r="F1892" s="22"/>
      <c r="G1892" s="22"/>
      <c r="H1892" s="22"/>
      <c r="I1892" s="24"/>
      <c r="J1892" s="24"/>
      <c r="K1892" s="24"/>
      <c r="L1892" s="24"/>
      <c r="M1892" s="26"/>
      <c r="N1892" s="26"/>
      <c r="O1892" s="26"/>
      <c r="P1892" s="27"/>
      <c r="Q1892" s="27"/>
      <c r="R1892" s="27"/>
      <c r="S1892" s="22"/>
      <c r="T1892" s="22"/>
      <c r="U1892" s="28"/>
    </row>
    <row r="1893">
      <c r="A1893" s="189"/>
      <c r="B1893" s="22"/>
      <c r="C1893" s="22"/>
      <c r="D1893" s="22"/>
      <c r="E1893" s="22"/>
      <c r="F1893" s="22"/>
      <c r="G1893" s="22"/>
      <c r="H1893" s="22"/>
      <c r="I1893" s="24"/>
      <c r="J1893" s="24"/>
      <c r="K1893" s="24"/>
      <c r="L1893" s="24"/>
      <c r="M1893" s="26"/>
      <c r="N1893" s="26"/>
      <c r="O1893" s="26"/>
      <c r="P1893" s="27"/>
      <c r="Q1893" s="27"/>
      <c r="R1893" s="27"/>
      <c r="S1893" s="22"/>
      <c r="T1893" s="22"/>
      <c r="U1893" s="28"/>
    </row>
    <row r="1894">
      <c r="A1894" s="189"/>
      <c r="B1894" s="22"/>
      <c r="C1894" s="22"/>
      <c r="D1894" s="22"/>
      <c r="E1894" s="22"/>
      <c r="F1894" s="22"/>
      <c r="G1894" s="22"/>
      <c r="H1894" s="22"/>
      <c r="I1894" s="24"/>
      <c r="J1894" s="24"/>
      <c r="K1894" s="24"/>
      <c r="L1894" s="24"/>
      <c r="M1894" s="26"/>
      <c r="N1894" s="26"/>
      <c r="O1894" s="26"/>
      <c r="P1894" s="27"/>
      <c r="Q1894" s="27"/>
      <c r="R1894" s="27"/>
      <c r="S1894" s="22"/>
      <c r="T1894" s="22"/>
      <c r="U1894" s="28"/>
    </row>
    <row r="1895">
      <c r="A1895" s="189"/>
      <c r="B1895" s="22"/>
      <c r="C1895" s="22"/>
      <c r="D1895" s="22"/>
      <c r="E1895" s="22"/>
      <c r="F1895" s="22"/>
      <c r="G1895" s="22"/>
      <c r="H1895" s="22"/>
      <c r="I1895" s="24"/>
      <c r="J1895" s="24"/>
      <c r="K1895" s="24"/>
      <c r="L1895" s="24"/>
      <c r="M1895" s="26"/>
      <c r="N1895" s="26"/>
      <c r="O1895" s="26"/>
      <c r="P1895" s="27"/>
      <c r="Q1895" s="27"/>
      <c r="R1895" s="27"/>
      <c r="S1895" s="22"/>
      <c r="T1895" s="22"/>
      <c r="U1895" s="28"/>
    </row>
    <row r="1896">
      <c r="A1896" s="189"/>
      <c r="B1896" s="22"/>
      <c r="C1896" s="22"/>
      <c r="D1896" s="22"/>
      <c r="E1896" s="22"/>
      <c r="F1896" s="22"/>
      <c r="G1896" s="22"/>
      <c r="H1896" s="22"/>
      <c r="I1896" s="24"/>
      <c r="J1896" s="24"/>
      <c r="K1896" s="24"/>
      <c r="L1896" s="24"/>
      <c r="M1896" s="26"/>
      <c r="N1896" s="26"/>
      <c r="O1896" s="26"/>
      <c r="P1896" s="27"/>
      <c r="Q1896" s="27"/>
      <c r="R1896" s="27"/>
      <c r="S1896" s="22"/>
      <c r="T1896" s="22"/>
      <c r="U1896" s="28"/>
    </row>
    <row r="1897">
      <c r="A1897" s="189"/>
      <c r="B1897" s="22"/>
      <c r="C1897" s="22"/>
      <c r="D1897" s="22"/>
      <c r="E1897" s="22"/>
      <c r="F1897" s="22"/>
      <c r="G1897" s="22"/>
      <c r="H1897" s="22"/>
      <c r="I1897" s="24"/>
      <c r="J1897" s="24"/>
      <c r="K1897" s="24"/>
      <c r="L1897" s="24"/>
      <c r="M1897" s="26"/>
      <c r="N1897" s="26"/>
      <c r="O1897" s="26"/>
      <c r="P1897" s="27"/>
      <c r="Q1897" s="27"/>
      <c r="R1897" s="27"/>
      <c r="S1897" s="22"/>
      <c r="T1897" s="22"/>
      <c r="U1897" s="28"/>
    </row>
    <row r="1898">
      <c r="A1898" s="189"/>
      <c r="B1898" s="22"/>
      <c r="C1898" s="22"/>
      <c r="D1898" s="22"/>
      <c r="E1898" s="22"/>
      <c r="F1898" s="22"/>
      <c r="G1898" s="22"/>
      <c r="H1898" s="22"/>
      <c r="I1898" s="24"/>
      <c r="J1898" s="24"/>
      <c r="K1898" s="24"/>
      <c r="L1898" s="24"/>
      <c r="M1898" s="26"/>
      <c r="N1898" s="26"/>
      <c r="O1898" s="26"/>
      <c r="P1898" s="27"/>
      <c r="Q1898" s="27"/>
      <c r="R1898" s="27"/>
      <c r="S1898" s="22"/>
      <c r="T1898" s="22"/>
      <c r="U1898" s="28"/>
    </row>
    <row r="1899">
      <c r="A1899" s="189"/>
      <c r="B1899" s="22"/>
      <c r="C1899" s="22"/>
      <c r="D1899" s="22"/>
      <c r="E1899" s="22"/>
      <c r="F1899" s="22"/>
      <c r="G1899" s="22"/>
      <c r="H1899" s="22"/>
      <c r="I1899" s="24"/>
      <c r="J1899" s="24"/>
      <c r="K1899" s="24"/>
      <c r="L1899" s="24"/>
      <c r="M1899" s="26"/>
      <c r="N1899" s="26"/>
      <c r="O1899" s="26"/>
      <c r="P1899" s="27"/>
      <c r="Q1899" s="27"/>
      <c r="R1899" s="27"/>
      <c r="S1899" s="22"/>
      <c r="T1899" s="22"/>
      <c r="U1899" s="28"/>
    </row>
    <row r="1900">
      <c r="A1900" s="189"/>
      <c r="B1900" s="22"/>
      <c r="C1900" s="22"/>
      <c r="D1900" s="22"/>
      <c r="E1900" s="22"/>
      <c r="F1900" s="22"/>
      <c r="G1900" s="22"/>
      <c r="H1900" s="22"/>
      <c r="I1900" s="24"/>
      <c r="J1900" s="24"/>
      <c r="K1900" s="24"/>
      <c r="L1900" s="24"/>
      <c r="M1900" s="26"/>
      <c r="N1900" s="26"/>
      <c r="O1900" s="26"/>
      <c r="P1900" s="27"/>
      <c r="Q1900" s="27"/>
      <c r="R1900" s="27"/>
      <c r="S1900" s="22"/>
      <c r="T1900" s="22"/>
      <c r="U1900" s="28"/>
    </row>
    <row r="1901">
      <c r="A1901" s="189"/>
      <c r="B1901" s="22"/>
      <c r="C1901" s="22"/>
      <c r="D1901" s="22"/>
      <c r="E1901" s="22"/>
      <c r="F1901" s="22"/>
      <c r="G1901" s="22"/>
      <c r="H1901" s="22"/>
      <c r="I1901" s="24"/>
      <c r="J1901" s="24"/>
      <c r="K1901" s="24"/>
      <c r="L1901" s="24"/>
      <c r="M1901" s="26"/>
      <c r="N1901" s="26"/>
      <c r="O1901" s="26"/>
      <c r="P1901" s="27"/>
      <c r="Q1901" s="27"/>
      <c r="R1901" s="27"/>
      <c r="S1901" s="22"/>
      <c r="T1901" s="22"/>
      <c r="U1901" s="28"/>
    </row>
    <row r="1902">
      <c r="A1902" s="189"/>
      <c r="B1902" s="22"/>
      <c r="C1902" s="22"/>
      <c r="D1902" s="22"/>
      <c r="E1902" s="22"/>
      <c r="F1902" s="22"/>
      <c r="G1902" s="22"/>
      <c r="H1902" s="22"/>
      <c r="I1902" s="24"/>
      <c r="J1902" s="24"/>
      <c r="K1902" s="24"/>
      <c r="L1902" s="24"/>
      <c r="M1902" s="26"/>
      <c r="N1902" s="26"/>
      <c r="O1902" s="26"/>
      <c r="P1902" s="27"/>
      <c r="Q1902" s="27"/>
      <c r="R1902" s="27"/>
      <c r="S1902" s="22"/>
      <c r="T1902" s="22"/>
      <c r="U1902" s="28"/>
    </row>
    <row r="1903">
      <c r="A1903" s="189"/>
      <c r="B1903" s="22"/>
      <c r="C1903" s="22"/>
      <c r="D1903" s="22"/>
      <c r="E1903" s="22"/>
      <c r="F1903" s="22"/>
      <c r="G1903" s="22"/>
      <c r="H1903" s="22"/>
      <c r="I1903" s="24"/>
      <c r="J1903" s="24"/>
      <c r="K1903" s="24"/>
      <c r="L1903" s="24"/>
      <c r="M1903" s="26"/>
      <c r="N1903" s="26"/>
      <c r="O1903" s="26"/>
      <c r="P1903" s="27"/>
      <c r="Q1903" s="27"/>
      <c r="R1903" s="27"/>
      <c r="S1903" s="22"/>
      <c r="T1903" s="22"/>
      <c r="U1903" s="28"/>
    </row>
    <row r="1904">
      <c r="A1904" s="189"/>
      <c r="B1904" s="22"/>
      <c r="C1904" s="22"/>
      <c r="D1904" s="22"/>
      <c r="E1904" s="22"/>
      <c r="F1904" s="22"/>
      <c r="G1904" s="22"/>
      <c r="H1904" s="22"/>
      <c r="I1904" s="24"/>
      <c r="J1904" s="24"/>
      <c r="K1904" s="24"/>
      <c r="L1904" s="24"/>
      <c r="M1904" s="26"/>
      <c r="N1904" s="26"/>
      <c r="O1904" s="26"/>
      <c r="P1904" s="27"/>
      <c r="Q1904" s="27"/>
      <c r="R1904" s="27"/>
      <c r="S1904" s="22"/>
      <c r="T1904" s="22"/>
      <c r="U1904" s="28"/>
    </row>
    <row r="1905">
      <c r="A1905" s="189"/>
      <c r="B1905" s="22"/>
      <c r="C1905" s="22"/>
      <c r="D1905" s="22"/>
      <c r="E1905" s="22"/>
      <c r="F1905" s="22"/>
      <c r="G1905" s="22"/>
      <c r="H1905" s="22"/>
      <c r="I1905" s="24"/>
      <c r="J1905" s="24"/>
      <c r="K1905" s="24"/>
      <c r="L1905" s="24"/>
      <c r="M1905" s="26"/>
      <c r="N1905" s="26"/>
      <c r="O1905" s="26"/>
      <c r="P1905" s="27"/>
      <c r="Q1905" s="27"/>
      <c r="R1905" s="27"/>
      <c r="S1905" s="22"/>
      <c r="T1905" s="22"/>
      <c r="U1905" s="28"/>
    </row>
    <row r="1906">
      <c r="A1906" s="189"/>
      <c r="B1906" s="22"/>
      <c r="C1906" s="22"/>
      <c r="D1906" s="22"/>
      <c r="E1906" s="22"/>
      <c r="F1906" s="22"/>
      <c r="G1906" s="22"/>
      <c r="H1906" s="22"/>
      <c r="I1906" s="24"/>
      <c r="J1906" s="24"/>
      <c r="K1906" s="24"/>
      <c r="L1906" s="24"/>
      <c r="M1906" s="26"/>
      <c r="N1906" s="26"/>
      <c r="O1906" s="26"/>
      <c r="P1906" s="27"/>
      <c r="Q1906" s="27"/>
      <c r="R1906" s="27"/>
      <c r="S1906" s="22"/>
      <c r="T1906" s="22"/>
      <c r="U1906" s="28"/>
    </row>
    <row r="1907">
      <c r="A1907" s="189"/>
      <c r="B1907" s="22"/>
      <c r="C1907" s="22"/>
      <c r="D1907" s="22"/>
      <c r="E1907" s="22"/>
      <c r="F1907" s="22"/>
      <c r="G1907" s="22"/>
      <c r="H1907" s="22"/>
      <c r="I1907" s="24"/>
      <c r="J1907" s="24"/>
      <c r="K1907" s="24"/>
      <c r="L1907" s="24"/>
      <c r="M1907" s="26"/>
      <c r="N1907" s="26"/>
      <c r="O1907" s="26"/>
      <c r="P1907" s="27"/>
      <c r="Q1907" s="27"/>
      <c r="R1907" s="27"/>
      <c r="S1907" s="22"/>
      <c r="T1907" s="22"/>
      <c r="U1907" s="28"/>
    </row>
    <row r="1908">
      <c r="A1908" s="189"/>
      <c r="B1908" s="22"/>
      <c r="C1908" s="22"/>
      <c r="D1908" s="22"/>
      <c r="E1908" s="22"/>
      <c r="F1908" s="22"/>
      <c r="G1908" s="22"/>
      <c r="H1908" s="22"/>
      <c r="I1908" s="24"/>
      <c r="J1908" s="24"/>
      <c r="K1908" s="24"/>
      <c r="L1908" s="24"/>
      <c r="M1908" s="26"/>
      <c r="N1908" s="26"/>
      <c r="O1908" s="26"/>
      <c r="P1908" s="27"/>
      <c r="Q1908" s="27"/>
      <c r="R1908" s="27"/>
      <c r="S1908" s="22"/>
      <c r="T1908" s="22"/>
      <c r="U1908" s="28"/>
    </row>
    <row r="1909">
      <c r="A1909" s="189"/>
      <c r="B1909" s="22"/>
      <c r="C1909" s="22"/>
      <c r="D1909" s="22"/>
      <c r="E1909" s="22"/>
      <c r="F1909" s="22"/>
      <c r="G1909" s="22"/>
      <c r="H1909" s="22"/>
      <c r="I1909" s="24"/>
      <c r="J1909" s="24"/>
      <c r="K1909" s="24"/>
      <c r="L1909" s="24"/>
      <c r="M1909" s="26"/>
      <c r="N1909" s="26"/>
      <c r="O1909" s="26"/>
      <c r="P1909" s="27"/>
      <c r="Q1909" s="27"/>
      <c r="R1909" s="27"/>
      <c r="S1909" s="22"/>
      <c r="T1909" s="22"/>
      <c r="U1909" s="28"/>
    </row>
    <row r="1910">
      <c r="A1910" s="189"/>
      <c r="B1910" s="22"/>
      <c r="C1910" s="22"/>
      <c r="D1910" s="22"/>
      <c r="E1910" s="22"/>
      <c r="F1910" s="22"/>
      <c r="G1910" s="22"/>
      <c r="H1910" s="22"/>
      <c r="I1910" s="24"/>
      <c r="J1910" s="24"/>
      <c r="K1910" s="24"/>
      <c r="L1910" s="24"/>
      <c r="M1910" s="26"/>
      <c r="N1910" s="26"/>
      <c r="O1910" s="26"/>
      <c r="P1910" s="27"/>
      <c r="Q1910" s="27"/>
      <c r="R1910" s="27"/>
      <c r="S1910" s="22"/>
      <c r="T1910" s="22"/>
      <c r="U1910" s="28"/>
    </row>
    <row r="1911">
      <c r="A1911" s="189"/>
      <c r="B1911" s="22"/>
      <c r="C1911" s="22"/>
      <c r="D1911" s="22"/>
      <c r="E1911" s="22"/>
      <c r="F1911" s="22"/>
      <c r="G1911" s="22"/>
      <c r="H1911" s="22"/>
      <c r="I1911" s="24"/>
      <c r="J1911" s="24"/>
      <c r="K1911" s="24"/>
      <c r="L1911" s="24"/>
      <c r="M1911" s="26"/>
      <c r="N1911" s="26"/>
      <c r="O1911" s="26"/>
      <c r="P1911" s="27"/>
      <c r="Q1911" s="27"/>
      <c r="R1911" s="27"/>
      <c r="S1911" s="22"/>
      <c r="T1911" s="22"/>
      <c r="U1911" s="28"/>
    </row>
    <row r="1912">
      <c r="A1912" s="189"/>
      <c r="B1912" s="22"/>
      <c r="C1912" s="22"/>
      <c r="D1912" s="22"/>
      <c r="E1912" s="22"/>
      <c r="F1912" s="22"/>
      <c r="G1912" s="22"/>
      <c r="H1912" s="22"/>
      <c r="I1912" s="24"/>
      <c r="J1912" s="24"/>
      <c r="K1912" s="24"/>
      <c r="L1912" s="24"/>
      <c r="M1912" s="26"/>
      <c r="N1912" s="26"/>
      <c r="O1912" s="26"/>
      <c r="P1912" s="27"/>
      <c r="Q1912" s="27"/>
      <c r="R1912" s="27"/>
      <c r="S1912" s="22"/>
      <c r="T1912" s="22"/>
      <c r="U1912" s="28"/>
    </row>
    <row r="1913">
      <c r="A1913" s="189"/>
      <c r="B1913" s="22"/>
      <c r="C1913" s="22"/>
      <c r="D1913" s="22"/>
      <c r="E1913" s="22"/>
      <c r="F1913" s="22"/>
      <c r="G1913" s="22"/>
      <c r="H1913" s="22"/>
      <c r="I1913" s="24"/>
      <c r="J1913" s="24"/>
      <c r="K1913" s="24"/>
      <c r="L1913" s="24"/>
      <c r="M1913" s="26"/>
      <c r="N1913" s="26"/>
      <c r="O1913" s="26"/>
      <c r="P1913" s="27"/>
      <c r="Q1913" s="27"/>
      <c r="R1913" s="27"/>
      <c r="S1913" s="22"/>
      <c r="T1913" s="22"/>
      <c r="U1913" s="28"/>
    </row>
    <row r="1914">
      <c r="A1914" s="189"/>
      <c r="B1914" s="22"/>
      <c r="C1914" s="22"/>
      <c r="D1914" s="22"/>
      <c r="E1914" s="22"/>
      <c r="F1914" s="22"/>
      <c r="G1914" s="22"/>
      <c r="H1914" s="22"/>
      <c r="I1914" s="24"/>
      <c r="J1914" s="24"/>
      <c r="K1914" s="24"/>
      <c r="L1914" s="24"/>
      <c r="M1914" s="26"/>
      <c r="N1914" s="26"/>
      <c r="O1914" s="26"/>
      <c r="P1914" s="27"/>
      <c r="Q1914" s="27"/>
      <c r="R1914" s="27"/>
      <c r="S1914" s="22"/>
      <c r="T1914" s="22"/>
      <c r="U1914" s="28"/>
    </row>
    <row r="1915">
      <c r="A1915" s="189"/>
      <c r="B1915" s="22"/>
      <c r="C1915" s="22"/>
      <c r="D1915" s="22"/>
      <c r="E1915" s="22"/>
      <c r="F1915" s="22"/>
      <c r="G1915" s="22"/>
      <c r="H1915" s="22"/>
      <c r="I1915" s="24"/>
      <c r="J1915" s="24"/>
      <c r="K1915" s="24"/>
      <c r="L1915" s="24"/>
      <c r="M1915" s="26"/>
      <c r="N1915" s="26"/>
      <c r="O1915" s="26"/>
      <c r="P1915" s="27"/>
      <c r="Q1915" s="27"/>
      <c r="R1915" s="27"/>
      <c r="S1915" s="22"/>
      <c r="T1915" s="22"/>
      <c r="U1915" s="28"/>
    </row>
    <row r="1916">
      <c r="A1916" s="189"/>
      <c r="B1916" s="22"/>
      <c r="C1916" s="22"/>
      <c r="D1916" s="22"/>
      <c r="E1916" s="22"/>
      <c r="F1916" s="22"/>
      <c r="G1916" s="22"/>
      <c r="H1916" s="22"/>
      <c r="I1916" s="24"/>
      <c r="J1916" s="24"/>
      <c r="K1916" s="24"/>
      <c r="L1916" s="24"/>
      <c r="M1916" s="26"/>
      <c r="N1916" s="26"/>
      <c r="O1916" s="26"/>
      <c r="P1916" s="27"/>
      <c r="Q1916" s="27"/>
      <c r="R1916" s="27"/>
      <c r="S1916" s="22"/>
      <c r="T1916" s="22"/>
      <c r="U1916" s="28"/>
    </row>
    <row r="1917">
      <c r="A1917" s="189"/>
      <c r="B1917" s="22"/>
      <c r="C1917" s="22"/>
      <c r="D1917" s="22"/>
      <c r="E1917" s="22"/>
      <c r="F1917" s="22"/>
      <c r="G1917" s="22"/>
      <c r="H1917" s="22"/>
      <c r="I1917" s="24"/>
      <c r="J1917" s="24"/>
      <c r="K1917" s="24"/>
      <c r="L1917" s="24"/>
      <c r="M1917" s="26"/>
      <c r="N1917" s="26"/>
      <c r="O1917" s="26"/>
      <c r="P1917" s="27"/>
      <c r="Q1917" s="27"/>
      <c r="R1917" s="27"/>
      <c r="S1917" s="22"/>
      <c r="T1917" s="22"/>
      <c r="U1917" s="28"/>
    </row>
    <row r="1918">
      <c r="A1918" s="189"/>
      <c r="B1918" s="22"/>
      <c r="C1918" s="22"/>
      <c r="D1918" s="22"/>
      <c r="E1918" s="22"/>
      <c r="F1918" s="22"/>
      <c r="G1918" s="22"/>
      <c r="H1918" s="22"/>
      <c r="I1918" s="24"/>
      <c r="J1918" s="24"/>
      <c r="K1918" s="24"/>
      <c r="L1918" s="24"/>
      <c r="M1918" s="26"/>
      <c r="N1918" s="26"/>
      <c r="O1918" s="26"/>
      <c r="P1918" s="27"/>
      <c r="Q1918" s="27"/>
      <c r="R1918" s="27"/>
      <c r="S1918" s="22"/>
      <c r="T1918" s="22"/>
      <c r="U1918" s="28"/>
    </row>
    <row r="1919">
      <c r="A1919" s="189"/>
      <c r="B1919" s="22"/>
      <c r="C1919" s="22"/>
      <c r="D1919" s="22"/>
      <c r="E1919" s="22"/>
      <c r="F1919" s="22"/>
      <c r="G1919" s="22"/>
      <c r="H1919" s="22"/>
      <c r="I1919" s="24"/>
      <c r="J1919" s="24"/>
      <c r="K1919" s="24"/>
      <c r="L1919" s="24"/>
      <c r="M1919" s="26"/>
      <c r="N1919" s="26"/>
      <c r="O1919" s="26"/>
      <c r="P1919" s="27"/>
      <c r="Q1919" s="27"/>
      <c r="R1919" s="27"/>
      <c r="S1919" s="22"/>
      <c r="T1919" s="22"/>
      <c r="U1919" s="28"/>
    </row>
    <row r="1920">
      <c r="A1920" s="189"/>
      <c r="B1920" s="22"/>
      <c r="C1920" s="22"/>
      <c r="D1920" s="22"/>
      <c r="E1920" s="22"/>
      <c r="F1920" s="22"/>
      <c r="G1920" s="22"/>
      <c r="H1920" s="22"/>
      <c r="I1920" s="24"/>
      <c r="J1920" s="24"/>
      <c r="K1920" s="24"/>
      <c r="L1920" s="24"/>
      <c r="M1920" s="26"/>
      <c r="N1920" s="26"/>
      <c r="O1920" s="26"/>
      <c r="P1920" s="27"/>
      <c r="Q1920" s="27"/>
      <c r="R1920" s="27"/>
      <c r="S1920" s="22"/>
      <c r="T1920" s="22"/>
      <c r="U1920" s="28"/>
    </row>
    <row r="1921">
      <c r="A1921" s="189"/>
      <c r="B1921" s="22"/>
      <c r="C1921" s="22"/>
      <c r="D1921" s="22"/>
      <c r="E1921" s="22"/>
      <c r="F1921" s="22"/>
      <c r="G1921" s="22"/>
      <c r="H1921" s="22"/>
      <c r="I1921" s="24"/>
      <c r="J1921" s="24"/>
      <c r="K1921" s="24"/>
      <c r="L1921" s="24"/>
      <c r="M1921" s="26"/>
      <c r="N1921" s="26"/>
      <c r="O1921" s="26"/>
      <c r="P1921" s="27"/>
      <c r="Q1921" s="27"/>
      <c r="R1921" s="27"/>
      <c r="S1921" s="22"/>
      <c r="T1921" s="22"/>
      <c r="U1921" s="28"/>
    </row>
    <row r="1922">
      <c r="A1922" s="189"/>
      <c r="B1922" s="22"/>
      <c r="C1922" s="22"/>
      <c r="D1922" s="22"/>
      <c r="E1922" s="22"/>
      <c r="F1922" s="22"/>
      <c r="G1922" s="22"/>
      <c r="H1922" s="22"/>
      <c r="I1922" s="24"/>
      <c r="J1922" s="24"/>
      <c r="K1922" s="24"/>
      <c r="L1922" s="24"/>
      <c r="M1922" s="26"/>
      <c r="N1922" s="26"/>
      <c r="O1922" s="26"/>
      <c r="P1922" s="27"/>
      <c r="Q1922" s="27"/>
      <c r="R1922" s="27"/>
      <c r="S1922" s="22"/>
      <c r="T1922" s="22"/>
      <c r="U1922" s="28"/>
    </row>
    <row r="1923">
      <c r="A1923" s="189"/>
      <c r="B1923" s="22"/>
      <c r="C1923" s="22"/>
      <c r="D1923" s="22"/>
      <c r="E1923" s="22"/>
      <c r="F1923" s="22"/>
      <c r="G1923" s="22"/>
      <c r="H1923" s="22"/>
      <c r="I1923" s="24"/>
      <c r="J1923" s="24"/>
      <c r="K1923" s="24"/>
      <c r="L1923" s="24"/>
      <c r="M1923" s="26"/>
      <c r="N1923" s="26"/>
      <c r="O1923" s="26"/>
      <c r="P1923" s="27"/>
      <c r="Q1923" s="27"/>
      <c r="R1923" s="27"/>
      <c r="S1923" s="22"/>
      <c r="T1923" s="22"/>
      <c r="U1923" s="28"/>
    </row>
    <row r="1924">
      <c r="A1924" s="189"/>
      <c r="B1924" s="22"/>
      <c r="C1924" s="22"/>
      <c r="D1924" s="22"/>
      <c r="E1924" s="22"/>
      <c r="F1924" s="22"/>
      <c r="G1924" s="22"/>
      <c r="H1924" s="22"/>
      <c r="I1924" s="24"/>
      <c r="J1924" s="24"/>
      <c r="K1924" s="24"/>
      <c r="L1924" s="24"/>
      <c r="M1924" s="26"/>
      <c r="N1924" s="26"/>
      <c r="O1924" s="26"/>
      <c r="P1924" s="27"/>
      <c r="Q1924" s="27"/>
      <c r="R1924" s="27"/>
      <c r="S1924" s="22"/>
      <c r="T1924" s="22"/>
      <c r="U1924" s="28"/>
    </row>
    <row r="1925">
      <c r="A1925" s="189"/>
      <c r="B1925" s="22"/>
      <c r="C1925" s="22"/>
      <c r="D1925" s="22"/>
      <c r="E1925" s="22"/>
      <c r="F1925" s="22"/>
      <c r="G1925" s="22"/>
      <c r="H1925" s="22"/>
      <c r="I1925" s="24"/>
      <c r="J1925" s="24"/>
      <c r="K1925" s="24"/>
      <c r="L1925" s="24"/>
      <c r="M1925" s="26"/>
      <c r="N1925" s="26"/>
      <c r="O1925" s="26"/>
      <c r="P1925" s="27"/>
      <c r="Q1925" s="27"/>
      <c r="R1925" s="27"/>
      <c r="S1925" s="22"/>
      <c r="T1925" s="22"/>
      <c r="U1925" s="28"/>
    </row>
    <row r="1926">
      <c r="A1926" s="189"/>
      <c r="B1926" s="22"/>
      <c r="C1926" s="22"/>
      <c r="D1926" s="22"/>
      <c r="E1926" s="22"/>
      <c r="F1926" s="22"/>
      <c r="G1926" s="22"/>
      <c r="H1926" s="22"/>
      <c r="I1926" s="24"/>
      <c r="J1926" s="24"/>
      <c r="K1926" s="24"/>
      <c r="L1926" s="24"/>
      <c r="M1926" s="26"/>
      <c r="N1926" s="26"/>
      <c r="O1926" s="26"/>
      <c r="P1926" s="27"/>
      <c r="Q1926" s="27"/>
      <c r="R1926" s="27"/>
      <c r="S1926" s="22"/>
      <c r="T1926" s="22"/>
      <c r="U1926" s="28"/>
    </row>
    <row r="1927">
      <c r="A1927" s="189"/>
      <c r="B1927" s="22"/>
      <c r="C1927" s="22"/>
      <c r="D1927" s="22"/>
      <c r="E1927" s="22"/>
      <c r="F1927" s="22"/>
      <c r="G1927" s="22"/>
      <c r="H1927" s="22"/>
      <c r="I1927" s="24"/>
      <c r="J1927" s="24"/>
      <c r="K1927" s="24"/>
      <c r="L1927" s="24"/>
      <c r="M1927" s="26"/>
      <c r="N1927" s="26"/>
      <c r="O1927" s="26"/>
      <c r="P1927" s="27"/>
      <c r="Q1927" s="27"/>
      <c r="R1927" s="27"/>
      <c r="S1927" s="22"/>
      <c r="T1927" s="22"/>
      <c r="U1927" s="28"/>
    </row>
    <row r="1928">
      <c r="A1928" s="189"/>
      <c r="B1928" s="22"/>
      <c r="C1928" s="22"/>
      <c r="D1928" s="22"/>
      <c r="E1928" s="22"/>
      <c r="F1928" s="22"/>
      <c r="G1928" s="22"/>
      <c r="H1928" s="22"/>
      <c r="I1928" s="24"/>
      <c r="J1928" s="24"/>
      <c r="K1928" s="24"/>
      <c r="L1928" s="24"/>
      <c r="M1928" s="26"/>
      <c r="N1928" s="26"/>
      <c r="O1928" s="26"/>
      <c r="P1928" s="27"/>
      <c r="Q1928" s="27"/>
      <c r="R1928" s="27"/>
      <c r="S1928" s="22"/>
      <c r="T1928" s="22"/>
      <c r="U1928" s="28"/>
    </row>
    <row r="1929">
      <c r="A1929" s="189"/>
      <c r="B1929" s="22"/>
      <c r="C1929" s="22"/>
      <c r="D1929" s="22"/>
      <c r="E1929" s="22"/>
      <c r="F1929" s="22"/>
      <c r="G1929" s="22"/>
      <c r="H1929" s="22"/>
      <c r="I1929" s="24"/>
      <c r="J1929" s="24"/>
      <c r="K1929" s="24"/>
      <c r="L1929" s="24"/>
      <c r="M1929" s="26"/>
      <c r="N1929" s="26"/>
      <c r="O1929" s="26"/>
      <c r="P1929" s="27"/>
      <c r="Q1929" s="27"/>
      <c r="R1929" s="27"/>
      <c r="S1929" s="22"/>
      <c r="T1929" s="22"/>
      <c r="U1929" s="28"/>
    </row>
    <row r="1930">
      <c r="A1930" s="189"/>
      <c r="B1930" s="22"/>
      <c r="C1930" s="22"/>
      <c r="D1930" s="22"/>
      <c r="E1930" s="22"/>
      <c r="F1930" s="22"/>
      <c r="G1930" s="22"/>
      <c r="H1930" s="22"/>
      <c r="I1930" s="24"/>
      <c r="J1930" s="24"/>
      <c r="K1930" s="24"/>
      <c r="L1930" s="24"/>
      <c r="M1930" s="26"/>
      <c r="N1930" s="26"/>
      <c r="O1930" s="26"/>
      <c r="P1930" s="27"/>
      <c r="Q1930" s="27"/>
      <c r="R1930" s="27"/>
      <c r="S1930" s="22"/>
      <c r="T1930" s="22"/>
      <c r="U1930" s="28"/>
    </row>
    <row r="1931">
      <c r="A1931" s="189"/>
      <c r="B1931" s="22"/>
      <c r="C1931" s="22"/>
      <c r="D1931" s="22"/>
      <c r="E1931" s="22"/>
      <c r="F1931" s="22"/>
      <c r="G1931" s="22"/>
      <c r="H1931" s="22"/>
      <c r="I1931" s="24"/>
      <c r="J1931" s="24"/>
      <c r="K1931" s="24"/>
      <c r="L1931" s="24"/>
      <c r="M1931" s="26"/>
      <c r="N1931" s="26"/>
      <c r="O1931" s="26"/>
      <c r="P1931" s="27"/>
      <c r="Q1931" s="27"/>
      <c r="R1931" s="27"/>
      <c r="S1931" s="22"/>
      <c r="T1931" s="22"/>
      <c r="U1931" s="28"/>
    </row>
    <row r="1932">
      <c r="A1932" s="189"/>
      <c r="B1932" s="22"/>
      <c r="C1932" s="22"/>
      <c r="D1932" s="22"/>
      <c r="E1932" s="22"/>
      <c r="F1932" s="22"/>
      <c r="G1932" s="22"/>
      <c r="H1932" s="22"/>
      <c r="I1932" s="24"/>
      <c r="J1932" s="24"/>
      <c r="K1932" s="24"/>
      <c r="L1932" s="24"/>
      <c r="M1932" s="26"/>
      <c r="N1932" s="26"/>
      <c r="O1932" s="26"/>
      <c r="P1932" s="27"/>
      <c r="Q1932" s="27"/>
      <c r="R1932" s="27"/>
      <c r="S1932" s="22"/>
      <c r="T1932" s="22"/>
      <c r="U1932" s="28"/>
    </row>
    <row r="1933">
      <c r="A1933" s="189"/>
      <c r="B1933" s="22"/>
      <c r="C1933" s="22"/>
      <c r="D1933" s="22"/>
      <c r="E1933" s="22"/>
      <c r="F1933" s="22"/>
      <c r="G1933" s="22"/>
      <c r="H1933" s="22"/>
      <c r="I1933" s="24"/>
      <c r="J1933" s="24"/>
      <c r="K1933" s="24"/>
      <c r="L1933" s="24"/>
      <c r="M1933" s="26"/>
      <c r="N1933" s="26"/>
      <c r="O1933" s="26"/>
      <c r="P1933" s="27"/>
      <c r="Q1933" s="27"/>
      <c r="R1933" s="27"/>
      <c r="S1933" s="22"/>
      <c r="T1933" s="22"/>
      <c r="U1933" s="28"/>
    </row>
    <row r="1934">
      <c r="A1934" s="189"/>
      <c r="B1934" s="22"/>
      <c r="C1934" s="22"/>
      <c r="D1934" s="22"/>
      <c r="E1934" s="22"/>
      <c r="F1934" s="22"/>
      <c r="G1934" s="22"/>
      <c r="H1934" s="22"/>
      <c r="I1934" s="24"/>
      <c r="J1934" s="24"/>
      <c r="K1934" s="24"/>
      <c r="L1934" s="24"/>
      <c r="M1934" s="26"/>
      <c r="N1934" s="26"/>
      <c r="O1934" s="26"/>
      <c r="P1934" s="27"/>
      <c r="Q1934" s="27"/>
      <c r="R1934" s="27"/>
      <c r="S1934" s="22"/>
      <c r="T1934" s="22"/>
      <c r="U1934" s="28"/>
    </row>
    <row r="1935">
      <c r="A1935" s="189"/>
      <c r="B1935" s="22"/>
      <c r="C1935" s="22"/>
      <c r="D1935" s="22"/>
      <c r="E1935" s="22"/>
      <c r="F1935" s="22"/>
      <c r="G1935" s="22"/>
      <c r="H1935" s="22"/>
      <c r="I1935" s="24"/>
      <c r="J1935" s="24"/>
      <c r="K1935" s="24"/>
      <c r="L1935" s="24"/>
      <c r="M1935" s="26"/>
      <c r="N1935" s="26"/>
      <c r="O1935" s="26"/>
      <c r="P1935" s="27"/>
      <c r="Q1935" s="27"/>
      <c r="R1935" s="27"/>
      <c r="S1935" s="22"/>
      <c r="T1935" s="22"/>
      <c r="U1935" s="28"/>
    </row>
    <row r="1936">
      <c r="A1936" s="189"/>
      <c r="B1936" s="22"/>
      <c r="C1936" s="22"/>
      <c r="D1936" s="22"/>
      <c r="E1936" s="22"/>
      <c r="F1936" s="22"/>
      <c r="G1936" s="22"/>
      <c r="H1936" s="22"/>
      <c r="I1936" s="24"/>
      <c r="J1936" s="24"/>
      <c r="K1936" s="24"/>
      <c r="L1936" s="24"/>
      <c r="M1936" s="26"/>
      <c r="N1936" s="26"/>
      <c r="O1936" s="26"/>
      <c r="P1936" s="27"/>
      <c r="Q1936" s="27"/>
      <c r="R1936" s="27"/>
      <c r="S1936" s="22"/>
      <c r="T1936" s="22"/>
      <c r="U1936" s="28"/>
    </row>
    <row r="1937">
      <c r="A1937" s="189"/>
      <c r="B1937" s="22"/>
      <c r="C1937" s="22"/>
      <c r="D1937" s="22"/>
      <c r="E1937" s="22"/>
      <c r="F1937" s="22"/>
      <c r="G1937" s="22"/>
      <c r="H1937" s="22"/>
      <c r="I1937" s="24"/>
      <c r="J1937" s="24"/>
      <c r="K1937" s="24"/>
      <c r="L1937" s="24"/>
      <c r="M1937" s="26"/>
      <c r="N1937" s="26"/>
      <c r="O1937" s="26"/>
      <c r="P1937" s="27"/>
      <c r="Q1937" s="27"/>
      <c r="R1937" s="27"/>
      <c r="S1937" s="22"/>
      <c r="T1937" s="22"/>
      <c r="U1937" s="28"/>
    </row>
    <row r="1938">
      <c r="A1938" s="189"/>
      <c r="B1938" s="22"/>
      <c r="C1938" s="22"/>
      <c r="D1938" s="22"/>
      <c r="E1938" s="22"/>
      <c r="F1938" s="22"/>
      <c r="G1938" s="22"/>
      <c r="H1938" s="22"/>
      <c r="I1938" s="24"/>
      <c r="J1938" s="24"/>
      <c r="K1938" s="24"/>
      <c r="L1938" s="24"/>
      <c r="M1938" s="26"/>
      <c r="N1938" s="26"/>
      <c r="O1938" s="26"/>
      <c r="P1938" s="27"/>
      <c r="Q1938" s="27"/>
      <c r="R1938" s="27"/>
      <c r="S1938" s="22"/>
      <c r="T1938" s="22"/>
      <c r="U1938" s="28"/>
    </row>
    <row r="1939">
      <c r="A1939" s="189"/>
      <c r="B1939" s="22"/>
      <c r="C1939" s="22"/>
      <c r="D1939" s="22"/>
      <c r="E1939" s="22"/>
      <c r="F1939" s="22"/>
      <c r="G1939" s="22"/>
      <c r="H1939" s="22"/>
      <c r="I1939" s="24"/>
      <c r="J1939" s="24"/>
      <c r="K1939" s="24"/>
      <c r="L1939" s="24"/>
      <c r="M1939" s="26"/>
      <c r="N1939" s="26"/>
      <c r="O1939" s="26"/>
      <c r="P1939" s="27"/>
      <c r="Q1939" s="27"/>
      <c r="R1939" s="27"/>
      <c r="S1939" s="22"/>
      <c r="T1939" s="22"/>
      <c r="U1939" s="28"/>
    </row>
    <row r="1940">
      <c r="A1940" s="189"/>
      <c r="B1940" s="22"/>
      <c r="C1940" s="22"/>
      <c r="D1940" s="22"/>
      <c r="E1940" s="22"/>
      <c r="F1940" s="22"/>
      <c r="G1940" s="22"/>
      <c r="H1940" s="22"/>
      <c r="I1940" s="24"/>
      <c r="J1940" s="24"/>
      <c r="K1940" s="24"/>
      <c r="L1940" s="24"/>
      <c r="M1940" s="26"/>
      <c r="N1940" s="26"/>
      <c r="O1940" s="26"/>
      <c r="P1940" s="27"/>
      <c r="Q1940" s="27"/>
      <c r="R1940" s="27"/>
      <c r="S1940" s="22"/>
      <c r="T1940" s="22"/>
      <c r="U1940" s="28"/>
    </row>
    <row r="1941">
      <c r="A1941" s="189"/>
      <c r="B1941" s="22"/>
      <c r="C1941" s="22"/>
      <c r="D1941" s="22"/>
      <c r="E1941" s="22"/>
      <c r="F1941" s="22"/>
      <c r="G1941" s="22"/>
      <c r="H1941" s="22"/>
      <c r="I1941" s="24"/>
      <c r="J1941" s="24"/>
      <c r="K1941" s="24"/>
      <c r="L1941" s="24"/>
      <c r="M1941" s="26"/>
      <c r="N1941" s="26"/>
      <c r="O1941" s="26"/>
      <c r="P1941" s="27"/>
      <c r="Q1941" s="27"/>
      <c r="R1941" s="27"/>
      <c r="S1941" s="22"/>
      <c r="T1941" s="22"/>
      <c r="U1941" s="28"/>
    </row>
    <row r="1942">
      <c r="A1942" s="189"/>
      <c r="B1942" s="22"/>
      <c r="C1942" s="22"/>
      <c r="D1942" s="22"/>
      <c r="E1942" s="22"/>
      <c r="F1942" s="22"/>
      <c r="G1942" s="22"/>
      <c r="H1942" s="22"/>
      <c r="I1942" s="24"/>
      <c r="J1942" s="24"/>
      <c r="K1942" s="24"/>
      <c r="L1942" s="24"/>
      <c r="M1942" s="26"/>
      <c r="N1942" s="26"/>
      <c r="O1942" s="26"/>
      <c r="P1942" s="27"/>
      <c r="Q1942" s="27"/>
      <c r="R1942" s="27"/>
      <c r="S1942" s="22"/>
      <c r="T1942" s="22"/>
      <c r="U1942" s="28"/>
    </row>
    <row r="1943">
      <c r="A1943" s="189"/>
      <c r="B1943" s="22"/>
      <c r="C1943" s="22"/>
      <c r="D1943" s="22"/>
      <c r="E1943" s="22"/>
      <c r="F1943" s="22"/>
      <c r="G1943" s="22"/>
      <c r="H1943" s="22"/>
      <c r="I1943" s="24"/>
      <c r="J1943" s="24"/>
      <c r="K1943" s="24"/>
      <c r="L1943" s="24"/>
      <c r="M1943" s="26"/>
      <c r="N1943" s="26"/>
      <c r="O1943" s="26"/>
      <c r="P1943" s="27"/>
      <c r="Q1943" s="27"/>
      <c r="R1943" s="27"/>
      <c r="S1943" s="22"/>
      <c r="T1943" s="22"/>
      <c r="U1943" s="28"/>
    </row>
    <row r="1944">
      <c r="A1944" s="189"/>
      <c r="B1944" s="22"/>
      <c r="C1944" s="22"/>
      <c r="D1944" s="22"/>
      <c r="E1944" s="22"/>
      <c r="F1944" s="22"/>
      <c r="G1944" s="22"/>
      <c r="H1944" s="22"/>
      <c r="I1944" s="24"/>
      <c r="J1944" s="24"/>
      <c r="K1944" s="24"/>
      <c r="L1944" s="24"/>
      <c r="M1944" s="26"/>
      <c r="N1944" s="26"/>
      <c r="O1944" s="26"/>
      <c r="P1944" s="27"/>
      <c r="Q1944" s="27"/>
      <c r="R1944" s="27"/>
      <c r="S1944" s="22"/>
      <c r="T1944" s="22"/>
      <c r="U1944" s="28"/>
    </row>
    <row r="1945">
      <c r="A1945" s="189"/>
      <c r="B1945" s="22"/>
      <c r="C1945" s="22"/>
      <c r="D1945" s="22"/>
      <c r="E1945" s="22"/>
      <c r="F1945" s="22"/>
      <c r="G1945" s="22"/>
      <c r="H1945" s="22"/>
      <c r="I1945" s="24"/>
      <c r="J1945" s="24"/>
      <c r="K1945" s="24"/>
      <c r="L1945" s="24"/>
      <c r="M1945" s="26"/>
      <c r="N1945" s="26"/>
      <c r="O1945" s="26"/>
      <c r="P1945" s="27"/>
      <c r="Q1945" s="27"/>
      <c r="R1945" s="27"/>
      <c r="S1945" s="22"/>
      <c r="T1945" s="22"/>
      <c r="U1945" s="28"/>
    </row>
    <row r="1946">
      <c r="A1946" s="189"/>
      <c r="B1946" s="22"/>
      <c r="C1946" s="22"/>
      <c r="D1946" s="22"/>
      <c r="E1946" s="22"/>
      <c r="F1946" s="22"/>
      <c r="G1946" s="22"/>
      <c r="H1946" s="22"/>
      <c r="I1946" s="24"/>
      <c r="J1946" s="24"/>
      <c r="K1946" s="24"/>
      <c r="L1946" s="24"/>
      <c r="M1946" s="26"/>
      <c r="N1946" s="26"/>
      <c r="O1946" s="26"/>
      <c r="P1946" s="27"/>
      <c r="Q1946" s="27"/>
      <c r="R1946" s="27"/>
      <c r="S1946" s="22"/>
      <c r="T1946" s="22"/>
      <c r="U1946" s="28"/>
    </row>
    <row r="1947">
      <c r="A1947" s="189"/>
      <c r="B1947" s="22"/>
      <c r="C1947" s="22"/>
      <c r="D1947" s="22"/>
      <c r="E1947" s="22"/>
      <c r="F1947" s="22"/>
      <c r="G1947" s="22"/>
      <c r="H1947" s="22"/>
      <c r="I1947" s="24"/>
      <c r="J1947" s="24"/>
      <c r="K1947" s="24"/>
      <c r="L1947" s="24"/>
      <c r="M1947" s="26"/>
      <c r="N1947" s="26"/>
      <c r="O1947" s="26"/>
      <c r="P1947" s="27"/>
      <c r="Q1947" s="27"/>
      <c r="R1947" s="27"/>
      <c r="S1947" s="22"/>
      <c r="T1947" s="22"/>
      <c r="U1947" s="28"/>
    </row>
    <row r="1948">
      <c r="A1948" s="189"/>
      <c r="B1948" s="22"/>
      <c r="C1948" s="22"/>
      <c r="D1948" s="22"/>
      <c r="E1948" s="22"/>
      <c r="F1948" s="22"/>
      <c r="G1948" s="22"/>
      <c r="H1948" s="22"/>
      <c r="I1948" s="24"/>
      <c r="J1948" s="24"/>
      <c r="K1948" s="24"/>
      <c r="L1948" s="24"/>
      <c r="M1948" s="26"/>
      <c r="N1948" s="26"/>
      <c r="O1948" s="26"/>
      <c r="P1948" s="27"/>
      <c r="Q1948" s="27"/>
      <c r="R1948" s="27"/>
      <c r="S1948" s="22"/>
      <c r="T1948" s="22"/>
      <c r="U1948" s="28"/>
    </row>
    <row r="1949">
      <c r="A1949" s="189"/>
      <c r="B1949" s="22"/>
      <c r="C1949" s="22"/>
      <c r="D1949" s="22"/>
      <c r="E1949" s="22"/>
      <c r="F1949" s="22"/>
      <c r="G1949" s="22"/>
      <c r="H1949" s="22"/>
      <c r="I1949" s="24"/>
      <c r="J1949" s="24"/>
      <c r="K1949" s="24"/>
      <c r="L1949" s="24"/>
      <c r="M1949" s="26"/>
      <c r="N1949" s="26"/>
      <c r="O1949" s="26"/>
      <c r="P1949" s="27"/>
      <c r="Q1949" s="27"/>
      <c r="R1949" s="27"/>
      <c r="S1949" s="22"/>
      <c r="T1949" s="22"/>
      <c r="U1949" s="28"/>
    </row>
    <row r="1950">
      <c r="A1950" s="189"/>
      <c r="B1950" s="22"/>
      <c r="C1950" s="22"/>
      <c r="D1950" s="22"/>
      <c r="E1950" s="22"/>
      <c r="F1950" s="22"/>
      <c r="G1950" s="22"/>
      <c r="H1950" s="22"/>
      <c r="I1950" s="24"/>
      <c r="J1950" s="24"/>
      <c r="K1950" s="24"/>
      <c r="L1950" s="24"/>
      <c r="M1950" s="26"/>
      <c r="N1950" s="26"/>
      <c r="O1950" s="26"/>
      <c r="P1950" s="27"/>
      <c r="Q1950" s="27"/>
      <c r="R1950" s="27"/>
      <c r="S1950" s="22"/>
      <c r="T1950" s="22"/>
      <c r="U1950" s="28"/>
    </row>
    <row r="1951">
      <c r="A1951" s="189"/>
      <c r="B1951" s="22"/>
      <c r="C1951" s="22"/>
      <c r="D1951" s="22"/>
      <c r="E1951" s="22"/>
      <c r="F1951" s="22"/>
      <c r="G1951" s="22"/>
      <c r="H1951" s="22"/>
      <c r="I1951" s="24"/>
      <c r="J1951" s="24"/>
      <c r="K1951" s="24"/>
      <c r="L1951" s="24"/>
      <c r="M1951" s="26"/>
      <c r="N1951" s="26"/>
      <c r="O1951" s="26"/>
      <c r="P1951" s="27"/>
      <c r="Q1951" s="27"/>
      <c r="R1951" s="27"/>
      <c r="S1951" s="22"/>
      <c r="T1951" s="22"/>
      <c r="U1951" s="28"/>
    </row>
    <row r="1952">
      <c r="A1952" s="189"/>
      <c r="B1952" s="22"/>
      <c r="C1952" s="22"/>
      <c r="D1952" s="22"/>
      <c r="E1952" s="22"/>
      <c r="F1952" s="22"/>
      <c r="G1952" s="22"/>
      <c r="H1952" s="22"/>
      <c r="I1952" s="24"/>
      <c r="J1952" s="24"/>
      <c r="K1952" s="24"/>
      <c r="L1952" s="24"/>
      <c r="M1952" s="26"/>
      <c r="N1952" s="26"/>
      <c r="O1952" s="26"/>
      <c r="P1952" s="27"/>
      <c r="Q1952" s="27"/>
      <c r="R1952" s="27"/>
      <c r="S1952" s="22"/>
      <c r="T1952" s="22"/>
      <c r="U1952" s="28"/>
    </row>
    <row r="1953">
      <c r="A1953" s="189"/>
      <c r="B1953" s="22"/>
      <c r="C1953" s="22"/>
      <c r="D1953" s="22"/>
      <c r="E1953" s="22"/>
      <c r="F1953" s="22"/>
      <c r="G1953" s="22"/>
      <c r="H1953" s="22"/>
      <c r="I1953" s="24"/>
      <c r="J1953" s="24"/>
      <c r="K1953" s="24"/>
      <c r="L1953" s="24"/>
      <c r="M1953" s="26"/>
      <c r="N1953" s="26"/>
      <c r="O1953" s="26"/>
      <c r="P1953" s="27"/>
      <c r="Q1953" s="27"/>
      <c r="R1953" s="27"/>
      <c r="S1953" s="22"/>
      <c r="T1953" s="22"/>
      <c r="U1953" s="28"/>
    </row>
    <row r="1954">
      <c r="A1954" s="189"/>
      <c r="B1954" s="22"/>
      <c r="C1954" s="22"/>
      <c r="D1954" s="22"/>
      <c r="E1954" s="22"/>
      <c r="F1954" s="22"/>
      <c r="G1954" s="22"/>
      <c r="H1954" s="22"/>
      <c r="I1954" s="24"/>
      <c r="J1954" s="24"/>
      <c r="K1954" s="24"/>
      <c r="L1954" s="24"/>
      <c r="M1954" s="26"/>
      <c r="N1954" s="26"/>
      <c r="O1954" s="26"/>
      <c r="P1954" s="27"/>
      <c r="Q1954" s="27"/>
      <c r="R1954" s="27"/>
      <c r="S1954" s="22"/>
      <c r="T1954" s="22"/>
      <c r="U1954" s="28"/>
    </row>
    <row r="1955">
      <c r="A1955" s="189"/>
      <c r="B1955" s="22"/>
      <c r="C1955" s="22"/>
      <c r="D1955" s="22"/>
      <c r="E1955" s="22"/>
      <c r="F1955" s="22"/>
      <c r="G1955" s="22"/>
      <c r="H1955" s="22"/>
      <c r="I1955" s="24"/>
      <c r="J1955" s="24"/>
      <c r="K1955" s="24"/>
      <c r="L1955" s="24"/>
      <c r="M1955" s="26"/>
      <c r="N1955" s="26"/>
      <c r="O1955" s="26"/>
      <c r="P1955" s="27"/>
      <c r="Q1955" s="27"/>
      <c r="R1955" s="27"/>
      <c r="S1955" s="22"/>
      <c r="T1955" s="22"/>
      <c r="U1955" s="28"/>
    </row>
    <row r="1956">
      <c r="A1956" s="189"/>
      <c r="B1956" s="22"/>
      <c r="C1956" s="22"/>
      <c r="D1956" s="22"/>
      <c r="E1956" s="22"/>
      <c r="F1956" s="22"/>
      <c r="G1956" s="22"/>
      <c r="H1956" s="22"/>
      <c r="I1956" s="24"/>
      <c r="J1956" s="24"/>
      <c r="K1956" s="24"/>
      <c r="L1956" s="24"/>
      <c r="M1956" s="26"/>
      <c r="N1956" s="26"/>
      <c r="O1956" s="26"/>
      <c r="P1956" s="27"/>
      <c r="Q1956" s="27"/>
      <c r="R1956" s="27"/>
      <c r="S1956" s="22"/>
      <c r="T1956" s="22"/>
      <c r="U1956" s="28"/>
    </row>
    <row r="1957">
      <c r="A1957" s="189"/>
      <c r="B1957" s="22"/>
      <c r="C1957" s="22"/>
      <c r="D1957" s="22"/>
      <c r="E1957" s="22"/>
      <c r="F1957" s="22"/>
      <c r="G1957" s="22"/>
      <c r="H1957" s="22"/>
      <c r="I1957" s="24"/>
      <c r="J1957" s="24"/>
      <c r="K1957" s="24"/>
      <c r="L1957" s="24"/>
      <c r="M1957" s="26"/>
      <c r="N1957" s="26"/>
      <c r="O1957" s="26"/>
      <c r="P1957" s="27"/>
      <c r="Q1957" s="27"/>
      <c r="R1957" s="27"/>
      <c r="S1957" s="22"/>
      <c r="T1957" s="22"/>
      <c r="U1957" s="28"/>
    </row>
    <row r="1958">
      <c r="A1958" s="189"/>
      <c r="B1958" s="22"/>
      <c r="C1958" s="22"/>
      <c r="D1958" s="22"/>
      <c r="E1958" s="22"/>
      <c r="F1958" s="22"/>
      <c r="G1958" s="22"/>
      <c r="H1958" s="22"/>
      <c r="I1958" s="24"/>
      <c r="J1958" s="24"/>
      <c r="K1958" s="24"/>
      <c r="L1958" s="24"/>
      <c r="M1958" s="26"/>
      <c r="N1958" s="26"/>
      <c r="O1958" s="26"/>
      <c r="P1958" s="27"/>
      <c r="Q1958" s="27"/>
      <c r="R1958" s="27"/>
      <c r="S1958" s="22"/>
      <c r="T1958" s="22"/>
      <c r="U1958" s="28"/>
    </row>
    <row r="1959">
      <c r="A1959" s="189"/>
      <c r="B1959" s="22"/>
      <c r="C1959" s="22"/>
      <c r="D1959" s="22"/>
      <c r="E1959" s="22"/>
      <c r="F1959" s="22"/>
      <c r="G1959" s="22"/>
      <c r="H1959" s="22"/>
      <c r="I1959" s="24"/>
      <c r="J1959" s="24"/>
      <c r="K1959" s="24"/>
      <c r="L1959" s="24"/>
      <c r="M1959" s="26"/>
      <c r="N1959" s="26"/>
      <c r="O1959" s="26"/>
      <c r="P1959" s="27"/>
      <c r="Q1959" s="27"/>
      <c r="R1959" s="27"/>
      <c r="S1959" s="22"/>
      <c r="T1959" s="22"/>
      <c r="U1959" s="28"/>
    </row>
    <row r="1960">
      <c r="A1960" s="189"/>
      <c r="B1960" s="22"/>
      <c r="C1960" s="22"/>
      <c r="D1960" s="22"/>
      <c r="E1960" s="22"/>
      <c r="F1960" s="22"/>
      <c r="G1960" s="22"/>
      <c r="H1960" s="22"/>
      <c r="I1960" s="24"/>
      <c r="J1960" s="24"/>
      <c r="K1960" s="24"/>
      <c r="L1960" s="24"/>
      <c r="M1960" s="26"/>
      <c r="N1960" s="26"/>
      <c r="O1960" s="26"/>
      <c r="P1960" s="27"/>
      <c r="Q1960" s="27"/>
      <c r="R1960" s="27"/>
      <c r="S1960" s="22"/>
      <c r="T1960" s="22"/>
      <c r="U1960" s="28"/>
    </row>
    <row r="1961">
      <c r="A1961" s="189"/>
      <c r="B1961" s="22"/>
      <c r="C1961" s="22"/>
      <c r="D1961" s="22"/>
      <c r="E1961" s="22"/>
      <c r="F1961" s="22"/>
      <c r="G1961" s="22"/>
      <c r="H1961" s="22"/>
      <c r="I1961" s="24"/>
      <c r="J1961" s="24"/>
      <c r="K1961" s="24"/>
      <c r="L1961" s="24"/>
      <c r="M1961" s="26"/>
      <c r="N1961" s="26"/>
      <c r="O1961" s="26"/>
      <c r="P1961" s="27"/>
      <c r="Q1961" s="27"/>
      <c r="R1961" s="27"/>
      <c r="S1961" s="22"/>
      <c r="T1961" s="22"/>
      <c r="U1961" s="28"/>
    </row>
    <row r="1962">
      <c r="A1962" s="189"/>
      <c r="B1962" s="22"/>
      <c r="C1962" s="22"/>
      <c r="D1962" s="22"/>
      <c r="E1962" s="22"/>
      <c r="F1962" s="22"/>
      <c r="G1962" s="22"/>
      <c r="H1962" s="22"/>
      <c r="I1962" s="24"/>
      <c r="J1962" s="24"/>
      <c r="K1962" s="24"/>
      <c r="L1962" s="24"/>
      <c r="M1962" s="26"/>
      <c r="N1962" s="26"/>
      <c r="O1962" s="26"/>
      <c r="P1962" s="27"/>
      <c r="Q1962" s="27"/>
      <c r="R1962" s="27"/>
      <c r="S1962" s="22"/>
      <c r="T1962" s="22"/>
      <c r="U1962" s="28"/>
    </row>
    <row r="1963">
      <c r="A1963" s="189"/>
      <c r="B1963" s="22"/>
      <c r="C1963" s="22"/>
      <c r="D1963" s="22"/>
      <c r="E1963" s="22"/>
      <c r="F1963" s="22"/>
      <c r="G1963" s="22"/>
      <c r="H1963" s="22"/>
      <c r="I1963" s="24"/>
      <c r="J1963" s="24"/>
      <c r="K1963" s="24"/>
      <c r="L1963" s="24"/>
      <c r="M1963" s="26"/>
      <c r="N1963" s="26"/>
      <c r="O1963" s="26"/>
      <c r="P1963" s="27"/>
      <c r="Q1963" s="27"/>
      <c r="R1963" s="27"/>
      <c r="S1963" s="22"/>
      <c r="T1963" s="22"/>
      <c r="U1963" s="28"/>
    </row>
    <row r="1964">
      <c r="A1964" s="189"/>
      <c r="B1964" s="22"/>
      <c r="C1964" s="22"/>
      <c r="D1964" s="22"/>
      <c r="E1964" s="22"/>
      <c r="F1964" s="22"/>
      <c r="G1964" s="22"/>
      <c r="H1964" s="22"/>
      <c r="I1964" s="24"/>
      <c r="J1964" s="24"/>
      <c r="K1964" s="24"/>
      <c r="L1964" s="24"/>
      <c r="M1964" s="26"/>
      <c r="N1964" s="26"/>
      <c r="O1964" s="26"/>
      <c r="P1964" s="27"/>
      <c r="Q1964" s="27"/>
      <c r="R1964" s="27"/>
      <c r="S1964" s="22"/>
      <c r="T1964" s="22"/>
      <c r="U1964" s="28"/>
    </row>
    <row r="1965">
      <c r="A1965" s="189"/>
      <c r="B1965" s="22"/>
      <c r="C1965" s="22"/>
      <c r="D1965" s="22"/>
      <c r="E1965" s="22"/>
      <c r="F1965" s="22"/>
      <c r="G1965" s="22"/>
      <c r="H1965" s="22"/>
      <c r="I1965" s="24"/>
      <c r="J1965" s="24"/>
      <c r="K1965" s="24"/>
      <c r="L1965" s="24"/>
      <c r="M1965" s="26"/>
      <c r="N1965" s="26"/>
      <c r="O1965" s="26"/>
      <c r="P1965" s="27"/>
      <c r="Q1965" s="27"/>
      <c r="R1965" s="27"/>
      <c r="S1965" s="22"/>
      <c r="T1965" s="22"/>
      <c r="U1965" s="28"/>
    </row>
    <row r="1966">
      <c r="A1966" s="189"/>
      <c r="B1966" s="22"/>
      <c r="C1966" s="22"/>
      <c r="D1966" s="22"/>
      <c r="E1966" s="22"/>
      <c r="F1966" s="22"/>
      <c r="G1966" s="22"/>
      <c r="H1966" s="22"/>
      <c r="I1966" s="24"/>
      <c r="J1966" s="24"/>
      <c r="K1966" s="24"/>
      <c r="L1966" s="24"/>
      <c r="M1966" s="26"/>
      <c r="N1966" s="26"/>
      <c r="O1966" s="26"/>
      <c r="P1966" s="27"/>
      <c r="Q1966" s="27"/>
      <c r="R1966" s="27"/>
      <c r="S1966" s="22"/>
      <c r="T1966" s="22"/>
      <c r="U1966" s="28"/>
    </row>
    <row r="1967">
      <c r="A1967" s="189"/>
      <c r="B1967" s="22"/>
      <c r="C1967" s="22"/>
      <c r="D1967" s="22"/>
      <c r="E1967" s="22"/>
      <c r="F1967" s="22"/>
      <c r="G1967" s="22"/>
      <c r="H1967" s="22"/>
      <c r="I1967" s="24"/>
      <c r="J1967" s="24"/>
      <c r="K1967" s="24"/>
      <c r="L1967" s="24"/>
      <c r="M1967" s="26"/>
      <c r="N1967" s="26"/>
      <c r="O1967" s="26"/>
      <c r="P1967" s="27"/>
      <c r="Q1967" s="27"/>
      <c r="R1967" s="27"/>
      <c r="S1967" s="22"/>
      <c r="T1967" s="22"/>
      <c r="U1967" s="28"/>
    </row>
    <row r="1968">
      <c r="A1968" s="189"/>
      <c r="B1968" s="22"/>
      <c r="C1968" s="22"/>
      <c r="D1968" s="22"/>
      <c r="E1968" s="22"/>
      <c r="F1968" s="22"/>
      <c r="G1968" s="22"/>
      <c r="H1968" s="22"/>
      <c r="I1968" s="24"/>
      <c r="J1968" s="24"/>
      <c r="K1968" s="24"/>
      <c r="L1968" s="24"/>
      <c r="M1968" s="26"/>
      <c r="N1968" s="26"/>
      <c r="O1968" s="26"/>
      <c r="P1968" s="27"/>
      <c r="Q1968" s="27"/>
      <c r="R1968" s="27"/>
      <c r="S1968" s="22"/>
      <c r="T1968" s="22"/>
      <c r="U1968" s="28"/>
    </row>
    <row r="1969">
      <c r="A1969" s="189"/>
      <c r="B1969" s="22"/>
      <c r="C1969" s="22"/>
      <c r="D1969" s="22"/>
      <c r="E1969" s="22"/>
      <c r="F1969" s="22"/>
      <c r="G1969" s="22"/>
      <c r="H1969" s="22"/>
      <c r="I1969" s="24"/>
      <c r="J1969" s="24"/>
      <c r="K1969" s="24"/>
      <c r="L1969" s="24"/>
      <c r="M1969" s="26"/>
      <c r="N1969" s="26"/>
      <c r="O1969" s="26"/>
      <c r="P1969" s="27"/>
      <c r="Q1969" s="27"/>
      <c r="R1969" s="27"/>
      <c r="S1969" s="22"/>
      <c r="T1969" s="22"/>
      <c r="U1969" s="28"/>
    </row>
    <row r="1970">
      <c r="A1970" s="189"/>
      <c r="B1970" s="22"/>
      <c r="C1970" s="22"/>
      <c r="D1970" s="22"/>
      <c r="E1970" s="22"/>
      <c r="F1970" s="22"/>
      <c r="G1970" s="22"/>
      <c r="H1970" s="22"/>
      <c r="I1970" s="24"/>
      <c r="J1970" s="24"/>
      <c r="K1970" s="24"/>
      <c r="L1970" s="24"/>
      <c r="M1970" s="26"/>
      <c r="N1970" s="26"/>
      <c r="O1970" s="26"/>
      <c r="P1970" s="27"/>
      <c r="Q1970" s="27"/>
      <c r="R1970" s="27"/>
      <c r="S1970" s="22"/>
      <c r="T1970" s="22"/>
      <c r="U1970" s="28"/>
    </row>
    <row r="1971">
      <c r="A1971" s="189"/>
      <c r="B1971" s="22"/>
      <c r="C1971" s="22"/>
      <c r="D1971" s="22"/>
      <c r="E1971" s="22"/>
      <c r="F1971" s="22"/>
      <c r="G1971" s="22"/>
      <c r="H1971" s="22"/>
      <c r="I1971" s="24"/>
      <c r="J1971" s="24"/>
      <c r="K1971" s="24"/>
      <c r="L1971" s="24"/>
      <c r="M1971" s="26"/>
      <c r="N1971" s="26"/>
      <c r="O1971" s="26"/>
      <c r="P1971" s="27"/>
      <c r="Q1971" s="27"/>
      <c r="R1971" s="27"/>
      <c r="S1971" s="22"/>
      <c r="T1971" s="22"/>
      <c r="U1971" s="28"/>
    </row>
    <row r="1972">
      <c r="A1972" s="189"/>
      <c r="B1972" s="22"/>
      <c r="C1972" s="22"/>
      <c r="D1972" s="22"/>
      <c r="E1972" s="22"/>
      <c r="F1972" s="22"/>
      <c r="G1972" s="22"/>
      <c r="H1972" s="22"/>
      <c r="I1972" s="24"/>
      <c r="J1972" s="24"/>
      <c r="K1972" s="24"/>
      <c r="L1972" s="24"/>
      <c r="M1972" s="26"/>
      <c r="N1972" s="26"/>
      <c r="O1972" s="26"/>
      <c r="P1972" s="27"/>
      <c r="Q1972" s="27"/>
      <c r="R1972" s="27"/>
      <c r="S1972" s="22"/>
      <c r="T1972" s="22"/>
      <c r="U1972" s="28"/>
    </row>
    <row r="1973">
      <c r="A1973" s="189"/>
      <c r="B1973" s="22"/>
      <c r="C1973" s="22"/>
      <c r="D1973" s="22"/>
      <c r="E1973" s="22"/>
      <c r="F1973" s="22"/>
      <c r="G1973" s="22"/>
      <c r="H1973" s="22"/>
      <c r="I1973" s="24"/>
      <c r="J1973" s="24"/>
      <c r="K1973" s="24"/>
      <c r="L1973" s="24"/>
      <c r="M1973" s="26"/>
      <c r="N1973" s="26"/>
      <c r="O1973" s="26"/>
      <c r="P1973" s="27"/>
      <c r="Q1973" s="27"/>
      <c r="R1973" s="27"/>
      <c r="S1973" s="22"/>
      <c r="T1973" s="22"/>
      <c r="U1973" s="28"/>
    </row>
    <row r="1974">
      <c r="A1974" s="189"/>
      <c r="B1974" s="22"/>
      <c r="C1974" s="22"/>
      <c r="D1974" s="22"/>
      <c r="E1974" s="22"/>
      <c r="F1974" s="22"/>
      <c r="G1974" s="22"/>
      <c r="H1974" s="22"/>
      <c r="I1974" s="24"/>
      <c r="J1974" s="24"/>
      <c r="K1974" s="24"/>
      <c r="L1974" s="24"/>
      <c r="M1974" s="26"/>
      <c r="N1974" s="26"/>
      <c r="O1974" s="26"/>
      <c r="P1974" s="27"/>
      <c r="Q1974" s="27"/>
      <c r="R1974" s="27"/>
      <c r="S1974" s="22"/>
      <c r="T1974" s="22"/>
      <c r="U1974" s="28"/>
    </row>
    <row r="1975">
      <c r="A1975" s="189"/>
      <c r="B1975" s="22"/>
      <c r="C1975" s="22"/>
      <c r="D1975" s="22"/>
      <c r="E1975" s="22"/>
      <c r="F1975" s="22"/>
      <c r="G1975" s="22"/>
      <c r="H1975" s="22"/>
      <c r="I1975" s="24"/>
      <c r="J1975" s="24"/>
      <c r="K1975" s="24"/>
      <c r="L1975" s="24"/>
      <c r="M1975" s="26"/>
      <c r="N1975" s="26"/>
      <c r="O1975" s="26"/>
      <c r="P1975" s="27"/>
      <c r="Q1975" s="27"/>
      <c r="R1975" s="27"/>
      <c r="S1975" s="22"/>
      <c r="T1975" s="22"/>
      <c r="U1975" s="28"/>
    </row>
    <row r="1976">
      <c r="A1976" s="189"/>
      <c r="B1976" s="22"/>
      <c r="C1976" s="22"/>
      <c r="D1976" s="22"/>
      <c r="E1976" s="22"/>
      <c r="F1976" s="22"/>
      <c r="G1976" s="22"/>
      <c r="H1976" s="22"/>
      <c r="I1976" s="24"/>
      <c r="J1976" s="24"/>
      <c r="K1976" s="24"/>
      <c r="L1976" s="24"/>
      <c r="M1976" s="26"/>
      <c r="N1976" s="26"/>
      <c r="O1976" s="26"/>
      <c r="P1976" s="27"/>
      <c r="Q1976" s="27"/>
      <c r="R1976" s="27"/>
      <c r="S1976" s="22"/>
      <c r="T1976" s="22"/>
      <c r="U1976" s="28"/>
    </row>
    <row r="1977">
      <c r="A1977" s="189"/>
      <c r="B1977" s="22"/>
      <c r="C1977" s="22"/>
      <c r="D1977" s="22"/>
      <c r="E1977" s="22"/>
      <c r="F1977" s="22"/>
      <c r="G1977" s="22"/>
      <c r="H1977" s="22"/>
      <c r="I1977" s="24"/>
      <c r="J1977" s="24"/>
      <c r="K1977" s="24"/>
      <c r="L1977" s="24"/>
      <c r="M1977" s="26"/>
      <c r="N1977" s="26"/>
      <c r="O1977" s="26"/>
      <c r="P1977" s="27"/>
      <c r="Q1977" s="27"/>
      <c r="R1977" s="27"/>
      <c r="S1977" s="22"/>
      <c r="T1977" s="22"/>
      <c r="U1977" s="28"/>
    </row>
    <row r="1978">
      <c r="A1978" s="189"/>
      <c r="B1978" s="22"/>
      <c r="C1978" s="22"/>
      <c r="D1978" s="22"/>
      <c r="E1978" s="22"/>
      <c r="F1978" s="22"/>
      <c r="G1978" s="22"/>
      <c r="H1978" s="22"/>
      <c r="I1978" s="24"/>
      <c r="J1978" s="24"/>
      <c r="K1978" s="24"/>
      <c r="L1978" s="24"/>
      <c r="M1978" s="26"/>
      <c r="N1978" s="26"/>
      <c r="O1978" s="26"/>
      <c r="P1978" s="27"/>
      <c r="Q1978" s="27"/>
      <c r="R1978" s="27"/>
      <c r="S1978" s="22"/>
      <c r="T1978" s="22"/>
      <c r="U1978" s="28"/>
    </row>
    <row r="1979">
      <c r="A1979" s="189"/>
      <c r="B1979" s="22"/>
      <c r="C1979" s="22"/>
      <c r="D1979" s="22"/>
      <c r="E1979" s="22"/>
      <c r="F1979" s="22"/>
      <c r="G1979" s="22"/>
      <c r="H1979" s="22"/>
      <c r="I1979" s="24"/>
      <c r="J1979" s="24"/>
      <c r="K1979" s="24"/>
      <c r="L1979" s="24"/>
      <c r="M1979" s="26"/>
      <c r="N1979" s="26"/>
      <c r="O1979" s="26"/>
      <c r="P1979" s="27"/>
      <c r="Q1979" s="27"/>
      <c r="R1979" s="27"/>
      <c r="S1979" s="22"/>
      <c r="T1979" s="22"/>
      <c r="U1979" s="28"/>
    </row>
    <row r="1980">
      <c r="A1980" s="189"/>
      <c r="B1980" s="22"/>
      <c r="C1980" s="22"/>
      <c r="D1980" s="22"/>
      <c r="E1980" s="22"/>
      <c r="F1980" s="22"/>
      <c r="G1980" s="22"/>
      <c r="H1980" s="22"/>
      <c r="I1980" s="24"/>
      <c r="J1980" s="24"/>
      <c r="K1980" s="24"/>
      <c r="L1980" s="24"/>
      <c r="M1980" s="26"/>
      <c r="N1980" s="26"/>
      <c r="O1980" s="26"/>
      <c r="P1980" s="27"/>
      <c r="Q1980" s="27"/>
      <c r="R1980" s="27"/>
      <c r="S1980" s="22"/>
      <c r="T1980" s="22"/>
      <c r="U1980" s="28"/>
    </row>
    <row r="1981">
      <c r="A1981" s="189"/>
      <c r="B1981" s="22"/>
      <c r="C1981" s="22"/>
      <c r="D1981" s="22"/>
      <c r="E1981" s="22"/>
      <c r="F1981" s="22"/>
      <c r="G1981" s="22"/>
      <c r="H1981" s="22"/>
      <c r="I1981" s="24"/>
      <c r="J1981" s="24"/>
      <c r="K1981" s="24"/>
      <c r="L1981" s="24"/>
      <c r="M1981" s="26"/>
      <c r="N1981" s="26"/>
      <c r="O1981" s="26"/>
      <c r="P1981" s="27"/>
      <c r="Q1981" s="27"/>
      <c r="R1981" s="27"/>
      <c r="S1981" s="22"/>
      <c r="T1981" s="22"/>
      <c r="U1981" s="28"/>
    </row>
    <row r="1982">
      <c r="A1982" s="189"/>
      <c r="B1982" s="22"/>
      <c r="C1982" s="22"/>
      <c r="D1982" s="22"/>
      <c r="E1982" s="22"/>
      <c r="F1982" s="22"/>
      <c r="G1982" s="22"/>
      <c r="H1982" s="22"/>
      <c r="I1982" s="24"/>
      <c r="J1982" s="24"/>
      <c r="K1982" s="24"/>
      <c r="L1982" s="24"/>
      <c r="M1982" s="26"/>
      <c r="N1982" s="26"/>
      <c r="O1982" s="26"/>
      <c r="P1982" s="27"/>
      <c r="Q1982" s="27"/>
      <c r="R1982" s="27"/>
      <c r="S1982" s="22"/>
      <c r="T1982" s="22"/>
      <c r="U1982" s="28"/>
    </row>
    <row r="1983">
      <c r="A1983" s="189"/>
      <c r="B1983" s="22"/>
      <c r="C1983" s="22"/>
      <c r="D1983" s="22"/>
      <c r="E1983" s="22"/>
      <c r="F1983" s="22"/>
      <c r="G1983" s="22"/>
      <c r="H1983" s="22"/>
      <c r="I1983" s="24"/>
      <c r="J1983" s="24"/>
      <c r="K1983" s="24"/>
      <c r="L1983" s="24"/>
      <c r="M1983" s="26"/>
      <c r="N1983" s="26"/>
      <c r="O1983" s="26"/>
      <c r="P1983" s="27"/>
      <c r="Q1983" s="27"/>
      <c r="R1983" s="27"/>
      <c r="S1983" s="22"/>
      <c r="T1983" s="22"/>
      <c r="U1983" s="28"/>
    </row>
    <row r="1984">
      <c r="A1984" s="189"/>
      <c r="B1984" s="22"/>
      <c r="C1984" s="22"/>
      <c r="D1984" s="22"/>
      <c r="E1984" s="22"/>
      <c r="F1984" s="22"/>
      <c r="G1984" s="22"/>
      <c r="H1984" s="22"/>
      <c r="I1984" s="24"/>
      <c r="J1984" s="24"/>
      <c r="K1984" s="24"/>
      <c r="L1984" s="24"/>
      <c r="M1984" s="26"/>
      <c r="N1984" s="26"/>
      <c r="O1984" s="26"/>
      <c r="P1984" s="27"/>
      <c r="Q1984" s="27"/>
      <c r="R1984" s="27"/>
      <c r="S1984" s="22"/>
      <c r="T1984" s="22"/>
      <c r="U1984" s="28"/>
    </row>
    <row r="1985">
      <c r="A1985" s="189"/>
      <c r="B1985" s="22"/>
      <c r="C1985" s="22"/>
      <c r="D1985" s="22"/>
      <c r="E1985" s="22"/>
      <c r="F1985" s="22"/>
      <c r="G1985" s="22"/>
      <c r="H1985" s="22"/>
      <c r="I1985" s="24"/>
      <c r="J1985" s="24"/>
      <c r="K1985" s="24"/>
      <c r="L1985" s="24"/>
      <c r="M1985" s="26"/>
      <c r="N1985" s="26"/>
      <c r="O1985" s="26"/>
      <c r="P1985" s="27"/>
      <c r="Q1985" s="27"/>
      <c r="R1985" s="27"/>
      <c r="S1985" s="22"/>
      <c r="T1985" s="22"/>
      <c r="U1985" s="28"/>
    </row>
    <row r="1986">
      <c r="A1986" s="189"/>
      <c r="B1986" s="22"/>
      <c r="C1986" s="22"/>
      <c r="D1986" s="22"/>
      <c r="E1986" s="22"/>
      <c r="F1986" s="22"/>
      <c r="G1986" s="22"/>
      <c r="H1986" s="22"/>
      <c r="I1986" s="24"/>
      <c r="J1986" s="24"/>
      <c r="K1986" s="24"/>
      <c r="L1986" s="24"/>
      <c r="M1986" s="26"/>
      <c r="N1986" s="26"/>
      <c r="O1986" s="26"/>
      <c r="P1986" s="27"/>
      <c r="Q1986" s="27"/>
      <c r="R1986" s="27"/>
      <c r="S1986" s="22"/>
      <c r="T1986" s="22"/>
      <c r="U1986" s="28"/>
    </row>
    <row r="1987">
      <c r="A1987" s="189"/>
      <c r="B1987" s="22"/>
      <c r="C1987" s="22"/>
      <c r="D1987" s="22"/>
      <c r="E1987" s="22"/>
      <c r="F1987" s="22"/>
      <c r="G1987" s="22"/>
      <c r="H1987" s="22"/>
      <c r="I1987" s="24"/>
      <c r="J1987" s="24"/>
      <c r="K1987" s="24"/>
      <c r="L1987" s="24"/>
      <c r="M1987" s="26"/>
      <c r="N1987" s="26"/>
      <c r="O1987" s="26"/>
      <c r="P1987" s="27"/>
      <c r="Q1987" s="27"/>
      <c r="R1987" s="27"/>
      <c r="S1987" s="22"/>
      <c r="T1987" s="22"/>
      <c r="U1987" s="28"/>
    </row>
    <row r="1988">
      <c r="A1988" s="189"/>
      <c r="B1988" s="22"/>
      <c r="C1988" s="22"/>
      <c r="D1988" s="22"/>
      <c r="E1988" s="22"/>
      <c r="F1988" s="22"/>
      <c r="G1988" s="22"/>
      <c r="H1988" s="22"/>
      <c r="I1988" s="24"/>
      <c r="J1988" s="24"/>
      <c r="K1988" s="24"/>
      <c r="L1988" s="24"/>
      <c r="M1988" s="26"/>
      <c r="N1988" s="26"/>
      <c r="O1988" s="26"/>
      <c r="P1988" s="27"/>
      <c r="Q1988" s="27"/>
      <c r="R1988" s="27"/>
      <c r="S1988" s="22"/>
      <c r="T1988" s="22"/>
      <c r="U1988" s="28"/>
    </row>
    <row r="1989">
      <c r="A1989" s="189"/>
      <c r="B1989" s="22"/>
      <c r="C1989" s="22"/>
      <c r="D1989" s="22"/>
      <c r="E1989" s="22"/>
      <c r="F1989" s="22"/>
      <c r="G1989" s="22"/>
      <c r="H1989" s="22"/>
      <c r="I1989" s="24"/>
      <c r="J1989" s="24"/>
      <c r="K1989" s="24"/>
      <c r="L1989" s="24"/>
      <c r="M1989" s="26"/>
      <c r="N1989" s="26"/>
      <c r="O1989" s="26"/>
      <c r="P1989" s="27"/>
      <c r="Q1989" s="27"/>
      <c r="R1989" s="27"/>
      <c r="S1989" s="22"/>
      <c r="T1989" s="22"/>
      <c r="U1989" s="28"/>
    </row>
    <row r="1990">
      <c r="A1990" s="189"/>
      <c r="B1990" s="22"/>
      <c r="C1990" s="22"/>
      <c r="D1990" s="22"/>
      <c r="E1990" s="22"/>
      <c r="F1990" s="22"/>
      <c r="G1990" s="22"/>
      <c r="H1990" s="22"/>
      <c r="I1990" s="24"/>
      <c r="J1990" s="24"/>
      <c r="K1990" s="24"/>
      <c r="L1990" s="24"/>
      <c r="M1990" s="26"/>
      <c r="N1990" s="26"/>
      <c r="O1990" s="26"/>
      <c r="P1990" s="27"/>
      <c r="Q1990" s="27"/>
      <c r="R1990" s="27"/>
      <c r="S1990" s="22"/>
      <c r="T1990" s="22"/>
      <c r="U1990" s="28"/>
    </row>
    <row r="1991">
      <c r="A1991" s="189"/>
      <c r="B1991" s="22"/>
      <c r="C1991" s="22"/>
      <c r="D1991" s="22"/>
      <c r="E1991" s="22"/>
      <c r="F1991" s="22"/>
      <c r="G1991" s="22"/>
      <c r="H1991" s="22"/>
      <c r="I1991" s="24"/>
      <c r="J1991" s="24"/>
      <c r="K1991" s="24"/>
      <c r="L1991" s="24"/>
      <c r="M1991" s="26"/>
      <c r="N1991" s="26"/>
      <c r="O1991" s="26"/>
      <c r="P1991" s="27"/>
      <c r="Q1991" s="27"/>
      <c r="R1991" s="27"/>
      <c r="S1991" s="22"/>
      <c r="T1991" s="22"/>
      <c r="U1991" s="28"/>
    </row>
    <row r="1992">
      <c r="A1992" s="189"/>
      <c r="B1992" s="22"/>
      <c r="C1992" s="22"/>
      <c r="D1992" s="22"/>
      <c r="E1992" s="22"/>
      <c r="F1992" s="22"/>
      <c r="G1992" s="22"/>
      <c r="H1992" s="22"/>
      <c r="I1992" s="24"/>
      <c r="J1992" s="24"/>
      <c r="K1992" s="24"/>
      <c r="L1992" s="24"/>
      <c r="M1992" s="26"/>
      <c r="N1992" s="26"/>
      <c r="O1992" s="26"/>
      <c r="P1992" s="27"/>
      <c r="Q1992" s="27"/>
      <c r="R1992" s="27"/>
      <c r="S1992" s="22"/>
      <c r="T1992" s="22"/>
      <c r="U1992" s="28"/>
    </row>
    <row r="1993">
      <c r="A1993" s="189"/>
      <c r="B1993" s="22"/>
      <c r="C1993" s="22"/>
      <c r="D1993" s="22"/>
      <c r="E1993" s="22"/>
      <c r="F1993" s="22"/>
      <c r="G1993" s="22"/>
      <c r="H1993" s="22"/>
      <c r="I1993" s="24"/>
      <c r="J1993" s="24"/>
      <c r="K1993" s="24"/>
      <c r="L1993" s="24"/>
      <c r="M1993" s="26"/>
      <c r="N1993" s="26"/>
      <c r="O1993" s="26"/>
      <c r="P1993" s="27"/>
      <c r="Q1993" s="27"/>
      <c r="R1993" s="27"/>
      <c r="S1993" s="22"/>
      <c r="T1993" s="22"/>
      <c r="U1993" s="28"/>
    </row>
    <row r="1994">
      <c r="A1994" s="189"/>
      <c r="B1994" s="22"/>
      <c r="C1994" s="22"/>
      <c r="D1994" s="22"/>
      <c r="E1994" s="22"/>
      <c r="F1994" s="22"/>
      <c r="G1994" s="22"/>
      <c r="H1994" s="22"/>
      <c r="I1994" s="24"/>
      <c r="J1994" s="24"/>
      <c r="K1994" s="24"/>
      <c r="L1994" s="24"/>
      <c r="M1994" s="26"/>
      <c r="N1994" s="26"/>
      <c r="O1994" s="26"/>
      <c r="P1994" s="27"/>
      <c r="Q1994" s="27"/>
      <c r="R1994" s="27"/>
      <c r="S1994" s="22"/>
      <c r="T1994" s="22"/>
      <c r="U1994" s="28"/>
    </row>
    <row r="1995">
      <c r="A1995" s="189"/>
      <c r="B1995" s="22"/>
      <c r="C1995" s="22"/>
      <c r="D1995" s="22"/>
      <c r="E1995" s="22"/>
      <c r="F1995" s="22"/>
      <c r="G1995" s="22"/>
      <c r="H1995" s="22"/>
      <c r="I1995" s="24"/>
      <c r="J1995" s="24"/>
      <c r="K1995" s="24"/>
      <c r="L1995" s="24"/>
      <c r="M1995" s="26"/>
      <c r="N1995" s="26"/>
      <c r="O1995" s="26"/>
      <c r="P1995" s="27"/>
      <c r="Q1995" s="27"/>
      <c r="R1995" s="27"/>
      <c r="S1995" s="22"/>
      <c r="T1995" s="22"/>
      <c r="U1995" s="28"/>
    </row>
    <row r="1996">
      <c r="A1996" s="189"/>
      <c r="B1996" s="22"/>
      <c r="C1996" s="22"/>
      <c r="D1996" s="22"/>
      <c r="E1996" s="22"/>
      <c r="F1996" s="22"/>
      <c r="G1996" s="22"/>
      <c r="H1996" s="22"/>
      <c r="I1996" s="24"/>
      <c r="J1996" s="24"/>
      <c r="K1996" s="24"/>
      <c r="L1996" s="24"/>
      <c r="M1996" s="26"/>
      <c r="N1996" s="26"/>
      <c r="O1996" s="26"/>
      <c r="P1996" s="27"/>
      <c r="Q1996" s="27"/>
      <c r="R1996" s="27"/>
      <c r="S1996" s="22"/>
      <c r="T1996" s="22"/>
      <c r="U1996" s="28"/>
    </row>
    <row r="1997">
      <c r="A1997" s="189"/>
      <c r="B1997" s="22"/>
      <c r="C1997" s="22"/>
      <c r="D1997" s="22"/>
      <c r="E1997" s="22"/>
      <c r="F1997" s="22"/>
      <c r="G1997" s="22"/>
      <c r="H1997" s="22"/>
      <c r="I1997" s="24"/>
      <c r="J1997" s="24"/>
      <c r="K1997" s="24"/>
      <c r="L1997" s="24"/>
      <c r="M1997" s="26"/>
      <c r="N1997" s="26"/>
      <c r="O1997" s="26"/>
      <c r="P1997" s="27"/>
      <c r="Q1997" s="27"/>
      <c r="R1997" s="27"/>
      <c r="S1997" s="22"/>
      <c r="T1997" s="22"/>
      <c r="U1997" s="28"/>
    </row>
    <row r="1998">
      <c r="A1998" s="189"/>
      <c r="B1998" s="22"/>
      <c r="C1998" s="22"/>
      <c r="D1998" s="22"/>
      <c r="E1998" s="22"/>
      <c r="F1998" s="22"/>
      <c r="G1998" s="22"/>
      <c r="H1998" s="22"/>
      <c r="I1998" s="24"/>
      <c r="J1998" s="24"/>
      <c r="K1998" s="24"/>
      <c r="L1998" s="24"/>
      <c r="M1998" s="26"/>
      <c r="N1998" s="26"/>
      <c r="O1998" s="26"/>
      <c r="P1998" s="27"/>
      <c r="Q1998" s="27"/>
      <c r="R1998" s="27"/>
      <c r="S1998" s="22"/>
      <c r="T1998" s="22"/>
      <c r="U1998" s="28"/>
    </row>
    <row r="1999">
      <c r="A1999" s="189"/>
      <c r="B1999" s="22"/>
      <c r="C1999" s="22"/>
      <c r="D1999" s="22"/>
      <c r="E1999" s="22"/>
      <c r="F1999" s="22"/>
      <c r="G1999" s="22"/>
      <c r="H1999" s="22"/>
      <c r="I1999" s="24"/>
      <c r="J1999" s="24"/>
      <c r="K1999" s="24"/>
      <c r="L1999" s="24"/>
      <c r="M1999" s="26"/>
      <c r="N1999" s="26"/>
      <c r="O1999" s="26"/>
      <c r="P1999" s="27"/>
      <c r="Q1999" s="27"/>
      <c r="R1999" s="27"/>
      <c r="S1999" s="22"/>
      <c r="T1999" s="22"/>
      <c r="U1999" s="28"/>
    </row>
    <row r="2000">
      <c r="A2000" s="189"/>
      <c r="B2000" s="22"/>
      <c r="C2000" s="22"/>
      <c r="D2000" s="22"/>
      <c r="E2000" s="22"/>
      <c r="F2000" s="22"/>
      <c r="G2000" s="22"/>
      <c r="H2000" s="22"/>
      <c r="I2000" s="24"/>
      <c r="J2000" s="24"/>
      <c r="K2000" s="24"/>
      <c r="L2000" s="24"/>
      <c r="M2000" s="26"/>
      <c r="N2000" s="26"/>
      <c r="O2000" s="26"/>
      <c r="P2000" s="27"/>
      <c r="Q2000" s="27"/>
      <c r="R2000" s="27"/>
      <c r="S2000" s="22"/>
      <c r="T2000" s="22"/>
      <c r="U2000" s="28"/>
    </row>
    <row r="2001">
      <c r="A2001" s="189"/>
      <c r="B2001" s="22"/>
      <c r="C2001" s="22"/>
      <c r="D2001" s="22"/>
      <c r="E2001" s="22"/>
      <c r="F2001" s="22"/>
      <c r="G2001" s="22"/>
      <c r="H2001" s="22"/>
      <c r="I2001" s="24"/>
      <c r="J2001" s="24"/>
      <c r="K2001" s="24"/>
      <c r="L2001" s="24"/>
      <c r="M2001" s="26"/>
      <c r="N2001" s="26"/>
      <c r="O2001" s="26"/>
      <c r="P2001" s="27"/>
      <c r="Q2001" s="27"/>
      <c r="R2001" s="27"/>
      <c r="S2001" s="22"/>
      <c r="T2001" s="22"/>
      <c r="U2001" s="28"/>
    </row>
    <row r="2002">
      <c r="A2002" s="189"/>
      <c r="B2002" s="22"/>
      <c r="C2002" s="22"/>
      <c r="D2002" s="22"/>
      <c r="E2002" s="22"/>
      <c r="F2002" s="22"/>
      <c r="G2002" s="22"/>
      <c r="H2002" s="22"/>
      <c r="I2002" s="24"/>
      <c r="J2002" s="24"/>
      <c r="K2002" s="24"/>
      <c r="L2002" s="24"/>
      <c r="M2002" s="26"/>
      <c r="N2002" s="26"/>
      <c r="O2002" s="26"/>
      <c r="P2002" s="27"/>
      <c r="Q2002" s="27"/>
      <c r="R2002" s="27"/>
      <c r="S2002" s="22"/>
      <c r="T2002" s="22"/>
      <c r="U2002" s="28"/>
    </row>
    <row r="2003">
      <c r="A2003" s="189"/>
      <c r="B2003" s="22"/>
      <c r="C2003" s="22"/>
      <c r="D2003" s="22"/>
      <c r="E2003" s="22"/>
      <c r="F2003" s="22"/>
      <c r="G2003" s="22"/>
      <c r="H2003" s="22"/>
      <c r="I2003" s="24"/>
      <c r="J2003" s="24"/>
      <c r="K2003" s="24"/>
      <c r="L2003" s="24"/>
      <c r="M2003" s="26"/>
      <c r="N2003" s="26"/>
      <c r="O2003" s="26"/>
      <c r="P2003" s="27"/>
      <c r="Q2003" s="27"/>
      <c r="R2003" s="27"/>
      <c r="S2003" s="22"/>
      <c r="T2003" s="22"/>
      <c r="U2003" s="28"/>
    </row>
    <row r="2004">
      <c r="A2004" s="189"/>
      <c r="B2004" s="22"/>
      <c r="C2004" s="22"/>
      <c r="D2004" s="22"/>
      <c r="E2004" s="22"/>
      <c r="F2004" s="22"/>
      <c r="G2004" s="22"/>
      <c r="H2004" s="22"/>
      <c r="I2004" s="24"/>
      <c r="J2004" s="24"/>
      <c r="K2004" s="24"/>
      <c r="L2004" s="24"/>
      <c r="M2004" s="26"/>
      <c r="N2004" s="26"/>
      <c r="O2004" s="26"/>
      <c r="P2004" s="27"/>
      <c r="Q2004" s="27"/>
      <c r="R2004" s="27"/>
      <c r="S2004" s="22"/>
      <c r="T2004" s="22"/>
      <c r="U2004" s="28"/>
    </row>
    <row r="2005">
      <c r="A2005" s="189"/>
      <c r="B2005" s="22"/>
      <c r="C2005" s="22"/>
      <c r="D2005" s="22"/>
      <c r="E2005" s="22"/>
      <c r="F2005" s="22"/>
      <c r="G2005" s="22"/>
      <c r="H2005" s="22"/>
      <c r="I2005" s="24"/>
      <c r="J2005" s="24"/>
      <c r="K2005" s="24"/>
      <c r="L2005" s="24"/>
      <c r="M2005" s="26"/>
      <c r="N2005" s="26"/>
      <c r="O2005" s="26"/>
      <c r="P2005" s="27"/>
      <c r="Q2005" s="27"/>
      <c r="R2005" s="27"/>
      <c r="S2005" s="22"/>
      <c r="T2005" s="22"/>
      <c r="U2005" s="28"/>
    </row>
    <row r="2006">
      <c r="A2006" s="189"/>
      <c r="B2006" s="22"/>
      <c r="C2006" s="22"/>
      <c r="D2006" s="22"/>
      <c r="E2006" s="22"/>
      <c r="F2006" s="22"/>
      <c r="G2006" s="22"/>
      <c r="H2006" s="22"/>
      <c r="I2006" s="24"/>
      <c r="J2006" s="24"/>
      <c r="K2006" s="24"/>
      <c r="L2006" s="24"/>
      <c r="M2006" s="26"/>
      <c r="N2006" s="26"/>
      <c r="O2006" s="26"/>
      <c r="P2006" s="27"/>
      <c r="Q2006" s="27"/>
      <c r="R2006" s="27"/>
      <c r="S2006" s="22"/>
      <c r="T2006" s="22"/>
      <c r="U2006" s="28"/>
    </row>
    <row r="2007">
      <c r="A2007" s="189"/>
      <c r="B2007" s="22"/>
      <c r="C2007" s="22"/>
      <c r="D2007" s="22"/>
      <c r="E2007" s="22"/>
      <c r="F2007" s="22"/>
      <c r="G2007" s="22"/>
      <c r="H2007" s="22"/>
      <c r="I2007" s="24"/>
      <c r="J2007" s="24"/>
      <c r="K2007" s="24"/>
      <c r="L2007" s="24"/>
      <c r="M2007" s="26"/>
      <c r="N2007" s="26"/>
      <c r="O2007" s="26"/>
      <c r="P2007" s="27"/>
      <c r="Q2007" s="27"/>
      <c r="R2007" s="27"/>
      <c r="S2007" s="22"/>
      <c r="T2007" s="22"/>
      <c r="U2007" s="28"/>
    </row>
    <row r="2008">
      <c r="A2008" s="189"/>
      <c r="B2008" s="22"/>
      <c r="C2008" s="22"/>
      <c r="D2008" s="22"/>
      <c r="E2008" s="22"/>
      <c r="F2008" s="22"/>
      <c r="G2008" s="22"/>
      <c r="H2008" s="22"/>
      <c r="I2008" s="24"/>
      <c r="J2008" s="24"/>
      <c r="K2008" s="24"/>
      <c r="L2008" s="24"/>
      <c r="M2008" s="26"/>
      <c r="N2008" s="26"/>
      <c r="O2008" s="26"/>
      <c r="P2008" s="27"/>
      <c r="Q2008" s="27"/>
      <c r="R2008" s="27"/>
      <c r="S2008" s="22"/>
      <c r="T2008" s="22"/>
      <c r="U2008" s="28"/>
    </row>
    <row r="2009">
      <c r="A2009" s="189"/>
      <c r="B2009" s="22"/>
      <c r="C2009" s="22"/>
      <c r="D2009" s="22"/>
      <c r="E2009" s="22"/>
      <c r="F2009" s="22"/>
      <c r="G2009" s="22"/>
      <c r="H2009" s="22"/>
      <c r="I2009" s="24"/>
      <c r="J2009" s="24"/>
      <c r="K2009" s="24"/>
      <c r="L2009" s="24"/>
      <c r="M2009" s="26"/>
      <c r="N2009" s="26"/>
      <c r="O2009" s="26"/>
      <c r="P2009" s="27"/>
      <c r="Q2009" s="27"/>
      <c r="R2009" s="27"/>
      <c r="S2009" s="22"/>
      <c r="T2009" s="22"/>
      <c r="U2009" s="28"/>
    </row>
    <row r="2010">
      <c r="A2010" s="189"/>
      <c r="B2010" s="22"/>
      <c r="C2010" s="22"/>
      <c r="D2010" s="22"/>
      <c r="E2010" s="22"/>
      <c r="F2010" s="22"/>
      <c r="G2010" s="22"/>
      <c r="H2010" s="22"/>
      <c r="I2010" s="24"/>
      <c r="J2010" s="24"/>
      <c r="K2010" s="24"/>
      <c r="L2010" s="24"/>
      <c r="M2010" s="26"/>
      <c r="N2010" s="26"/>
      <c r="O2010" s="26"/>
      <c r="P2010" s="27"/>
      <c r="Q2010" s="27"/>
      <c r="R2010" s="27"/>
      <c r="S2010" s="22"/>
      <c r="T2010" s="22"/>
      <c r="U2010" s="28"/>
    </row>
    <row r="2011">
      <c r="A2011" s="189"/>
      <c r="B2011" s="22"/>
      <c r="C2011" s="22"/>
      <c r="D2011" s="22"/>
      <c r="E2011" s="22"/>
      <c r="F2011" s="22"/>
      <c r="G2011" s="22"/>
      <c r="H2011" s="22"/>
      <c r="I2011" s="24"/>
      <c r="J2011" s="24"/>
      <c r="K2011" s="24"/>
      <c r="L2011" s="24"/>
      <c r="M2011" s="26"/>
      <c r="N2011" s="26"/>
      <c r="O2011" s="26"/>
      <c r="P2011" s="27"/>
      <c r="Q2011" s="27"/>
      <c r="R2011" s="27"/>
      <c r="S2011" s="22"/>
      <c r="T2011" s="22"/>
      <c r="U2011" s="28"/>
    </row>
    <row r="2012">
      <c r="A2012" s="189"/>
      <c r="B2012" s="22"/>
      <c r="C2012" s="22"/>
      <c r="D2012" s="22"/>
      <c r="E2012" s="22"/>
      <c r="F2012" s="22"/>
      <c r="G2012" s="22"/>
      <c r="H2012" s="22"/>
      <c r="I2012" s="24"/>
      <c r="J2012" s="24"/>
      <c r="K2012" s="24"/>
      <c r="L2012" s="24"/>
      <c r="M2012" s="26"/>
      <c r="N2012" s="26"/>
      <c r="O2012" s="26"/>
      <c r="P2012" s="27"/>
      <c r="Q2012" s="27"/>
      <c r="R2012" s="27"/>
      <c r="S2012" s="22"/>
      <c r="T2012" s="22"/>
      <c r="U2012" s="28"/>
    </row>
    <row r="2013">
      <c r="A2013" s="189"/>
      <c r="B2013" s="22"/>
      <c r="C2013" s="22"/>
      <c r="D2013" s="22"/>
      <c r="E2013" s="22"/>
      <c r="F2013" s="22"/>
      <c r="G2013" s="22"/>
      <c r="H2013" s="22"/>
      <c r="I2013" s="24"/>
      <c r="J2013" s="24"/>
      <c r="K2013" s="24"/>
      <c r="L2013" s="24"/>
      <c r="M2013" s="26"/>
      <c r="N2013" s="26"/>
      <c r="O2013" s="26"/>
      <c r="P2013" s="27"/>
      <c r="Q2013" s="27"/>
      <c r="R2013" s="27"/>
      <c r="S2013" s="22"/>
      <c r="T2013" s="22"/>
      <c r="U2013" s="28"/>
    </row>
    <row r="2014">
      <c r="A2014" s="189"/>
      <c r="B2014" s="22"/>
      <c r="C2014" s="22"/>
      <c r="D2014" s="22"/>
      <c r="E2014" s="22"/>
      <c r="F2014" s="22"/>
      <c r="G2014" s="22"/>
      <c r="H2014" s="22"/>
      <c r="I2014" s="24"/>
      <c r="J2014" s="24"/>
      <c r="K2014" s="24"/>
      <c r="L2014" s="24"/>
      <c r="M2014" s="26"/>
      <c r="N2014" s="26"/>
      <c r="O2014" s="26"/>
      <c r="P2014" s="27"/>
      <c r="Q2014" s="27"/>
      <c r="R2014" s="27"/>
      <c r="S2014" s="22"/>
      <c r="T2014" s="22"/>
      <c r="U2014" s="28"/>
    </row>
    <row r="2015">
      <c r="A2015" s="189"/>
      <c r="B2015" s="22"/>
      <c r="C2015" s="22"/>
      <c r="D2015" s="22"/>
      <c r="E2015" s="22"/>
      <c r="F2015" s="22"/>
      <c r="G2015" s="22"/>
      <c r="H2015" s="22"/>
      <c r="I2015" s="24"/>
      <c r="J2015" s="24"/>
      <c r="K2015" s="24"/>
      <c r="L2015" s="24"/>
      <c r="M2015" s="26"/>
      <c r="N2015" s="26"/>
      <c r="O2015" s="26"/>
      <c r="P2015" s="27"/>
      <c r="Q2015" s="27"/>
      <c r="R2015" s="27"/>
      <c r="S2015" s="22"/>
      <c r="T2015" s="22"/>
      <c r="U2015" s="28"/>
    </row>
    <row r="2016">
      <c r="A2016" s="189"/>
      <c r="B2016" s="22"/>
      <c r="C2016" s="22"/>
      <c r="D2016" s="22"/>
      <c r="E2016" s="22"/>
      <c r="F2016" s="22"/>
      <c r="G2016" s="22"/>
      <c r="H2016" s="22"/>
      <c r="I2016" s="24"/>
      <c r="J2016" s="24"/>
      <c r="K2016" s="24"/>
      <c r="L2016" s="24"/>
      <c r="M2016" s="26"/>
      <c r="N2016" s="26"/>
      <c r="O2016" s="26"/>
      <c r="P2016" s="27"/>
      <c r="Q2016" s="27"/>
      <c r="R2016" s="27"/>
      <c r="S2016" s="22"/>
      <c r="T2016" s="22"/>
      <c r="U2016" s="28"/>
    </row>
    <row r="2017">
      <c r="A2017" s="189"/>
      <c r="B2017" s="22"/>
      <c r="C2017" s="22"/>
      <c r="D2017" s="22"/>
      <c r="E2017" s="22"/>
      <c r="F2017" s="22"/>
      <c r="G2017" s="22"/>
      <c r="H2017" s="22"/>
      <c r="I2017" s="24"/>
      <c r="J2017" s="24"/>
      <c r="K2017" s="24"/>
      <c r="L2017" s="24"/>
      <c r="M2017" s="26"/>
      <c r="N2017" s="26"/>
      <c r="O2017" s="26"/>
      <c r="P2017" s="27"/>
      <c r="Q2017" s="27"/>
      <c r="R2017" s="27"/>
      <c r="S2017" s="22"/>
      <c r="T2017" s="22"/>
      <c r="U2017" s="28"/>
    </row>
    <row r="2018">
      <c r="A2018" s="189"/>
      <c r="B2018" s="22"/>
      <c r="C2018" s="22"/>
      <c r="D2018" s="22"/>
      <c r="E2018" s="22"/>
      <c r="F2018" s="22"/>
      <c r="G2018" s="22"/>
      <c r="H2018" s="22"/>
      <c r="I2018" s="24"/>
      <c r="J2018" s="24"/>
      <c r="K2018" s="24"/>
      <c r="L2018" s="24"/>
      <c r="M2018" s="26"/>
      <c r="N2018" s="26"/>
      <c r="O2018" s="26"/>
      <c r="P2018" s="27"/>
      <c r="Q2018" s="27"/>
      <c r="R2018" s="27"/>
      <c r="S2018" s="22"/>
      <c r="T2018" s="22"/>
      <c r="U2018" s="28"/>
    </row>
    <row r="2019">
      <c r="A2019" s="189"/>
      <c r="B2019" s="22"/>
      <c r="C2019" s="22"/>
      <c r="D2019" s="22"/>
      <c r="E2019" s="22"/>
      <c r="F2019" s="22"/>
      <c r="G2019" s="22"/>
      <c r="H2019" s="22"/>
      <c r="I2019" s="24"/>
      <c r="J2019" s="24"/>
      <c r="K2019" s="24"/>
      <c r="L2019" s="24"/>
      <c r="M2019" s="26"/>
      <c r="N2019" s="26"/>
      <c r="O2019" s="26"/>
      <c r="P2019" s="27"/>
      <c r="Q2019" s="27"/>
      <c r="R2019" s="27"/>
      <c r="S2019" s="22"/>
      <c r="T2019" s="22"/>
      <c r="U2019" s="28"/>
    </row>
    <row r="2020">
      <c r="A2020" s="189"/>
      <c r="B2020" s="22"/>
      <c r="C2020" s="22"/>
      <c r="D2020" s="22"/>
      <c r="E2020" s="22"/>
      <c r="F2020" s="22"/>
      <c r="G2020" s="22"/>
      <c r="H2020" s="22"/>
      <c r="I2020" s="24"/>
      <c r="J2020" s="24"/>
      <c r="K2020" s="24"/>
      <c r="L2020" s="24"/>
      <c r="M2020" s="26"/>
      <c r="N2020" s="26"/>
      <c r="O2020" s="26"/>
      <c r="P2020" s="27"/>
      <c r="Q2020" s="27"/>
      <c r="R2020" s="27"/>
      <c r="S2020" s="22"/>
      <c r="T2020" s="22"/>
      <c r="U2020" s="28"/>
    </row>
    <row r="2021">
      <c r="A2021" s="189"/>
      <c r="B2021" s="22"/>
      <c r="C2021" s="22"/>
      <c r="D2021" s="22"/>
      <c r="E2021" s="22"/>
      <c r="F2021" s="22"/>
      <c r="G2021" s="22"/>
      <c r="H2021" s="22"/>
      <c r="I2021" s="24"/>
      <c r="J2021" s="24"/>
      <c r="K2021" s="24"/>
      <c r="L2021" s="24"/>
      <c r="M2021" s="26"/>
      <c r="N2021" s="26"/>
      <c r="O2021" s="26"/>
      <c r="P2021" s="27"/>
      <c r="Q2021" s="27"/>
      <c r="R2021" s="27"/>
      <c r="S2021" s="22"/>
      <c r="T2021" s="22"/>
      <c r="U2021" s="28"/>
    </row>
    <row r="2022">
      <c r="A2022" s="189"/>
      <c r="B2022" s="22"/>
      <c r="C2022" s="22"/>
      <c r="D2022" s="22"/>
      <c r="E2022" s="22"/>
      <c r="F2022" s="22"/>
      <c r="G2022" s="22"/>
      <c r="H2022" s="22"/>
      <c r="I2022" s="24"/>
      <c r="J2022" s="24"/>
      <c r="K2022" s="24"/>
      <c r="L2022" s="24"/>
      <c r="M2022" s="26"/>
      <c r="N2022" s="26"/>
      <c r="O2022" s="26"/>
      <c r="P2022" s="27"/>
      <c r="Q2022" s="27"/>
      <c r="R2022" s="27"/>
      <c r="S2022" s="22"/>
      <c r="T2022" s="22"/>
      <c r="U2022" s="28"/>
    </row>
    <row r="2023">
      <c r="A2023" s="189"/>
      <c r="B2023" s="22"/>
      <c r="C2023" s="22"/>
      <c r="D2023" s="22"/>
      <c r="E2023" s="22"/>
      <c r="F2023" s="22"/>
      <c r="G2023" s="22"/>
      <c r="H2023" s="22"/>
      <c r="I2023" s="24"/>
      <c r="J2023" s="24"/>
      <c r="K2023" s="24"/>
      <c r="L2023" s="24"/>
      <c r="M2023" s="26"/>
      <c r="N2023" s="26"/>
      <c r="O2023" s="26"/>
      <c r="P2023" s="27"/>
      <c r="Q2023" s="27"/>
      <c r="R2023" s="27"/>
      <c r="S2023" s="22"/>
      <c r="T2023" s="22"/>
      <c r="U2023" s="28"/>
    </row>
    <row r="2024">
      <c r="A2024" s="189"/>
      <c r="B2024" s="22"/>
      <c r="C2024" s="22"/>
      <c r="D2024" s="22"/>
      <c r="E2024" s="22"/>
      <c r="F2024" s="22"/>
      <c r="G2024" s="22"/>
      <c r="H2024" s="22"/>
      <c r="I2024" s="24"/>
      <c r="J2024" s="24"/>
      <c r="K2024" s="24"/>
      <c r="L2024" s="24"/>
      <c r="M2024" s="26"/>
      <c r="N2024" s="26"/>
      <c r="O2024" s="26"/>
      <c r="P2024" s="27"/>
      <c r="Q2024" s="27"/>
      <c r="R2024" s="27"/>
      <c r="S2024" s="22"/>
      <c r="T2024" s="22"/>
      <c r="U2024" s="28"/>
    </row>
    <row r="2025">
      <c r="A2025" s="189"/>
      <c r="B2025" s="22"/>
      <c r="C2025" s="22"/>
      <c r="D2025" s="22"/>
      <c r="E2025" s="22"/>
      <c r="F2025" s="22"/>
      <c r="G2025" s="22"/>
      <c r="H2025" s="22"/>
      <c r="I2025" s="24"/>
      <c r="J2025" s="24"/>
      <c r="K2025" s="24"/>
      <c r="L2025" s="24"/>
      <c r="M2025" s="26"/>
      <c r="N2025" s="26"/>
      <c r="O2025" s="26"/>
      <c r="P2025" s="27"/>
      <c r="Q2025" s="27"/>
      <c r="R2025" s="27"/>
      <c r="S2025" s="22"/>
      <c r="T2025" s="22"/>
      <c r="U2025" s="28"/>
    </row>
    <row r="2026">
      <c r="A2026" s="189"/>
      <c r="B2026" s="22"/>
      <c r="C2026" s="22"/>
      <c r="D2026" s="22"/>
      <c r="E2026" s="22"/>
      <c r="F2026" s="22"/>
      <c r="G2026" s="22"/>
      <c r="H2026" s="22"/>
      <c r="I2026" s="24"/>
      <c r="J2026" s="24"/>
      <c r="K2026" s="24"/>
      <c r="L2026" s="24"/>
      <c r="M2026" s="26"/>
      <c r="N2026" s="26"/>
      <c r="O2026" s="26"/>
      <c r="P2026" s="27"/>
      <c r="Q2026" s="27"/>
      <c r="R2026" s="27"/>
      <c r="S2026" s="22"/>
      <c r="T2026" s="22"/>
      <c r="U2026" s="28"/>
    </row>
    <row r="2027">
      <c r="A2027" s="189"/>
      <c r="B2027" s="22"/>
      <c r="C2027" s="22"/>
      <c r="D2027" s="22"/>
      <c r="E2027" s="22"/>
      <c r="F2027" s="22"/>
      <c r="G2027" s="22"/>
      <c r="H2027" s="22"/>
      <c r="I2027" s="24"/>
      <c r="J2027" s="24"/>
      <c r="K2027" s="24"/>
      <c r="L2027" s="24"/>
      <c r="M2027" s="26"/>
      <c r="N2027" s="26"/>
      <c r="O2027" s="26"/>
      <c r="P2027" s="27"/>
      <c r="Q2027" s="27"/>
      <c r="R2027" s="27"/>
      <c r="S2027" s="22"/>
      <c r="T2027" s="22"/>
      <c r="U2027" s="28"/>
    </row>
    <row r="2028">
      <c r="A2028" s="189"/>
      <c r="B2028" s="22"/>
      <c r="C2028" s="22"/>
      <c r="D2028" s="22"/>
      <c r="E2028" s="22"/>
      <c r="F2028" s="22"/>
      <c r="G2028" s="22"/>
      <c r="H2028" s="22"/>
      <c r="I2028" s="24"/>
      <c r="J2028" s="24"/>
      <c r="K2028" s="24"/>
      <c r="L2028" s="24"/>
      <c r="M2028" s="26"/>
      <c r="N2028" s="26"/>
      <c r="O2028" s="26"/>
      <c r="P2028" s="27"/>
      <c r="Q2028" s="27"/>
      <c r="R2028" s="27"/>
      <c r="S2028" s="22"/>
      <c r="T2028" s="22"/>
      <c r="U2028" s="28"/>
    </row>
    <row r="2029">
      <c r="A2029" s="189"/>
      <c r="B2029" s="22"/>
      <c r="C2029" s="22"/>
      <c r="D2029" s="22"/>
      <c r="E2029" s="22"/>
      <c r="F2029" s="22"/>
      <c r="G2029" s="22"/>
      <c r="H2029" s="22"/>
      <c r="I2029" s="24"/>
      <c r="J2029" s="24"/>
      <c r="K2029" s="24"/>
      <c r="L2029" s="24"/>
      <c r="M2029" s="26"/>
      <c r="N2029" s="26"/>
      <c r="O2029" s="26"/>
      <c r="P2029" s="27"/>
      <c r="Q2029" s="27"/>
      <c r="R2029" s="27"/>
      <c r="S2029" s="22"/>
      <c r="T2029" s="22"/>
      <c r="U2029" s="28"/>
    </row>
    <row r="2030">
      <c r="A2030" s="189"/>
      <c r="B2030" s="22"/>
      <c r="C2030" s="22"/>
      <c r="D2030" s="22"/>
      <c r="E2030" s="22"/>
      <c r="F2030" s="22"/>
      <c r="G2030" s="22"/>
      <c r="H2030" s="22"/>
      <c r="I2030" s="24"/>
      <c r="J2030" s="24"/>
      <c r="K2030" s="24"/>
      <c r="L2030" s="24"/>
      <c r="M2030" s="26"/>
      <c r="N2030" s="26"/>
      <c r="O2030" s="26"/>
      <c r="P2030" s="27"/>
      <c r="Q2030" s="27"/>
      <c r="R2030" s="27"/>
      <c r="S2030" s="22"/>
      <c r="T2030" s="22"/>
      <c r="U2030" s="28"/>
    </row>
    <row r="2031">
      <c r="A2031" s="189"/>
      <c r="B2031" s="22"/>
      <c r="C2031" s="22"/>
      <c r="D2031" s="22"/>
      <c r="E2031" s="22"/>
      <c r="F2031" s="22"/>
      <c r="G2031" s="22"/>
      <c r="H2031" s="22"/>
      <c r="I2031" s="24"/>
      <c r="J2031" s="24"/>
      <c r="K2031" s="24"/>
      <c r="L2031" s="24"/>
      <c r="M2031" s="26"/>
      <c r="N2031" s="26"/>
      <c r="O2031" s="26"/>
      <c r="P2031" s="27"/>
      <c r="Q2031" s="27"/>
      <c r="R2031" s="27"/>
      <c r="S2031" s="22"/>
      <c r="T2031" s="22"/>
      <c r="U2031" s="28"/>
    </row>
    <row r="2032">
      <c r="A2032" s="189"/>
      <c r="B2032" s="22"/>
      <c r="C2032" s="22"/>
      <c r="D2032" s="22"/>
      <c r="E2032" s="22"/>
      <c r="F2032" s="22"/>
      <c r="G2032" s="22"/>
      <c r="H2032" s="22"/>
      <c r="I2032" s="24"/>
      <c r="J2032" s="24"/>
      <c r="K2032" s="24"/>
      <c r="L2032" s="24"/>
      <c r="M2032" s="26"/>
      <c r="N2032" s="26"/>
      <c r="O2032" s="26"/>
      <c r="P2032" s="27"/>
      <c r="Q2032" s="27"/>
      <c r="R2032" s="27"/>
      <c r="S2032" s="22"/>
      <c r="T2032" s="22"/>
      <c r="U2032" s="28"/>
    </row>
    <row r="2033">
      <c r="A2033" s="189"/>
      <c r="B2033" s="22"/>
      <c r="C2033" s="22"/>
      <c r="D2033" s="22"/>
      <c r="E2033" s="22"/>
      <c r="F2033" s="22"/>
      <c r="G2033" s="22"/>
      <c r="H2033" s="22"/>
      <c r="I2033" s="24"/>
      <c r="J2033" s="24"/>
      <c r="K2033" s="24"/>
      <c r="L2033" s="24"/>
      <c r="M2033" s="26"/>
      <c r="N2033" s="26"/>
      <c r="O2033" s="26"/>
      <c r="P2033" s="27"/>
      <c r="Q2033" s="27"/>
      <c r="R2033" s="27"/>
      <c r="S2033" s="22"/>
      <c r="T2033" s="22"/>
      <c r="U2033" s="28"/>
    </row>
    <row r="2034">
      <c r="A2034" s="189"/>
      <c r="B2034" s="22"/>
      <c r="C2034" s="22"/>
      <c r="D2034" s="22"/>
      <c r="E2034" s="22"/>
      <c r="F2034" s="22"/>
      <c r="G2034" s="22"/>
      <c r="H2034" s="22"/>
      <c r="I2034" s="24"/>
      <c r="J2034" s="24"/>
      <c r="K2034" s="24"/>
      <c r="L2034" s="24"/>
      <c r="M2034" s="26"/>
      <c r="N2034" s="26"/>
      <c r="O2034" s="26"/>
      <c r="P2034" s="27"/>
      <c r="Q2034" s="27"/>
      <c r="R2034" s="27"/>
      <c r="S2034" s="22"/>
      <c r="T2034" s="22"/>
      <c r="U2034" s="28"/>
    </row>
    <row r="2035">
      <c r="A2035" s="189"/>
      <c r="B2035" s="22"/>
      <c r="C2035" s="22"/>
      <c r="D2035" s="22"/>
      <c r="E2035" s="22"/>
      <c r="F2035" s="22"/>
      <c r="G2035" s="22"/>
      <c r="H2035" s="22"/>
      <c r="I2035" s="24"/>
      <c r="J2035" s="24"/>
      <c r="K2035" s="24"/>
      <c r="L2035" s="24"/>
      <c r="M2035" s="26"/>
      <c r="N2035" s="26"/>
      <c r="O2035" s="26"/>
      <c r="P2035" s="27"/>
      <c r="Q2035" s="27"/>
      <c r="R2035" s="27"/>
      <c r="S2035" s="22"/>
      <c r="T2035" s="22"/>
      <c r="U2035" s="28"/>
    </row>
    <row r="2036">
      <c r="A2036" s="189"/>
      <c r="B2036" s="22"/>
      <c r="C2036" s="22"/>
      <c r="D2036" s="22"/>
      <c r="E2036" s="22"/>
      <c r="F2036" s="22"/>
      <c r="G2036" s="22"/>
      <c r="H2036" s="22"/>
      <c r="I2036" s="24"/>
      <c r="J2036" s="24"/>
      <c r="K2036" s="24"/>
      <c r="L2036" s="24"/>
      <c r="M2036" s="26"/>
      <c r="N2036" s="26"/>
      <c r="O2036" s="26"/>
      <c r="P2036" s="27"/>
      <c r="Q2036" s="27"/>
      <c r="R2036" s="27"/>
      <c r="S2036" s="22"/>
      <c r="T2036" s="22"/>
      <c r="U2036" s="28"/>
    </row>
    <row r="2037">
      <c r="A2037" s="189"/>
      <c r="B2037" s="22"/>
      <c r="C2037" s="22"/>
      <c r="D2037" s="22"/>
      <c r="E2037" s="22"/>
      <c r="F2037" s="22"/>
      <c r="G2037" s="22"/>
      <c r="H2037" s="22"/>
      <c r="I2037" s="24"/>
      <c r="J2037" s="24"/>
      <c r="K2037" s="24"/>
      <c r="L2037" s="24"/>
      <c r="M2037" s="26"/>
      <c r="N2037" s="26"/>
      <c r="O2037" s="26"/>
      <c r="P2037" s="27"/>
      <c r="Q2037" s="27"/>
      <c r="R2037" s="27"/>
      <c r="S2037" s="22"/>
      <c r="T2037" s="22"/>
      <c r="U2037" s="28"/>
    </row>
    <row r="2038">
      <c r="A2038" s="189"/>
      <c r="B2038" s="22"/>
      <c r="C2038" s="22"/>
      <c r="D2038" s="22"/>
      <c r="E2038" s="22"/>
      <c r="F2038" s="22"/>
      <c r="G2038" s="22"/>
      <c r="H2038" s="22"/>
      <c r="I2038" s="24"/>
      <c r="J2038" s="24"/>
      <c r="K2038" s="24"/>
      <c r="L2038" s="24"/>
      <c r="M2038" s="26"/>
      <c r="N2038" s="26"/>
      <c r="O2038" s="26"/>
      <c r="P2038" s="27"/>
      <c r="Q2038" s="27"/>
      <c r="R2038" s="27"/>
      <c r="S2038" s="22"/>
      <c r="T2038" s="22"/>
      <c r="U2038" s="28"/>
    </row>
    <row r="2039">
      <c r="A2039" s="189"/>
      <c r="B2039" s="22"/>
      <c r="C2039" s="22"/>
      <c r="D2039" s="22"/>
      <c r="E2039" s="22"/>
      <c r="F2039" s="22"/>
      <c r="G2039" s="22"/>
      <c r="H2039" s="22"/>
      <c r="I2039" s="24"/>
      <c r="J2039" s="24"/>
      <c r="K2039" s="24"/>
      <c r="L2039" s="24"/>
      <c r="M2039" s="26"/>
      <c r="N2039" s="26"/>
      <c r="O2039" s="26"/>
      <c r="P2039" s="27"/>
      <c r="Q2039" s="27"/>
      <c r="R2039" s="27"/>
      <c r="S2039" s="22"/>
      <c r="T2039" s="22"/>
      <c r="U2039" s="28"/>
    </row>
    <row r="2040">
      <c r="A2040" s="189"/>
      <c r="B2040" s="22"/>
      <c r="C2040" s="22"/>
      <c r="D2040" s="22"/>
      <c r="E2040" s="22"/>
      <c r="F2040" s="22"/>
      <c r="G2040" s="22"/>
      <c r="H2040" s="22"/>
      <c r="I2040" s="24"/>
      <c r="J2040" s="24"/>
      <c r="K2040" s="24"/>
      <c r="L2040" s="24"/>
      <c r="M2040" s="26"/>
      <c r="N2040" s="26"/>
      <c r="O2040" s="26"/>
      <c r="P2040" s="27"/>
      <c r="Q2040" s="27"/>
      <c r="R2040" s="27"/>
      <c r="S2040" s="22"/>
      <c r="T2040" s="22"/>
      <c r="U2040" s="28"/>
    </row>
    <row r="2041">
      <c r="A2041" s="189"/>
      <c r="B2041" s="22"/>
      <c r="C2041" s="22"/>
      <c r="D2041" s="22"/>
      <c r="E2041" s="22"/>
      <c r="F2041" s="22"/>
      <c r="G2041" s="22"/>
      <c r="H2041" s="22"/>
      <c r="I2041" s="24"/>
      <c r="J2041" s="24"/>
      <c r="K2041" s="24"/>
      <c r="L2041" s="24"/>
      <c r="M2041" s="26"/>
      <c r="N2041" s="26"/>
      <c r="O2041" s="26"/>
      <c r="P2041" s="27"/>
      <c r="Q2041" s="27"/>
      <c r="R2041" s="27"/>
      <c r="S2041" s="22"/>
      <c r="T2041" s="22"/>
      <c r="U2041" s="28"/>
    </row>
    <row r="2042">
      <c r="A2042" s="189"/>
      <c r="B2042" s="22"/>
      <c r="C2042" s="22"/>
      <c r="D2042" s="22"/>
      <c r="E2042" s="22"/>
      <c r="F2042" s="22"/>
      <c r="G2042" s="22"/>
      <c r="H2042" s="22"/>
      <c r="I2042" s="24"/>
      <c r="J2042" s="24"/>
      <c r="K2042" s="24"/>
      <c r="L2042" s="24"/>
      <c r="M2042" s="26"/>
      <c r="N2042" s="26"/>
      <c r="O2042" s="26"/>
      <c r="P2042" s="27"/>
      <c r="Q2042" s="27"/>
      <c r="R2042" s="27"/>
      <c r="S2042" s="22"/>
      <c r="T2042" s="22"/>
      <c r="U2042" s="28"/>
    </row>
    <row r="2043">
      <c r="A2043" s="189"/>
      <c r="B2043" s="22"/>
      <c r="C2043" s="22"/>
      <c r="D2043" s="22"/>
      <c r="E2043" s="22"/>
      <c r="F2043" s="22"/>
      <c r="G2043" s="22"/>
      <c r="H2043" s="22"/>
      <c r="I2043" s="24"/>
      <c r="J2043" s="24"/>
      <c r="K2043" s="24"/>
      <c r="L2043" s="24"/>
      <c r="M2043" s="26"/>
      <c r="N2043" s="26"/>
      <c r="O2043" s="26"/>
      <c r="P2043" s="27"/>
      <c r="Q2043" s="27"/>
      <c r="R2043" s="27"/>
      <c r="S2043" s="22"/>
      <c r="T2043" s="22"/>
      <c r="U2043" s="28"/>
    </row>
    <row r="2044">
      <c r="A2044" s="189"/>
      <c r="B2044" s="22"/>
      <c r="C2044" s="22"/>
      <c r="D2044" s="22"/>
      <c r="E2044" s="22"/>
      <c r="F2044" s="22"/>
      <c r="G2044" s="22"/>
      <c r="H2044" s="22"/>
      <c r="I2044" s="24"/>
      <c r="J2044" s="24"/>
      <c r="K2044" s="24"/>
      <c r="L2044" s="24"/>
      <c r="M2044" s="26"/>
      <c r="N2044" s="26"/>
      <c r="O2044" s="26"/>
      <c r="P2044" s="27"/>
      <c r="Q2044" s="27"/>
      <c r="R2044" s="27"/>
      <c r="S2044" s="22"/>
      <c r="T2044" s="22"/>
      <c r="U2044" s="28"/>
    </row>
    <row r="2045">
      <c r="A2045" s="189"/>
      <c r="B2045" s="22"/>
      <c r="C2045" s="22"/>
      <c r="D2045" s="22"/>
      <c r="E2045" s="22"/>
      <c r="F2045" s="22"/>
      <c r="G2045" s="22"/>
      <c r="H2045" s="22"/>
      <c r="I2045" s="24"/>
      <c r="J2045" s="24"/>
      <c r="K2045" s="24"/>
      <c r="L2045" s="24"/>
      <c r="M2045" s="26"/>
      <c r="N2045" s="26"/>
      <c r="O2045" s="26"/>
      <c r="P2045" s="27"/>
      <c r="Q2045" s="27"/>
      <c r="R2045" s="27"/>
      <c r="S2045" s="22"/>
      <c r="T2045" s="22"/>
      <c r="U2045" s="28"/>
    </row>
    <row r="2046">
      <c r="A2046" s="189"/>
      <c r="B2046" s="22"/>
      <c r="C2046" s="22"/>
      <c r="D2046" s="22"/>
      <c r="E2046" s="22"/>
      <c r="F2046" s="22"/>
      <c r="G2046" s="22"/>
      <c r="H2046" s="22"/>
      <c r="I2046" s="24"/>
      <c r="J2046" s="24"/>
      <c r="K2046" s="24"/>
      <c r="L2046" s="24"/>
      <c r="M2046" s="26"/>
      <c r="N2046" s="26"/>
      <c r="O2046" s="26"/>
      <c r="P2046" s="27"/>
      <c r="Q2046" s="27"/>
      <c r="R2046" s="27"/>
      <c r="S2046" s="22"/>
      <c r="T2046" s="22"/>
      <c r="U2046" s="28"/>
    </row>
    <row r="2047">
      <c r="A2047" s="189"/>
      <c r="B2047" s="22"/>
      <c r="C2047" s="22"/>
      <c r="D2047" s="22"/>
      <c r="E2047" s="22"/>
      <c r="F2047" s="22"/>
      <c r="G2047" s="22"/>
      <c r="H2047" s="22"/>
      <c r="I2047" s="24"/>
      <c r="J2047" s="24"/>
      <c r="K2047" s="24"/>
      <c r="L2047" s="24"/>
      <c r="M2047" s="26"/>
      <c r="N2047" s="26"/>
      <c r="O2047" s="26"/>
      <c r="P2047" s="27"/>
      <c r="Q2047" s="27"/>
      <c r="R2047" s="27"/>
      <c r="S2047" s="22"/>
      <c r="T2047" s="22"/>
      <c r="U2047" s="28"/>
    </row>
    <row r="2048">
      <c r="A2048" s="189"/>
      <c r="B2048" s="22"/>
      <c r="C2048" s="22"/>
      <c r="D2048" s="22"/>
      <c r="E2048" s="22"/>
      <c r="F2048" s="22"/>
      <c r="G2048" s="22"/>
      <c r="H2048" s="22"/>
      <c r="I2048" s="24"/>
      <c r="J2048" s="24"/>
      <c r="K2048" s="24"/>
      <c r="L2048" s="24"/>
      <c r="M2048" s="26"/>
      <c r="N2048" s="26"/>
      <c r="O2048" s="26"/>
      <c r="P2048" s="27"/>
      <c r="Q2048" s="27"/>
      <c r="R2048" s="27"/>
      <c r="S2048" s="22"/>
      <c r="T2048" s="22"/>
      <c r="U2048" s="28"/>
    </row>
    <row r="2049">
      <c r="A2049" s="189"/>
      <c r="B2049" s="22"/>
      <c r="C2049" s="22"/>
      <c r="D2049" s="22"/>
      <c r="E2049" s="22"/>
      <c r="F2049" s="22"/>
      <c r="G2049" s="22"/>
      <c r="H2049" s="22"/>
      <c r="I2049" s="24"/>
      <c r="J2049" s="24"/>
      <c r="K2049" s="24"/>
      <c r="L2049" s="24"/>
      <c r="M2049" s="26"/>
      <c r="N2049" s="26"/>
      <c r="O2049" s="26"/>
      <c r="P2049" s="27"/>
      <c r="Q2049" s="27"/>
      <c r="R2049" s="27"/>
      <c r="S2049" s="22"/>
      <c r="T2049" s="22"/>
      <c r="U2049" s="28"/>
    </row>
    <row r="2050">
      <c r="A2050" s="189"/>
      <c r="B2050" s="22"/>
      <c r="C2050" s="22"/>
      <c r="D2050" s="22"/>
      <c r="E2050" s="22"/>
      <c r="F2050" s="22"/>
      <c r="G2050" s="22"/>
      <c r="H2050" s="22"/>
      <c r="I2050" s="24"/>
      <c r="J2050" s="24"/>
      <c r="K2050" s="24"/>
      <c r="L2050" s="24"/>
      <c r="M2050" s="26"/>
      <c r="N2050" s="26"/>
      <c r="O2050" s="26"/>
      <c r="P2050" s="27"/>
      <c r="Q2050" s="27"/>
      <c r="R2050" s="27"/>
      <c r="S2050" s="22"/>
      <c r="T2050" s="22"/>
      <c r="U2050" s="28"/>
    </row>
    <row r="2051">
      <c r="A2051" s="189"/>
      <c r="B2051" s="22"/>
      <c r="C2051" s="22"/>
      <c r="D2051" s="22"/>
      <c r="E2051" s="22"/>
      <c r="F2051" s="22"/>
      <c r="G2051" s="22"/>
      <c r="H2051" s="22"/>
      <c r="I2051" s="24"/>
      <c r="J2051" s="24"/>
      <c r="K2051" s="24"/>
      <c r="L2051" s="24"/>
      <c r="M2051" s="26"/>
      <c r="N2051" s="26"/>
      <c r="O2051" s="26"/>
      <c r="P2051" s="27"/>
      <c r="Q2051" s="27"/>
      <c r="R2051" s="27"/>
      <c r="S2051" s="22"/>
      <c r="T2051" s="22"/>
      <c r="U2051" s="28"/>
    </row>
    <row r="2052">
      <c r="A2052" s="189"/>
      <c r="B2052" s="22"/>
      <c r="C2052" s="22"/>
      <c r="D2052" s="22"/>
      <c r="E2052" s="22"/>
      <c r="F2052" s="22"/>
      <c r="G2052" s="22"/>
      <c r="H2052" s="22"/>
      <c r="I2052" s="24"/>
      <c r="J2052" s="24"/>
      <c r="K2052" s="24"/>
      <c r="L2052" s="24"/>
      <c r="M2052" s="26"/>
      <c r="N2052" s="26"/>
      <c r="O2052" s="26"/>
      <c r="P2052" s="27"/>
      <c r="Q2052" s="27"/>
      <c r="R2052" s="27"/>
      <c r="S2052" s="22"/>
      <c r="T2052" s="22"/>
      <c r="U2052" s="28"/>
    </row>
    <row r="2053">
      <c r="A2053" s="189"/>
      <c r="B2053" s="22"/>
      <c r="C2053" s="22"/>
      <c r="D2053" s="22"/>
      <c r="E2053" s="22"/>
      <c r="F2053" s="22"/>
      <c r="G2053" s="22"/>
      <c r="H2053" s="22"/>
      <c r="I2053" s="24"/>
      <c r="J2053" s="24"/>
      <c r="K2053" s="24"/>
      <c r="L2053" s="24"/>
      <c r="M2053" s="26"/>
      <c r="N2053" s="26"/>
      <c r="O2053" s="26"/>
      <c r="P2053" s="27"/>
      <c r="Q2053" s="27"/>
      <c r="R2053" s="27"/>
      <c r="S2053" s="22"/>
      <c r="T2053" s="22"/>
      <c r="U2053" s="28"/>
    </row>
    <row r="2054">
      <c r="A2054" s="189"/>
      <c r="B2054" s="22"/>
      <c r="C2054" s="22"/>
      <c r="D2054" s="22"/>
      <c r="E2054" s="22"/>
      <c r="F2054" s="22"/>
      <c r="G2054" s="22"/>
      <c r="H2054" s="22"/>
      <c r="I2054" s="24"/>
      <c r="J2054" s="24"/>
      <c r="K2054" s="24"/>
      <c r="L2054" s="24"/>
      <c r="M2054" s="26"/>
      <c r="N2054" s="26"/>
      <c r="O2054" s="26"/>
      <c r="P2054" s="27"/>
      <c r="Q2054" s="27"/>
      <c r="R2054" s="27"/>
      <c r="S2054" s="22"/>
      <c r="T2054" s="22"/>
      <c r="U2054" s="28"/>
    </row>
    <row r="2055">
      <c r="A2055" s="189"/>
      <c r="B2055" s="22"/>
      <c r="C2055" s="22"/>
      <c r="D2055" s="22"/>
      <c r="E2055" s="22"/>
      <c r="F2055" s="22"/>
      <c r="G2055" s="22"/>
      <c r="H2055" s="22"/>
      <c r="I2055" s="24"/>
      <c r="J2055" s="24"/>
      <c r="K2055" s="24"/>
      <c r="L2055" s="24"/>
      <c r="M2055" s="26"/>
      <c r="N2055" s="26"/>
      <c r="O2055" s="26"/>
      <c r="P2055" s="27"/>
      <c r="Q2055" s="27"/>
      <c r="R2055" s="27"/>
      <c r="S2055" s="22"/>
      <c r="T2055" s="22"/>
      <c r="U2055" s="28"/>
    </row>
    <row r="2056">
      <c r="A2056" s="189"/>
      <c r="B2056" s="22"/>
      <c r="C2056" s="22"/>
      <c r="D2056" s="22"/>
      <c r="E2056" s="22"/>
      <c r="F2056" s="22"/>
      <c r="G2056" s="22"/>
      <c r="H2056" s="22"/>
      <c r="I2056" s="24"/>
      <c r="J2056" s="24"/>
      <c r="K2056" s="24"/>
      <c r="L2056" s="24"/>
      <c r="M2056" s="26"/>
      <c r="N2056" s="26"/>
      <c r="O2056" s="26"/>
      <c r="P2056" s="27"/>
      <c r="Q2056" s="27"/>
      <c r="R2056" s="27"/>
      <c r="S2056" s="22"/>
      <c r="T2056" s="22"/>
      <c r="U2056" s="28"/>
    </row>
    <row r="2057">
      <c r="A2057" s="189"/>
      <c r="B2057" s="22"/>
      <c r="C2057" s="22"/>
      <c r="D2057" s="22"/>
      <c r="E2057" s="22"/>
      <c r="F2057" s="22"/>
      <c r="G2057" s="22"/>
      <c r="H2057" s="22"/>
      <c r="I2057" s="24"/>
      <c r="J2057" s="24"/>
      <c r="K2057" s="24"/>
      <c r="L2057" s="24"/>
      <c r="M2057" s="26"/>
      <c r="N2057" s="26"/>
      <c r="O2057" s="26"/>
      <c r="P2057" s="27"/>
      <c r="Q2057" s="27"/>
      <c r="R2057" s="27"/>
      <c r="S2057" s="22"/>
      <c r="T2057" s="22"/>
      <c r="U2057" s="28"/>
    </row>
    <row r="2058">
      <c r="A2058" s="189"/>
      <c r="B2058" s="22"/>
      <c r="C2058" s="22"/>
      <c r="D2058" s="22"/>
      <c r="E2058" s="22"/>
      <c r="F2058" s="22"/>
      <c r="G2058" s="22"/>
      <c r="H2058" s="22"/>
      <c r="I2058" s="24"/>
      <c r="J2058" s="24"/>
      <c r="K2058" s="24"/>
      <c r="L2058" s="24"/>
      <c r="M2058" s="26"/>
      <c r="N2058" s="26"/>
      <c r="O2058" s="26"/>
      <c r="P2058" s="27"/>
      <c r="Q2058" s="27"/>
      <c r="R2058" s="27"/>
      <c r="S2058" s="22"/>
      <c r="T2058" s="22"/>
      <c r="U2058" s="28"/>
    </row>
    <row r="2059">
      <c r="A2059" s="189"/>
      <c r="B2059" s="22"/>
      <c r="C2059" s="22"/>
      <c r="D2059" s="22"/>
      <c r="E2059" s="22"/>
      <c r="F2059" s="22"/>
      <c r="G2059" s="22"/>
      <c r="H2059" s="22"/>
      <c r="I2059" s="24"/>
      <c r="J2059" s="24"/>
      <c r="K2059" s="24"/>
      <c r="L2059" s="24"/>
      <c r="M2059" s="26"/>
      <c r="N2059" s="26"/>
      <c r="O2059" s="26"/>
      <c r="P2059" s="27"/>
      <c r="Q2059" s="27"/>
      <c r="R2059" s="27"/>
      <c r="S2059" s="22"/>
      <c r="T2059" s="22"/>
      <c r="U2059" s="28"/>
    </row>
    <row r="2060">
      <c r="A2060" s="189"/>
      <c r="B2060" s="22"/>
      <c r="C2060" s="22"/>
      <c r="D2060" s="22"/>
      <c r="E2060" s="22"/>
      <c r="F2060" s="22"/>
      <c r="G2060" s="22"/>
      <c r="H2060" s="22"/>
      <c r="I2060" s="24"/>
      <c r="J2060" s="24"/>
      <c r="K2060" s="24"/>
      <c r="L2060" s="24"/>
      <c r="M2060" s="26"/>
      <c r="N2060" s="26"/>
      <c r="O2060" s="26"/>
      <c r="P2060" s="27"/>
      <c r="Q2060" s="27"/>
      <c r="R2060" s="27"/>
      <c r="S2060" s="22"/>
      <c r="T2060" s="22"/>
      <c r="U2060" s="28"/>
    </row>
    <row r="2061">
      <c r="A2061" s="189"/>
      <c r="B2061" s="22"/>
      <c r="C2061" s="22"/>
      <c r="D2061" s="22"/>
      <c r="E2061" s="22"/>
      <c r="F2061" s="22"/>
      <c r="G2061" s="22"/>
      <c r="H2061" s="22"/>
      <c r="I2061" s="24"/>
      <c r="J2061" s="24"/>
      <c r="K2061" s="24"/>
      <c r="L2061" s="24"/>
      <c r="M2061" s="26"/>
      <c r="N2061" s="26"/>
      <c r="O2061" s="26"/>
      <c r="P2061" s="27"/>
      <c r="Q2061" s="27"/>
      <c r="R2061" s="27"/>
      <c r="S2061" s="22"/>
      <c r="T2061" s="22"/>
      <c r="U2061" s="28"/>
    </row>
    <row r="2062">
      <c r="A2062" s="189"/>
      <c r="B2062" s="22"/>
      <c r="C2062" s="22"/>
      <c r="D2062" s="22"/>
      <c r="E2062" s="22"/>
      <c r="F2062" s="22"/>
      <c r="G2062" s="22"/>
      <c r="H2062" s="22"/>
      <c r="I2062" s="24"/>
      <c r="J2062" s="24"/>
      <c r="K2062" s="24"/>
      <c r="L2062" s="24"/>
      <c r="M2062" s="26"/>
      <c r="N2062" s="26"/>
      <c r="O2062" s="26"/>
      <c r="P2062" s="27"/>
      <c r="Q2062" s="27"/>
      <c r="R2062" s="27"/>
      <c r="S2062" s="22"/>
      <c r="T2062" s="22"/>
      <c r="U2062" s="28"/>
    </row>
    <row r="2063">
      <c r="A2063" s="189"/>
      <c r="B2063" s="22"/>
      <c r="C2063" s="22"/>
      <c r="D2063" s="22"/>
      <c r="E2063" s="22"/>
      <c r="F2063" s="22"/>
      <c r="G2063" s="22"/>
      <c r="H2063" s="22"/>
      <c r="I2063" s="24"/>
      <c r="J2063" s="24"/>
      <c r="K2063" s="24"/>
      <c r="L2063" s="24"/>
      <c r="M2063" s="26"/>
      <c r="N2063" s="26"/>
      <c r="O2063" s="26"/>
      <c r="P2063" s="27"/>
      <c r="Q2063" s="27"/>
      <c r="R2063" s="27"/>
      <c r="S2063" s="22"/>
      <c r="T2063" s="22"/>
      <c r="U2063" s="28"/>
    </row>
  </sheetData>
  <dataValidations>
    <dataValidation type="list" allowBlank="1" showErrorMessage="1" sqref="P5:P9 P11:P12 P14:P17 P20:P24 P26:P29 P37:P38 P41:P42 P46:P47 P51 P54:P56 P60:P61 P64 P69:P71 P73 P75:P79 P81:P82 P85 P87 P91 P93:P96 P101 P103 P110 P113:P116 P118 P122 P124:P126 P128:P129 P132:P133 P135 P137:P138 P142 P146:P148 P150:P152 P154:P172 P215:P216 P220:P225 P227:P230 P232:P233">
      <formula1>"AAA,AA,Indie,Hobbyist"</formula1>
    </dataValidation>
    <dataValidation type="list" allowBlank="1" showErrorMessage="1" sqref="Q5:Q47 Q51:Q106 Q110:Q172 Q183 Q215 Q217:Q234">
      <formula1>"$$$,$$,$"</formula1>
    </dataValidation>
    <dataValidation type="list" allowBlank="1" showErrorMessage="1" sqref="B12 B101 B112 B117 B166 B169 B183">
      <formula1>"USA,Canada,UK,Germany,Netherlands,France,Poland,Switzerland,Belgium,Ireland,Sweden,Cyprus,Czech,Italy,Denmark,Finland,Lithuania,Spain,Greece,Russia,China,Korea,Japan,Singapore,Thailand,India,Indonesia,Georgia,UAE,Tunisia,Australia,Brazil,Armenia,Argentina"</formula1>
    </dataValidation>
    <dataValidation type="list" allowBlank="1" showErrorMessage="1" sqref="P10 P13 P18:P19 P25 P30:P36 P39:P40 P43:P45 P52:P53 P57:P59 P62:P63 P65:P68 P72 P74 P80 P83:P84 P86 P88:P90 P92 P97:P100 P102 P104:P106 P111:P112 P117 P119:P121 P123 P127 P130:P131 P134 P136 P139:P141 P143:P145 P149 P153 P183 P217:P219 P226 P231 P234">
      <formula1>"AA,Indie"</formula1>
    </dataValidation>
    <dataValidation type="list" allowBlank="1" showErrorMessage="1" sqref="R5:R27 R29:R47 R51:R106 R110:R169 R171:R172 R183 R215:R234">
      <formula1>"★,★★★,★★,?"</formula1>
    </dataValidation>
    <dataValidation type="list" allowBlank="1" showErrorMessage="1" sqref="S5:S47 S51:S106 S110:S165 S176:S178 S183 S187 S194:S211 S213 S215 S217:S234">
      <formula1>"4X,Grand Strategy,Turn-Based Strategy,RTS,Real Time Tactics,Turn-Based Tactics,Tactical RPG,Wargame,Tower Defense,Auto Battler,Real-Time with Pause,Strategy RPG,Hex Grid,Political Sim,God Game,Management,City Builder,Base Building,Colony Sim,Economy,Resou"&amp;"rce Management,Automation,Farming Sim,Life Sim,Driving,Automobile Sim,Flight,Space Sim,Cooking,Time Management,Cleaning,Job Simulator,Shop Keeper,Mining,Capitalism,Idler,Incremental,Fishing,Motorbike,Golf,Football (Soccer),Programming,Hacking,Gambling,Sur"&amp;"vival,Crafting,Sandbox,Open World Survival Craft,Open World,Voxel,Level Editor,Procedural Generation,Shooter,FPS,Hack and Slash,Action-Adventure,Action RPG,Souls-like,Beat 'em up,Fighting,Bullet Hell,Bullet Heaven,Top-Down Shooter,Looter Shooter,Extractio"&amp;"n Shooter,Twin Stick Shooter,Stealth,Martial Arts,Action Roguelike,On-Rails Shooter,Parkour,Arcade,Immersive Sim,Roguelike,Roguelite,Deckbuilding,Roguelike Deckbuilder,Card Game,Dungeon Crawler,Board Game,Tabletop,Dice,JRPG,Party-Based RPG,Turn-Based Comb"&amp;"at,CRPG,Creature Collector,Puzzle,Point &amp; Click,Visual Novel,Walking Simulator,Interactive Fiction,Choose Your Own Adventure,Hidden Object,Investigation,Escape Room,Dating Sim,Puzzle Platformer,Logic,Text-Based,Typing,Horror,Psychological Horror,Survival "&amp;"Horror,Platformer,2D Platformer,3D Platformer,Metroidvania,Precision Platformer,Collectathon,2.5D,Co-op,PvP,Team-Based,Competitive,Party Game,Asynchronous Multiplayer,Rhythm,VR"</formula1>
    </dataValidation>
    <dataValidation type="list" allowBlank="1" showErrorMessage="1" sqref="B111 B141">
      <formula1>"USA,Canada,UK,Germany,Netherlands,France,Poland,Switzerland,Belgium,Ireland,Sweden,Cyprus,Czech,Italy,Denmark,Finland,Lithuania,Spain,Greece,Russia,China,Korea,Japan,Singapore,Thailand,India,Indonesia,Georgia,UAE,Tunisia,Australia,Brazil,Armenia,Argentina"&amp;",Turkey"</formula1>
    </dataValidation>
    <dataValidation type="list" allowBlank="1" showErrorMessage="1" sqref="B5:B11 B13:B47 B51:B100 B102:B106 B110 B113:B116 B118:B140 B142:B165 B167:B168 B170:B172 B176:B182 B184:B190 B194:B214 B216:B235">
      <formula1>"USA,Canada,UK,Germany,Netherlands,France,Poland,Switzerland,Belgium,Ireland,Sweden,Cyprus,Czech,Italy,Denmark,Finland,Lithuania,Spain,Greece,Russia,China,Korea,Japan,Singapore,Thailand,India,Indonesia,Georgia,UAE,Tunisia,Australia,Brazil"</formula1>
    </dataValidation>
  </dataValidations>
  <hyperlinks>
    <hyperlink r:id="rId4" ref="C5"/>
    <hyperlink r:id="rId5" ref="D5"/>
    <hyperlink r:id="rId6" ref="E5"/>
    <hyperlink r:id="rId7" ref="G5"/>
    <hyperlink r:id="rId8" ref="H5"/>
    <hyperlink r:id="rId9" ref="C6"/>
    <hyperlink r:id="rId10" ref="E6"/>
    <hyperlink r:id="rId11" ref="F6"/>
    <hyperlink r:id="rId12" ref="G6"/>
    <hyperlink r:id="rId13" ref="H6"/>
    <hyperlink r:id="rId14" ref="C7"/>
    <hyperlink r:id="rId15" ref="F7"/>
    <hyperlink r:id="rId16" ref="G7"/>
    <hyperlink r:id="rId17" ref="H7"/>
    <hyperlink r:id="rId18" ref="C8"/>
    <hyperlink r:id="rId19" ref="D8"/>
    <hyperlink r:id="rId20" ref="F8"/>
    <hyperlink r:id="rId21" ref="G8"/>
    <hyperlink r:id="rId22" ref="H8"/>
    <hyperlink r:id="rId23" ref="C9"/>
    <hyperlink r:id="rId24" ref="E9"/>
    <hyperlink r:id="rId25" ref="G9"/>
    <hyperlink r:id="rId26" ref="H9"/>
    <hyperlink r:id="rId27" ref="C10"/>
    <hyperlink r:id="rId28" location="pitch" ref="E10"/>
    <hyperlink r:id="rId29" ref="F10"/>
    <hyperlink r:id="rId30" ref="G10"/>
    <hyperlink r:id="rId31" ref="H10"/>
    <hyperlink r:id="rId32" ref="C11"/>
    <hyperlink r:id="rId33" ref="D11"/>
    <hyperlink r:id="rId34" ref="E11"/>
    <hyperlink r:id="rId35" ref="F11"/>
    <hyperlink r:id="rId36" ref="G11"/>
    <hyperlink r:id="rId37" ref="H11"/>
    <hyperlink r:id="rId38" ref="C12"/>
    <hyperlink r:id="rId39" ref="D12"/>
    <hyperlink r:id="rId40" ref="E12"/>
    <hyperlink r:id="rId41" ref="F12"/>
    <hyperlink r:id="rId42" ref="G12"/>
    <hyperlink r:id="rId43" ref="H12"/>
    <hyperlink r:id="rId44" ref="C13"/>
    <hyperlink r:id="rId45" ref="G13"/>
    <hyperlink r:id="rId46" ref="H13"/>
    <hyperlink r:id="rId47" ref="C14"/>
    <hyperlink r:id="rId48" ref="F14"/>
    <hyperlink r:id="rId49" ref="G14"/>
    <hyperlink r:id="rId50" ref="H14"/>
    <hyperlink r:id="rId51" ref="C15"/>
    <hyperlink r:id="rId52" ref="F15"/>
    <hyperlink r:id="rId53" ref="G15"/>
    <hyperlink r:id="rId54" ref="H15"/>
    <hyperlink r:id="rId55" ref="C16"/>
    <hyperlink r:id="rId56" ref="G16"/>
    <hyperlink r:id="rId57" ref="H16"/>
    <hyperlink r:id="rId58" ref="C17"/>
    <hyperlink r:id="rId59" ref="E17"/>
    <hyperlink r:id="rId60" ref="F17"/>
    <hyperlink r:id="rId61" ref="G17"/>
    <hyperlink r:id="rId62" ref="H17"/>
    <hyperlink r:id="rId63" ref="C18"/>
    <hyperlink r:id="rId64" ref="E18"/>
    <hyperlink r:id="rId65" ref="G18"/>
    <hyperlink r:id="rId66" ref="H18"/>
    <hyperlink r:id="rId67" ref="C19"/>
    <hyperlink r:id="rId68" ref="D19"/>
    <hyperlink r:id="rId69" ref="E19"/>
    <hyperlink r:id="rId70" ref="F19"/>
    <hyperlink r:id="rId71" ref="G19"/>
    <hyperlink r:id="rId72" ref="H19"/>
    <hyperlink r:id="rId73" ref="C20"/>
    <hyperlink r:id="rId74" ref="D20"/>
    <hyperlink r:id="rId75" ref="E20"/>
    <hyperlink r:id="rId76" ref="F20"/>
    <hyperlink r:id="rId77" ref="G20"/>
    <hyperlink r:id="rId78" ref="H20"/>
    <hyperlink r:id="rId79" ref="C21"/>
    <hyperlink r:id="rId80" ref="E21"/>
    <hyperlink r:id="rId81" ref="F21"/>
    <hyperlink r:id="rId82" ref="G21"/>
    <hyperlink r:id="rId83" ref="H21"/>
    <hyperlink r:id="rId84" ref="C22"/>
    <hyperlink r:id="rId85" ref="G22"/>
    <hyperlink r:id="rId86" ref="H22"/>
    <hyperlink r:id="rId87" ref="C23"/>
    <hyperlink r:id="rId88" ref="F23"/>
    <hyperlink r:id="rId89" ref="G23"/>
    <hyperlink r:id="rId90" ref="H23"/>
    <hyperlink r:id="rId91" ref="C24"/>
    <hyperlink r:id="rId92" ref="E24"/>
    <hyperlink r:id="rId93" ref="G24"/>
    <hyperlink r:id="rId94" ref="H24"/>
    <hyperlink r:id="rId95" ref="C25"/>
    <hyperlink r:id="rId96" location="slide=id.g25a4797f419_0_94" ref="D25"/>
    <hyperlink r:id="rId97" ref="E25"/>
    <hyperlink r:id="rId98" ref="F25"/>
    <hyperlink r:id="rId99" ref="G25"/>
    <hyperlink r:id="rId100" ref="H25"/>
    <hyperlink r:id="rId101" ref="C26"/>
    <hyperlink r:id="rId102" ref="F26"/>
    <hyperlink r:id="rId103" ref="G26"/>
    <hyperlink r:id="rId104" ref="H26"/>
    <hyperlink r:id="rId105" ref="C27"/>
    <hyperlink r:id="rId106" ref="E27"/>
    <hyperlink r:id="rId107" ref="F27"/>
    <hyperlink r:id="rId108" ref="G27"/>
    <hyperlink r:id="rId109" ref="H27"/>
    <hyperlink r:id="rId110" ref="C28"/>
    <hyperlink r:id="rId111" ref="F28"/>
    <hyperlink r:id="rId112" ref="G28"/>
    <hyperlink r:id="rId113" ref="H28"/>
    <hyperlink r:id="rId114" ref="C29"/>
    <hyperlink r:id="rId115" location="/publishing" ref="D29"/>
    <hyperlink r:id="rId116" ref="E29"/>
    <hyperlink r:id="rId117" ref="F29"/>
    <hyperlink r:id="rId118" ref="G29"/>
    <hyperlink r:id="rId119" ref="H29"/>
    <hyperlink r:id="rId120" ref="C30"/>
    <hyperlink r:id="rId121" ref="D30"/>
    <hyperlink r:id="rId122" ref="E30"/>
    <hyperlink r:id="rId123" ref="F30"/>
    <hyperlink r:id="rId124" ref="G30"/>
    <hyperlink r:id="rId125" ref="H30"/>
    <hyperlink r:id="rId126" ref="C31"/>
    <hyperlink r:id="rId127" ref="E31"/>
    <hyperlink r:id="rId128" ref="G31"/>
    <hyperlink r:id="rId129" ref="H31"/>
    <hyperlink r:id="rId130" ref="C32"/>
    <hyperlink r:id="rId131" ref="F32"/>
    <hyperlink r:id="rId132" ref="G32"/>
    <hyperlink r:id="rId133" ref="H32"/>
    <hyperlink r:id="rId134" ref="C33"/>
    <hyperlink r:id="rId135" ref="D33"/>
    <hyperlink r:id="rId136" ref="E33"/>
    <hyperlink r:id="rId137" ref="F33"/>
    <hyperlink r:id="rId138" ref="G33"/>
    <hyperlink r:id="rId139" ref="H33"/>
    <hyperlink r:id="rId140" ref="C34"/>
    <hyperlink r:id="rId141" ref="F34"/>
    <hyperlink r:id="rId142" ref="G34"/>
    <hyperlink r:id="rId143" ref="H34"/>
    <hyperlink r:id="rId144" ref="C35"/>
    <hyperlink r:id="rId145" ref="E35"/>
    <hyperlink r:id="rId146" ref="F35"/>
    <hyperlink r:id="rId147" ref="G35"/>
    <hyperlink r:id="rId148" ref="H35"/>
    <hyperlink r:id="rId149" ref="C36"/>
    <hyperlink r:id="rId150" ref="F36"/>
    <hyperlink r:id="rId151" ref="G36"/>
    <hyperlink r:id="rId152" ref="H36"/>
    <hyperlink r:id="rId153" ref="C37"/>
    <hyperlink r:id="rId154" ref="D37"/>
    <hyperlink r:id="rId155" ref="F37"/>
    <hyperlink r:id="rId156" ref="G37"/>
    <hyperlink r:id="rId157" ref="H37"/>
    <hyperlink r:id="rId158" ref="C38"/>
    <hyperlink r:id="rId159" ref="E38"/>
    <hyperlink r:id="rId160" ref="F38"/>
    <hyperlink r:id="rId161" ref="G38"/>
    <hyperlink r:id="rId162" ref="H38"/>
    <hyperlink r:id="rId163" ref="C39"/>
    <hyperlink r:id="rId164" ref="F39"/>
    <hyperlink r:id="rId165" ref="G39"/>
    <hyperlink r:id="rId166" ref="H39"/>
    <hyperlink r:id="rId167" ref="C40"/>
    <hyperlink r:id="rId168" ref="F40"/>
    <hyperlink r:id="rId169" ref="G40"/>
    <hyperlink r:id="rId170" ref="H40"/>
    <hyperlink r:id="rId171" ref="C41"/>
    <hyperlink r:id="rId172" ref="E41"/>
    <hyperlink r:id="rId173" ref="G41"/>
    <hyperlink r:id="rId174" ref="C42"/>
    <hyperlink r:id="rId175" ref="E42"/>
    <hyperlink r:id="rId176" ref="F42"/>
    <hyperlink r:id="rId177" ref="G42"/>
    <hyperlink r:id="rId178" ref="H42"/>
    <hyperlink r:id="rId179" ref="C43"/>
    <hyperlink r:id="rId180" ref="E43"/>
    <hyperlink r:id="rId181" ref="F43"/>
    <hyperlink r:id="rId182" ref="G43"/>
    <hyperlink r:id="rId183" ref="H43"/>
    <hyperlink r:id="rId184" ref="C44"/>
    <hyperlink r:id="rId185" ref="F44"/>
    <hyperlink r:id="rId186" ref="G44"/>
    <hyperlink r:id="rId187" ref="H44"/>
    <hyperlink r:id="rId188" ref="C45"/>
    <hyperlink r:id="rId189" ref="G45"/>
    <hyperlink r:id="rId190" ref="H45"/>
    <hyperlink r:id="rId191" ref="C46"/>
    <hyperlink r:id="rId192" ref="G46"/>
    <hyperlink r:id="rId193" ref="H46"/>
    <hyperlink r:id="rId194" ref="C47"/>
    <hyperlink r:id="rId195" ref="D47"/>
    <hyperlink r:id="rId196" ref="G47"/>
    <hyperlink r:id="rId197" ref="H47"/>
    <hyperlink r:id="rId198" ref="C51"/>
    <hyperlink r:id="rId199" ref="E51"/>
    <hyperlink r:id="rId200" ref="G51"/>
    <hyperlink r:id="rId201" ref="H51"/>
    <hyperlink r:id="rId202" ref="C52"/>
    <hyperlink r:id="rId203" ref="E52"/>
    <hyperlink r:id="rId204" ref="F52"/>
    <hyperlink r:id="rId205" ref="G52"/>
    <hyperlink r:id="rId206" ref="H52"/>
    <hyperlink r:id="rId207" ref="C53"/>
    <hyperlink r:id="rId208" ref="F53"/>
    <hyperlink r:id="rId209" ref="G53"/>
    <hyperlink r:id="rId210" ref="H53"/>
    <hyperlink r:id="rId211" ref="C54"/>
    <hyperlink r:id="rId212" ref="E54"/>
    <hyperlink r:id="rId213" ref="F54"/>
    <hyperlink r:id="rId214" ref="G54"/>
    <hyperlink r:id="rId215" ref="H54"/>
    <hyperlink r:id="rId216" ref="C55"/>
    <hyperlink r:id="rId217" ref="E55"/>
    <hyperlink r:id="rId218" ref="F55"/>
    <hyperlink r:id="rId219" ref="G55"/>
    <hyperlink r:id="rId220" ref="H55"/>
    <hyperlink r:id="rId221" ref="C56"/>
    <hyperlink r:id="rId222" ref="E56"/>
    <hyperlink r:id="rId223" ref="G56"/>
    <hyperlink r:id="rId224" ref="H56"/>
    <hyperlink r:id="rId225" ref="C57"/>
    <hyperlink r:id="rId226" ref="F57"/>
    <hyperlink r:id="rId227" ref="G57"/>
    <hyperlink r:id="rId228" ref="H57"/>
    <hyperlink r:id="rId229" ref="C58"/>
    <hyperlink r:id="rId230" ref="E58"/>
    <hyperlink r:id="rId231" ref="G58"/>
    <hyperlink r:id="rId232" ref="H58"/>
    <hyperlink r:id="rId233" ref="C59"/>
    <hyperlink r:id="rId234" ref="D59"/>
    <hyperlink r:id="rId235" ref="F59"/>
    <hyperlink r:id="rId236" ref="G59"/>
    <hyperlink r:id="rId237" ref="H59"/>
    <hyperlink r:id="rId238" ref="C60"/>
    <hyperlink r:id="rId239" ref="F60"/>
    <hyperlink r:id="rId240" ref="G60"/>
    <hyperlink r:id="rId241" ref="H60"/>
    <hyperlink r:id="rId242" ref="C61"/>
    <hyperlink r:id="rId243" ref="E61"/>
    <hyperlink r:id="rId244" ref="G61"/>
    <hyperlink r:id="rId245" ref="H61"/>
    <hyperlink r:id="rId246" ref="C62"/>
    <hyperlink r:id="rId247" ref="F62"/>
    <hyperlink r:id="rId248" ref="G62"/>
    <hyperlink r:id="rId249" ref="H62"/>
    <hyperlink r:id="rId250" ref="C63"/>
    <hyperlink r:id="rId251" ref="E63"/>
    <hyperlink r:id="rId252" ref="F63"/>
    <hyperlink r:id="rId253" ref="G63"/>
    <hyperlink r:id="rId254" ref="H63"/>
    <hyperlink r:id="rId255" ref="C64"/>
    <hyperlink r:id="rId256" ref="F64"/>
    <hyperlink r:id="rId257" ref="G64"/>
    <hyperlink r:id="rId258" ref="H64"/>
    <hyperlink r:id="rId259" ref="C65"/>
    <hyperlink r:id="rId260" ref="E65"/>
    <hyperlink r:id="rId261" ref="F65"/>
    <hyperlink r:id="rId262" ref="G65"/>
    <hyperlink r:id="rId263" ref="H65"/>
    <hyperlink r:id="rId264" ref="C66"/>
    <hyperlink r:id="rId265" ref="E66"/>
    <hyperlink r:id="rId266" ref="G66"/>
    <hyperlink r:id="rId267" ref="H66"/>
    <hyperlink r:id="rId268" ref="C67"/>
    <hyperlink r:id="rId269" ref="D67"/>
    <hyperlink r:id="rId270" ref="F67"/>
    <hyperlink r:id="rId271" ref="G67"/>
    <hyperlink r:id="rId272" ref="H67"/>
    <hyperlink r:id="rId273" ref="C68"/>
    <hyperlink r:id="rId274" ref="E68"/>
    <hyperlink r:id="rId275" ref="F68"/>
    <hyperlink r:id="rId276" ref="G68"/>
    <hyperlink r:id="rId277" ref="H68"/>
    <hyperlink r:id="rId278" ref="C69"/>
    <hyperlink r:id="rId279" ref="E69"/>
    <hyperlink r:id="rId280" ref="G69"/>
    <hyperlink r:id="rId281" ref="H69"/>
    <hyperlink r:id="rId282" ref="C70"/>
    <hyperlink r:id="rId283" ref="F70"/>
    <hyperlink r:id="rId284" ref="G70"/>
    <hyperlink r:id="rId285" ref="H70"/>
    <hyperlink r:id="rId286" ref="C71"/>
    <hyperlink r:id="rId287" ref="F71"/>
    <hyperlink r:id="rId288" ref="G71"/>
    <hyperlink r:id="rId289" ref="H71"/>
    <hyperlink r:id="rId290" ref="C72"/>
    <hyperlink r:id="rId291" ref="F72"/>
    <hyperlink r:id="rId292" ref="G72"/>
    <hyperlink r:id="rId293" ref="H72"/>
    <hyperlink r:id="rId294" ref="C73"/>
    <hyperlink r:id="rId295" ref="E73"/>
    <hyperlink r:id="rId296" ref="G73"/>
    <hyperlink r:id="rId297" ref="H73"/>
    <hyperlink r:id="rId298" ref="C74"/>
    <hyperlink r:id="rId299" ref="E74"/>
    <hyperlink r:id="rId300" ref="F74"/>
    <hyperlink r:id="rId301" ref="G74"/>
    <hyperlink r:id="rId302" ref="H74"/>
    <hyperlink r:id="rId303" ref="C75"/>
    <hyperlink r:id="rId304" ref="G75"/>
    <hyperlink r:id="rId305" ref="H75"/>
    <hyperlink r:id="rId306" ref="C76"/>
    <hyperlink r:id="rId307" ref="F76"/>
    <hyperlink r:id="rId308" ref="G76"/>
    <hyperlink r:id="rId309" ref="H76"/>
    <hyperlink r:id="rId310" ref="C77"/>
    <hyperlink r:id="rId311" ref="F77"/>
    <hyperlink r:id="rId312" ref="G77"/>
    <hyperlink r:id="rId313" ref="H77"/>
    <hyperlink r:id="rId314" ref="C78"/>
    <hyperlink r:id="rId315" ref="E78"/>
    <hyperlink r:id="rId316" ref="F78"/>
    <hyperlink r:id="rId317" ref="G78"/>
    <hyperlink r:id="rId318" ref="H78"/>
    <hyperlink r:id="rId319" ref="C79"/>
    <hyperlink r:id="rId320" ref="F79"/>
    <hyperlink r:id="rId321" ref="G79"/>
    <hyperlink r:id="rId322" ref="H79"/>
    <hyperlink r:id="rId323" ref="C80"/>
    <hyperlink r:id="rId324" ref="E80"/>
    <hyperlink r:id="rId325" ref="F80"/>
    <hyperlink r:id="rId326" ref="G80"/>
    <hyperlink r:id="rId327" ref="H80"/>
    <hyperlink r:id="rId328" ref="C81"/>
    <hyperlink r:id="rId329" ref="E81"/>
    <hyperlink r:id="rId330" ref="F81"/>
    <hyperlink r:id="rId331" ref="G81"/>
    <hyperlink r:id="rId332" ref="H81"/>
    <hyperlink r:id="rId333" ref="C82"/>
    <hyperlink r:id="rId334" ref="E82"/>
    <hyperlink r:id="rId335" ref="F82"/>
    <hyperlink r:id="rId336" ref="G82"/>
    <hyperlink r:id="rId337" ref="H82"/>
    <hyperlink r:id="rId338" ref="C83"/>
    <hyperlink r:id="rId339" ref="D83"/>
    <hyperlink r:id="rId340" ref="F83"/>
    <hyperlink r:id="rId341" ref="G83"/>
    <hyperlink r:id="rId342" ref="H83"/>
    <hyperlink r:id="rId343" ref="C84"/>
    <hyperlink r:id="rId344" ref="D84"/>
    <hyperlink r:id="rId345" ref="E84"/>
    <hyperlink r:id="rId346" ref="F84"/>
    <hyperlink r:id="rId347" ref="G84"/>
    <hyperlink r:id="rId348" ref="H84"/>
    <hyperlink r:id="rId349" ref="C85"/>
    <hyperlink r:id="rId350" ref="D85"/>
    <hyperlink r:id="rId351" ref="F85"/>
    <hyperlink r:id="rId352" ref="G85"/>
    <hyperlink r:id="rId353" ref="H85"/>
    <hyperlink r:id="rId354" ref="C86"/>
    <hyperlink r:id="rId355" ref="F86"/>
    <hyperlink r:id="rId356" ref="G86"/>
    <hyperlink r:id="rId357" ref="H86"/>
    <hyperlink r:id="rId358" ref="C87"/>
    <hyperlink r:id="rId359" ref="F87"/>
    <hyperlink r:id="rId360" ref="G87"/>
    <hyperlink r:id="rId361" ref="H87"/>
    <hyperlink r:id="rId362" ref="C88"/>
    <hyperlink r:id="rId363" ref="D88"/>
    <hyperlink r:id="rId364" ref="F88"/>
    <hyperlink r:id="rId365" ref="G88"/>
    <hyperlink r:id="rId366" ref="H88"/>
    <hyperlink r:id="rId367" ref="C89"/>
    <hyperlink r:id="rId368" ref="D89"/>
    <hyperlink r:id="rId369" ref="E89"/>
    <hyperlink r:id="rId370" ref="F89"/>
    <hyperlink r:id="rId371" ref="G89"/>
    <hyperlink r:id="rId372" ref="H89"/>
    <hyperlink r:id="rId373" ref="C90"/>
    <hyperlink r:id="rId374" ref="G90"/>
    <hyperlink r:id="rId375" ref="H90"/>
    <hyperlink r:id="rId376" ref="C91"/>
    <hyperlink r:id="rId377" location="slide=id.g31a65f9177f_0_0" ref="D91"/>
    <hyperlink r:id="rId378" ref="F91"/>
    <hyperlink r:id="rId379" ref="G91"/>
    <hyperlink r:id="rId380" ref="H91"/>
    <hyperlink r:id="rId381" ref="C92"/>
    <hyperlink r:id="rId382" ref="D92"/>
    <hyperlink r:id="rId383" ref="F92"/>
    <hyperlink r:id="rId384" ref="G92"/>
    <hyperlink r:id="rId385" ref="H92"/>
    <hyperlink r:id="rId386" ref="C93"/>
    <hyperlink r:id="rId387" ref="F93"/>
    <hyperlink r:id="rId388" ref="G93"/>
    <hyperlink r:id="rId389" ref="H93"/>
    <hyperlink r:id="rId390" ref="C94"/>
    <hyperlink r:id="rId391" ref="D94"/>
    <hyperlink r:id="rId392" ref="G94"/>
    <hyperlink r:id="rId393" ref="H94"/>
    <hyperlink r:id="rId394" ref="C95"/>
    <hyperlink r:id="rId395" ref="E95"/>
    <hyperlink r:id="rId396" ref="F95"/>
    <hyperlink r:id="rId397" ref="G95"/>
    <hyperlink r:id="rId398" ref="H95"/>
    <hyperlink r:id="rId399" ref="C96"/>
    <hyperlink r:id="rId400" ref="D96"/>
    <hyperlink r:id="rId401" ref="F96"/>
    <hyperlink r:id="rId402" ref="G96"/>
    <hyperlink r:id="rId403" ref="H96"/>
    <hyperlink r:id="rId404" ref="C97"/>
    <hyperlink r:id="rId405" ref="F97"/>
    <hyperlink r:id="rId406" ref="G97"/>
    <hyperlink r:id="rId407" ref="H97"/>
    <hyperlink r:id="rId408" ref="C98"/>
    <hyperlink r:id="rId409" ref="E98"/>
    <hyperlink r:id="rId410" ref="F98"/>
    <hyperlink r:id="rId411" ref="G98"/>
    <hyperlink r:id="rId412" ref="H98"/>
    <hyperlink r:id="rId413" ref="C99"/>
    <hyperlink r:id="rId414" ref="E99"/>
    <hyperlink r:id="rId415" ref="F99"/>
    <hyperlink r:id="rId416" ref="G99"/>
    <hyperlink r:id="rId417" ref="H99"/>
    <hyperlink r:id="rId418" ref="C100"/>
    <hyperlink r:id="rId419" ref="D100"/>
    <hyperlink r:id="rId420" ref="G100"/>
    <hyperlink r:id="rId421" ref="H100"/>
    <hyperlink r:id="rId422" ref="C101"/>
    <hyperlink r:id="rId423" ref="F101"/>
    <hyperlink r:id="rId424" ref="G101"/>
    <hyperlink r:id="rId425" ref="H101"/>
    <hyperlink r:id="rId426" ref="C102"/>
    <hyperlink r:id="rId427" ref="E102"/>
    <hyperlink r:id="rId428" ref="F102"/>
    <hyperlink r:id="rId429" ref="G102"/>
    <hyperlink r:id="rId430" ref="H102"/>
    <hyperlink r:id="rId431" ref="C103"/>
    <hyperlink r:id="rId432" ref="G103"/>
    <hyperlink r:id="rId433" ref="H103"/>
    <hyperlink r:id="rId434" ref="C104"/>
    <hyperlink r:id="rId435" ref="G104"/>
    <hyperlink r:id="rId436" ref="H104"/>
    <hyperlink r:id="rId437" ref="C105"/>
    <hyperlink r:id="rId438" ref="F105"/>
    <hyperlink r:id="rId439" ref="G105"/>
    <hyperlink r:id="rId440" ref="H105"/>
    <hyperlink r:id="rId441" ref="C106"/>
    <hyperlink r:id="rId442" ref="F106"/>
    <hyperlink r:id="rId443" ref="G106"/>
    <hyperlink r:id="rId444" ref="H106"/>
    <hyperlink r:id="rId445" ref="C110"/>
    <hyperlink r:id="rId446" ref="F110"/>
    <hyperlink r:id="rId447" ref="G110"/>
    <hyperlink r:id="rId448" ref="H110"/>
    <hyperlink r:id="rId449" ref="C111"/>
    <hyperlink r:id="rId450" ref="D111"/>
    <hyperlink r:id="rId451" ref="E111"/>
    <hyperlink r:id="rId452" ref="F111"/>
    <hyperlink r:id="rId453" ref="G111"/>
    <hyperlink r:id="rId454" ref="H111"/>
    <hyperlink r:id="rId455" ref="C112"/>
    <hyperlink r:id="rId456" ref="D112"/>
    <hyperlink r:id="rId457" ref="F112"/>
    <hyperlink r:id="rId458" ref="G112"/>
    <hyperlink r:id="rId459" ref="H112"/>
    <hyperlink r:id="rId460" ref="C113"/>
    <hyperlink r:id="rId461" ref="F113"/>
    <hyperlink r:id="rId462" ref="G113"/>
    <hyperlink r:id="rId463" ref="H113"/>
    <hyperlink r:id="rId464" ref="C114"/>
    <hyperlink r:id="rId465" ref="G114"/>
    <hyperlink r:id="rId466" ref="H114"/>
    <hyperlink r:id="rId467" ref="C115"/>
    <hyperlink r:id="rId468" ref="F115"/>
    <hyperlink r:id="rId469" ref="G115"/>
    <hyperlink r:id="rId470" ref="H115"/>
    <hyperlink r:id="rId471" ref="C116"/>
    <hyperlink r:id="rId472" ref="D116"/>
    <hyperlink r:id="rId473" ref="E116"/>
    <hyperlink r:id="rId474" ref="F116"/>
    <hyperlink r:id="rId475" ref="G116"/>
    <hyperlink r:id="rId476" ref="H116"/>
    <hyperlink r:id="rId477" ref="C117"/>
    <hyperlink r:id="rId478" ref="F117"/>
    <hyperlink r:id="rId479" ref="G117"/>
    <hyperlink r:id="rId480" ref="H117"/>
    <hyperlink r:id="rId481" ref="C118"/>
    <hyperlink r:id="rId482" ref="E118"/>
    <hyperlink r:id="rId483" ref="F118"/>
    <hyperlink r:id="rId484" ref="G118"/>
    <hyperlink r:id="rId485" ref="H118"/>
    <hyperlink r:id="rId486" ref="C119"/>
    <hyperlink r:id="rId487" ref="E119"/>
    <hyperlink r:id="rId488" ref="F119"/>
    <hyperlink r:id="rId489" ref="G119"/>
    <hyperlink r:id="rId490" ref="H119"/>
    <hyperlink r:id="rId491" ref="C120"/>
    <hyperlink r:id="rId492" ref="E120"/>
    <hyperlink r:id="rId493" ref="F120"/>
    <hyperlink r:id="rId494" ref="G120"/>
    <hyperlink r:id="rId495" ref="H120"/>
    <hyperlink r:id="rId496" ref="C121"/>
    <hyperlink r:id="rId497" ref="E121"/>
    <hyperlink r:id="rId498" ref="F121"/>
    <hyperlink r:id="rId499" ref="G121"/>
    <hyperlink r:id="rId500" ref="H121"/>
    <hyperlink r:id="rId501" ref="C122"/>
    <hyperlink r:id="rId502" ref="G122"/>
    <hyperlink r:id="rId503" ref="H122"/>
    <hyperlink r:id="rId504" ref="C123"/>
    <hyperlink r:id="rId505" ref="E123"/>
    <hyperlink r:id="rId506" ref="F123"/>
    <hyperlink r:id="rId507" ref="G123"/>
    <hyperlink r:id="rId508" ref="H123"/>
    <hyperlink r:id="rId509" ref="C124"/>
    <hyperlink r:id="rId510" ref="F124"/>
    <hyperlink r:id="rId511" ref="G124"/>
    <hyperlink r:id="rId512" ref="H124"/>
    <hyperlink r:id="rId513" ref="C125"/>
    <hyperlink r:id="rId514" ref="G125"/>
    <hyperlink r:id="rId515" ref="C126"/>
    <hyperlink r:id="rId516" ref="F126"/>
    <hyperlink r:id="rId517" ref="G126"/>
    <hyperlink r:id="rId518" ref="H126"/>
    <hyperlink r:id="rId519" ref="C127"/>
    <hyperlink r:id="rId520" ref="F127"/>
    <hyperlink r:id="rId521" ref="G127"/>
    <hyperlink r:id="rId522" ref="H127"/>
    <hyperlink r:id="rId523" ref="C128"/>
    <hyperlink r:id="rId524" ref="F128"/>
    <hyperlink r:id="rId525" ref="G128"/>
    <hyperlink r:id="rId526" ref="H128"/>
    <hyperlink r:id="rId527" ref="C129"/>
    <hyperlink r:id="rId528" ref="E129"/>
    <hyperlink r:id="rId529" ref="F129"/>
    <hyperlink r:id="rId530" ref="G129"/>
    <hyperlink r:id="rId531" ref="H129"/>
    <hyperlink r:id="rId532" ref="C130"/>
    <hyperlink r:id="rId533" ref="E130"/>
    <hyperlink r:id="rId534" ref="F130"/>
    <hyperlink r:id="rId535" ref="G130"/>
    <hyperlink r:id="rId536" ref="H130"/>
    <hyperlink r:id="rId537" ref="C131"/>
    <hyperlink r:id="rId538" ref="D131"/>
    <hyperlink r:id="rId539" ref="E131"/>
    <hyperlink r:id="rId540" ref="F131"/>
    <hyperlink r:id="rId541" ref="G131"/>
    <hyperlink r:id="rId542" ref="H131"/>
    <hyperlink r:id="rId543" ref="C132"/>
    <hyperlink r:id="rId544" ref="F132"/>
    <hyperlink r:id="rId545" ref="G132"/>
    <hyperlink r:id="rId546" ref="H132"/>
    <hyperlink r:id="rId547" ref="C133"/>
    <hyperlink r:id="rId548" ref="G133"/>
    <hyperlink r:id="rId549" ref="H133"/>
    <hyperlink r:id="rId550" ref="C134"/>
    <hyperlink r:id="rId551" ref="F134"/>
    <hyperlink r:id="rId552" ref="G134"/>
    <hyperlink r:id="rId553" ref="H134"/>
    <hyperlink r:id="rId554" ref="C135"/>
    <hyperlink r:id="rId555" ref="D135"/>
    <hyperlink r:id="rId556" ref="F135"/>
    <hyperlink r:id="rId557" ref="G135"/>
    <hyperlink r:id="rId558" ref="H135"/>
    <hyperlink r:id="rId559" ref="C136"/>
    <hyperlink r:id="rId560" ref="E136"/>
    <hyperlink r:id="rId561" ref="F136"/>
    <hyperlink r:id="rId562" ref="G136"/>
    <hyperlink r:id="rId563" ref="H136"/>
    <hyperlink r:id="rId564" ref="C137"/>
    <hyperlink r:id="rId565" ref="F137"/>
    <hyperlink r:id="rId566" ref="G137"/>
    <hyperlink r:id="rId567" ref="H137"/>
    <hyperlink r:id="rId568" ref="C138"/>
    <hyperlink r:id="rId569" ref="E138"/>
    <hyperlink r:id="rId570" ref="F138"/>
    <hyperlink r:id="rId571" ref="G138"/>
    <hyperlink r:id="rId572" ref="H138"/>
    <hyperlink r:id="rId573" ref="C139"/>
    <hyperlink r:id="rId574" ref="E139"/>
    <hyperlink r:id="rId575" ref="G139"/>
    <hyperlink r:id="rId576" ref="H139"/>
    <hyperlink r:id="rId577" ref="C140"/>
    <hyperlink r:id="rId578" ref="E140"/>
    <hyperlink r:id="rId579" ref="G140"/>
    <hyperlink r:id="rId580" ref="H140"/>
    <hyperlink r:id="rId581" ref="C141"/>
    <hyperlink r:id="rId582" ref="D141"/>
    <hyperlink r:id="rId583" ref="F141"/>
    <hyperlink r:id="rId584" ref="G141"/>
    <hyperlink r:id="rId585" ref="H141"/>
    <hyperlink r:id="rId586" ref="C142"/>
    <hyperlink r:id="rId587" ref="F142"/>
    <hyperlink r:id="rId588" ref="G142"/>
    <hyperlink r:id="rId589" ref="H142"/>
    <hyperlink r:id="rId590" ref="C143"/>
    <hyperlink r:id="rId591" ref="F143"/>
    <hyperlink r:id="rId592" ref="G143"/>
    <hyperlink r:id="rId593" ref="H143"/>
    <hyperlink r:id="rId594" ref="C144"/>
    <hyperlink r:id="rId595" ref="E144"/>
    <hyperlink r:id="rId596" ref="F144"/>
    <hyperlink r:id="rId597" ref="G144"/>
    <hyperlink r:id="rId598" ref="H144"/>
    <hyperlink r:id="rId599" ref="C145"/>
    <hyperlink r:id="rId600" ref="G145"/>
    <hyperlink r:id="rId601" ref="H145"/>
    <hyperlink r:id="rId602" ref="C146"/>
    <hyperlink r:id="rId603" ref="G146"/>
    <hyperlink r:id="rId604" ref="H146"/>
    <hyperlink r:id="rId605" ref="C147"/>
    <hyperlink r:id="rId606" ref="G147"/>
    <hyperlink r:id="rId607" ref="H147"/>
    <hyperlink r:id="rId608" ref="C148"/>
    <hyperlink r:id="rId609" ref="F148"/>
    <hyperlink r:id="rId610" ref="G148"/>
    <hyperlink r:id="rId611" ref="H148"/>
    <hyperlink r:id="rId612" ref="C149"/>
    <hyperlink r:id="rId613" location="slide=id.p" ref="D149"/>
    <hyperlink r:id="rId614" ref="F149"/>
    <hyperlink r:id="rId615" ref="G149"/>
    <hyperlink r:id="rId616" ref="H149"/>
    <hyperlink r:id="rId617" ref="C150"/>
    <hyperlink r:id="rId618" ref="F150"/>
    <hyperlink r:id="rId619" ref="G150"/>
    <hyperlink r:id="rId620" ref="H150"/>
    <hyperlink r:id="rId621" ref="C151"/>
    <hyperlink r:id="rId622" ref="G151"/>
    <hyperlink r:id="rId623" ref="H151"/>
    <hyperlink r:id="rId624" ref="C152"/>
    <hyperlink r:id="rId625" ref="G152"/>
    <hyperlink r:id="rId626" ref="H152"/>
    <hyperlink r:id="rId627" ref="C153"/>
    <hyperlink r:id="rId628" ref="F153"/>
    <hyperlink r:id="rId629" ref="G153"/>
    <hyperlink r:id="rId630" ref="H153"/>
    <hyperlink r:id="rId631" ref="C154"/>
    <hyperlink r:id="rId632" ref="E154"/>
    <hyperlink r:id="rId633" ref="G154"/>
    <hyperlink r:id="rId634" ref="H154"/>
    <hyperlink r:id="rId635" ref="C155"/>
    <hyperlink r:id="rId636" ref="G155"/>
    <hyperlink r:id="rId637" ref="H155"/>
    <hyperlink r:id="rId638" ref="C156"/>
    <hyperlink r:id="rId639" ref="E156"/>
    <hyperlink r:id="rId640" ref="F156"/>
    <hyperlink r:id="rId641" ref="G156"/>
    <hyperlink r:id="rId642" ref="H156"/>
    <hyperlink r:id="rId643" ref="C157"/>
    <hyperlink r:id="rId644" ref="E157"/>
    <hyperlink r:id="rId645" ref="G157"/>
    <hyperlink r:id="rId646" ref="H157"/>
    <hyperlink r:id="rId647" ref="C158"/>
    <hyperlink r:id="rId648" ref="G158"/>
    <hyperlink r:id="rId649" ref="H158"/>
    <hyperlink r:id="rId650" ref="C159"/>
    <hyperlink r:id="rId651" ref="E159"/>
    <hyperlink r:id="rId652" ref="F159"/>
    <hyperlink r:id="rId653" ref="G159"/>
    <hyperlink r:id="rId654" ref="H159"/>
    <hyperlink r:id="rId655" ref="C160"/>
    <hyperlink r:id="rId656" ref="F160"/>
    <hyperlink r:id="rId657" ref="G160"/>
    <hyperlink r:id="rId658" ref="H160"/>
    <hyperlink r:id="rId659" ref="C161"/>
    <hyperlink r:id="rId660" ref="F161"/>
    <hyperlink r:id="rId661" ref="G161"/>
    <hyperlink r:id="rId662" ref="H161"/>
    <hyperlink r:id="rId663" ref="C162"/>
    <hyperlink r:id="rId664" ref="D162"/>
    <hyperlink r:id="rId665" ref="F162"/>
    <hyperlink r:id="rId666" ref="G162"/>
    <hyperlink r:id="rId667" ref="H162"/>
    <hyperlink r:id="rId668" ref="C163"/>
    <hyperlink r:id="rId669" ref="E163"/>
    <hyperlink r:id="rId670" ref="F163"/>
    <hyperlink r:id="rId671" ref="G163"/>
    <hyperlink r:id="rId672" ref="H163"/>
    <hyperlink r:id="rId673" ref="C164"/>
    <hyperlink r:id="rId674" ref="E164"/>
    <hyperlink r:id="rId675" ref="G164"/>
    <hyperlink r:id="rId676" ref="H164"/>
    <hyperlink r:id="rId677" ref="C165"/>
    <hyperlink r:id="rId678" ref="E165"/>
    <hyperlink r:id="rId679" ref="F165"/>
    <hyperlink r:id="rId680" ref="G165"/>
    <hyperlink r:id="rId681" ref="H165"/>
    <hyperlink r:id="rId682" ref="C166"/>
    <hyperlink r:id="rId683" ref="F166"/>
    <hyperlink r:id="rId684" ref="G166"/>
    <hyperlink r:id="rId685" ref="H166"/>
    <hyperlink r:id="rId686" ref="C167"/>
    <hyperlink r:id="rId687" ref="C168"/>
    <hyperlink r:id="rId688" ref="D168"/>
    <hyperlink r:id="rId689" ref="F168"/>
    <hyperlink r:id="rId690" ref="C169"/>
    <hyperlink r:id="rId691" ref="F169"/>
    <hyperlink r:id="rId692" ref="C170"/>
    <hyperlink r:id="rId693" ref="F170"/>
    <hyperlink r:id="rId694" ref="C171"/>
    <hyperlink r:id="rId695" ref="C172"/>
    <hyperlink r:id="rId696" ref="D172"/>
    <hyperlink r:id="rId697" ref="C176"/>
    <hyperlink r:id="rId698" ref="F176"/>
    <hyperlink r:id="rId699" ref="G176"/>
    <hyperlink r:id="rId700" ref="H176"/>
    <hyperlink r:id="rId701" ref="C177"/>
    <hyperlink r:id="rId702" ref="G177"/>
    <hyperlink r:id="rId703" ref="H177"/>
    <hyperlink r:id="rId704" ref="C178"/>
    <hyperlink r:id="rId705" ref="D178"/>
    <hyperlink r:id="rId706" ref="F178"/>
    <hyperlink r:id="rId707" ref="G178"/>
    <hyperlink r:id="rId708" ref="H178"/>
    <hyperlink r:id="rId709" ref="C179"/>
    <hyperlink r:id="rId710" ref="E179"/>
    <hyperlink r:id="rId711" ref="F179"/>
    <hyperlink r:id="rId712" ref="C180"/>
    <hyperlink r:id="rId713" ref="F180"/>
    <hyperlink r:id="rId714" ref="C181"/>
    <hyperlink r:id="rId715" ref="E181"/>
    <hyperlink r:id="rId716" ref="F181"/>
    <hyperlink r:id="rId717" ref="C182"/>
    <hyperlink r:id="rId718" ref="F182"/>
    <hyperlink r:id="rId719" ref="C183"/>
    <hyperlink r:id="rId720" ref="E183"/>
    <hyperlink r:id="rId721" ref="F183"/>
    <hyperlink r:id="rId722" ref="G183"/>
    <hyperlink r:id="rId723" ref="H183"/>
    <hyperlink r:id="rId724" ref="C184"/>
    <hyperlink r:id="rId725" ref="C185"/>
    <hyperlink r:id="rId726" ref="C187"/>
    <hyperlink r:id="rId727" ref="F187"/>
    <hyperlink r:id="rId728" ref="G187"/>
    <hyperlink r:id="rId729" ref="H187"/>
    <hyperlink r:id="rId730" ref="C188"/>
    <hyperlink r:id="rId731" ref="E188"/>
    <hyperlink r:id="rId732" ref="G188"/>
    <hyperlink r:id="rId733" ref="C189"/>
    <hyperlink r:id="rId734" ref="E189"/>
    <hyperlink r:id="rId735" ref="C190"/>
    <hyperlink r:id="rId736" ref="F190"/>
    <hyperlink r:id="rId737" ref="C194"/>
    <hyperlink r:id="rId738" ref="E194"/>
    <hyperlink r:id="rId739" ref="G194"/>
    <hyperlink r:id="rId740" ref="H194"/>
    <hyperlink r:id="rId741" ref="C195"/>
    <hyperlink r:id="rId742" ref="D195"/>
    <hyperlink r:id="rId743" ref="E195"/>
    <hyperlink r:id="rId744" ref="F195"/>
    <hyperlink r:id="rId745" ref="G195"/>
    <hyperlink r:id="rId746" ref="H195"/>
    <hyperlink r:id="rId747" ref="C196"/>
    <hyperlink r:id="rId748" ref="F196"/>
    <hyperlink r:id="rId749" ref="G196"/>
    <hyperlink r:id="rId750" ref="H196"/>
    <hyperlink r:id="rId751" ref="C197"/>
    <hyperlink r:id="rId752" ref="F197"/>
    <hyperlink r:id="rId753" ref="G197"/>
    <hyperlink r:id="rId754" ref="H197"/>
    <hyperlink r:id="rId755" ref="C198"/>
    <hyperlink r:id="rId756" ref="D198"/>
    <hyperlink r:id="rId757" ref="F198"/>
    <hyperlink r:id="rId758" ref="G198"/>
    <hyperlink r:id="rId759" ref="H198"/>
    <hyperlink r:id="rId760" ref="C199"/>
    <hyperlink r:id="rId761" ref="D199"/>
    <hyperlink r:id="rId762" ref="E199"/>
    <hyperlink r:id="rId763" ref="G199"/>
    <hyperlink r:id="rId764" ref="H199"/>
    <hyperlink r:id="rId765" ref="C200"/>
    <hyperlink r:id="rId766" ref="E200"/>
    <hyperlink r:id="rId767" ref="G200"/>
    <hyperlink r:id="rId768" ref="H200"/>
    <hyperlink r:id="rId769" ref="C201"/>
    <hyperlink r:id="rId770" ref="E201"/>
    <hyperlink r:id="rId771" ref="F201"/>
    <hyperlink r:id="rId772" ref="G201"/>
    <hyperlink r:id="rId773" ref="H201"/>
    <hyperlink r:id="rId774" ref="C202"/>
    <hyperlink r:id="rId775" ref="E202"/>
    <hyperlink r:id="rId776" ref="F202"/>
    <hyperlink r:id="rId777" ref="G202"/>
    <hyperlink r:id="rId778" ref="H202"/>
    <hyperlink r:id="rId779" ref="C203"/>
    <hyperlink r:id="rId780" ref="F203"/>
    <hyperlink r:id="rId781" ref="G203"/>
    <hyperlink r:id="rId782" ref="H203"/>
    <hyperlink r:id="rId783" ref="C204"/>
    <hyperlink r:id="rId784" ref="E204"/>
    <hyperlink r:id="rId785" ref="F204"/>
    <hyperlink r:id="rId786" ref="G204"/>
    <hyperlink r:id="rId787" ref="H204"/>
    <hyperlink r:id="rId788" ref="C205"/>
    <hyperlink r:id="rId789" ref="D205"/>
    <hyperlink r:id="rId790" ref="G205"/>
    <hyperlink r:id="rId791" ref="H205"/>
    <hyperlink r:id="rId792" ref="C206"/>
    <hyperlink r:id="rId793" ref="F206"/>
    <hyperlink r:id="rId794" ref="G206"/>
    <hyperlink r:id="rId795" ref="H206"/>
    <hyperlink r:id="rId796" ref="C207"/>
    <hyperlink r:id="rId797" ref="D207"/>
    <hyperlink r:id="rId798" ref="E207"/>
    <hyperlink r:id="rId799" ref="F207"/>
    <hyperlink r:id="rId800" ref="G207"/>
    <hyperlink r:id="rId801" ref="H207"/>
    <hyperlink r:id="rId802" ref="C208"/>
    <hyperlink r:id="rId803" ref="E208"/>
    <hyperlink r:id="rId804" ref="G208"/>
    <hyperlink r:id="rId805" ref="H208"/>
    <hyperlink r:id="rId806" ref="C209"/>
    <hyperlink r:id="rId807" ref="D209"/>
    <hyperlink r:id="rId808" ref="E209"/>
    <hyperlink r:id="rId809" ref="F209"/>
    <hyperlink r:id="rId810" ref="G209"/>
    <hyperlink r:id="rId811" ref="H209"/>
    <hyperlink r:id="rId812" ref="C210"/>
    <hyperlink r:id="rId813" ref="E210"/>
    <hyperlink r:id="rId814" ref="F210"/>
    <hyperlink r:id="rId815" ref="G210"/>
    <hyperlink r:id="rId816" ref="H210"/>
    <hyperlink r:id="rId817" ref="C211"/>
    <hyperlink r:id="rId818" ref="F211"/>
    <hyperlink r:id="rId819" ref="G211"/>
    <hyperlink r:id="rId820" ref="H211"/>
    <hyperlink r:id="rId821" ref="C212"/>
    <hyperlink r:id="rId822" ref="E212"/>
    <hyperlink r:id="rId823" ref="C213"/>
    <hyperlink r:id="rId824" ref="E213"/>
    <hyperlink r:id="rId825" ref="F213"/>
    <hyperlink r:id="rId826" ref="G213"/>
    <hyperlink r:id="rId827" ref="H213"/>
    <hyperlink r:id="rId828" ref="C214"/>
    <hyperlink r:id="rId829" ref="F214"/>
    <hyperlink r:id="rId830" ref="C215"/>
    <hyperlink r:id="rId831" ref="E215"/>
    <hyperlink r:id="rId832" ref="G215"/>
    <hyperlink r:id="rId833" ref="H215"/>
    <hyperlink r:id="rId834" ref="C216"/>
    <hyperlink r:id="rId835" ref="C217"/>
    <hyperlink r:id="rId836" ref="F217"/>
    <hyperlink r:id="rId837" ref="G217"/>
    <hyperlink r:id="rId838" ref="H217"/>
    <hyperlink r:id="rId839" ref="C218"/>
    <hyperlink r:id="rId840" location="pitch" ref="E218"/>
    <hyperlink r:id="rId841" ref="G218"/>
    <hyperlink r:id="rId842" ref="H218"/>
    <hyperlink r:id="rId843" ref="C219"/>
    <hyperlink r:id="rId844" ref="E219"/>
    <hyperlink r:id="rId845" ref="G219"/>
    <hyperlink r:id="rId846" ref="H219"/>
    <hyperlink r:id="rId847" ref="C220"/>
    <hyperlink r:id="rId848" ref="G220"/>
    <hyperlink r:id="rId849" ref="H220"/>
    <hyperlink r:id="rId850" ref="C221"/>
    <hyperlink r:id="rId851" ref="E221"/>
    <hyperlink r:id="rId852" ref="G221"/>
    <hyperlink r:id="rId853" ref="H221"/>
    <hyperlink r:id="rId854" ref="C222"/>
    <hyperlink r:id="rId855" ref="F222"/>
    <hyperlink r:id="rId856" ref="H222"/>
    <hyperlink r:id="rId857" ref="C223"/>
    <hyperlink r:id="rId858" ref="E223"/>
    <hyperlink r:id="rId859" ref="G223"/>
    <hyperlink r:id="rId860" ref="H223"/>
    <hyperlink r:id="rId861" ref="C224"/>
    <hyperlink r:id="rId862" ref="F224"/>
    <hyperlink r:id="rId863" ref="G224"/>
    <hyperlink r:id="rId864" ref="H224"/>
    <hyperlink r:id="rId865" ref="C225"/>
    <hyperlink r:id="rId866" ref="F225"/>
    <hyperlink r:id="rId867" ref="G225"/>
    <hyperlink r:id="rId868" ref="H225"/>
    <hyperlink r:id="rId869" ref="C226"/>
    <hyperlink r:id="rId870" ref="E226"/>
    <hyperlink r:id="rId871" ref="F226"/>
    <hyperlink r:id="rId872" ref="G226"/>
    <hyperlink r:id="rId873" ref="H226"/>
    <hyperlink r:id="rId874" ref="C227"/>
    <hyperlink r:id="rId875" ref="G227"/>
    <hyperlink r:id="rId876" ref="H227"/>
    <hyperlink r:id="rId877" ref="C228"/>
    <hyperlink r:id="rId878" ref="G228"/>
    <hyperlink r:id="rId879" ref="H228"/>
    <hyperlink r:id="rId880" ref="C229"/>
    <hyperlink r:id="rId881" ref="F229"/>
    <hyperlink r:id="rId882" ref="G229"/>
    <hyperlink r:id="rId883" ref="H229"/>
    <hyperlink r:id="rId884" ref="C230"/>
    <hyperlink r:id="rId885" ref="F230"/>
    <hyperlink r:id="rId886" ref="G230"/>
    <hyperlink r:id="rId887" ref="H230"/>
    <hyperlink r:id="rId888" ref="C231"/>
    <hyperlink r:id="rId889" ref="G231"/>
    <hyperlink r:id="rId890" ref="H231"/>
    <hyperlink r:id="rId891" ref="C232"/>
    <hyperlink r:id="rId892" ref="E232"/>
    <hyperlink r:id="rId893" ref="G232"/>
    <hyperlink r:id="rId894" ref="H232"/>
    <hyperlink r:id="rId895" ref="C233"/>
    <hyperlink r:id="rId896" ref="E233"/>
    <hyperlink r:id="rId897" ref="F233"/>
    <hyperlink r:id="rId898" ref="G233"/>
    <hyperlink r:id="rId899" ref="H233"/>
    <hyperlink r:id="rId900" ref="C234"/>
    <hyperlink r:id="rId901" ref="D234"/>
    <hyperlink r:id="rId902" location="pitch" ref="E234"/>
    <hyperlink r:id="rId903" ref="F234"/>
    <hyperlink r:id="rId904" ref="G234"/>
    <hyperlink r:id="rId905" ref="H234"/>
  </hyperlinks>
  <drawing r:id="rId906"/>
  <legacyDrawing r:id="rId9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88"/>
    <col customWidth="1" min="2" max="2" width="15.13"/>
    <col customWidth="1" min="3" max="3" width="16.25"/>
    <col customWidth="1" min="4" max="4" width="12.63"/>
    <col customWidth="1" min="5" max="5" width="19.25"/>
    <col customWidth="1" min="6" max="6" width="14.0"/>
    <col customWidth="1" min="7" max="7" width="15.38"/>
    <col customWidth="1" min="8" max="8" width="14.13"/>
    <col customWidth="1" min="9" max="9" width="7.63"/>
    <col customWidth="1" min="10" max="12" width="8.38"/>
    <col customWidth="1" min="13" max="13" width="7.88"/>
    <col customWidth="1" min="14" max="14" width="8.25"/>
    <col customWidth="1" min="15" max="15" width="7.5"/>
    <col customWidth="1" min="16" max="16" width="11.0"/>
    <col customWidth="1" min="17" max="17" width="12.13"/>
    <col customWidth="1" min="18" max="18" width="10.5"/>
    <col customWidth="1" min="19" max="19" width="57.13"/>
    <col customWidth="1" min="20" max="20" width="25.75"/>
    <col customWidth="1" min="21" max="21" width="94.63"/>
    <col customWidth="1" hidden="1" min="22" max="22" width="24.75"/>
    <col customWidth="1" min="23" max="41" width="24.75"/>
  </cols>
  <sheetData>
    <row r="1" ht="29.25" customHeight="1">
      <c r="A1" s="6" t="s">
        <v>3</v>
      </c>
      <c r="B1" s="8" t="s">
        <v>5</v>
      </c>
      <c r="C1" s="8" t="s">
        <v>7</v>
      </c>
      <c r="D1" s="6" t="s">
        <v>8</v>
      </c>
      <c r="E1" s="8" t="s">
        <v>10</v>
      </c>
      <c r="F1" s="6" t="s">
        <v>11</v>
      </c>
      <c r="G1" s="8" t="s">
        <v>12</v>
      </c>
      <c r="H1" s="8" t="s">
        <v>14</v>
      </c>
      <c r="I1" s="10" t="s">
        <v>16</v>
      </c>
      <c r="J1" s="12" t="s">
        <v>17</v>
      </c>
      <c r="K1" s="12" t="s">
        <v>21</v>
      </c>
      <c r="L1" s="12" t="s">
        <v>22</v>
      </c>
      <c r="M1" s="12" t="s">
        <v>23</v>
      </c>
      <c r="N1" s="12" t="s">
        <v>24</v>
      </c>
      <c r="O1" s="12" t="s">
        <v>26</v>
      </c>
      <c r="P1" s="15" t="s">
        <v>27</v>
      </c>
      <c r="Q1" s="15" t="s">
        <v>28</v>
      </c>
      <c r="R1" s="15" t="s">
        <v>29</v>
      </c>
      <c r="S1" s="8" t="s">
        <v>30</v>
      </c>
      <c r="T1" s="8" t="s">
        <v>31</v>
      </c>
      <c r="U1" s="16" t="s">
        <v>32</v>
      </c>
    </row>
    <row r="2" ht="16.5" customHeight="1">
      <c r="A2" s="17"/>
      <c r="B2" s="18"/>
      <c r="C2" s="21"/>
      <c r="D2" s="22"/>
      <c r="E2" s="22"/>
      <c r="F2" s="22"/>
      <c r="G2" s="22"/>
      <c r="H2" s="22"/>
      <c r="I2" s="24"/>
      <c r="J2" s="24"/>
      <c r="K2" s="24"/>
      <c r="L2" s="24"/>
      <c r="M2" s="26"/>
      <c r="N2" s="26"/>
      <c r="O2" s="26"/>
      <c r="P2" s="27"/>
      <c r="Q2" s="27"/>
      <c r="R2" s="27"/>
      <c r="S2" s="22"/>
      <c r="T2" s="22"/>
      <c r="U2" s="28"/>
    </row>
    <row r="3" ht="16.5" customHeight="1">
      <c r="A3" s="30" t="s">
        <v>39</v>
      </c>
      <c r="B3" s="32"/>
      <c r="C3" s="33"/>
      <c r="D3" s="32"/>
      <c r="E3" s="32"/>
      <c r="F3" s="32"/>
      <c r="G3" s="32"/>
      <c r="H3" s="32"/>
      <c r="I3" s="34"/>
      <c r="J3" s="34"/>
      <c r="K3" s="34"/>
      <c r="L3" s="34"/>
      <c r="M3" s="35"/>
      <c r="N3" s="35"/>
      <c r="O3" s="35"/>
      <c r="P3" s="36"/>
      <c r="Q3" s="36"/>
      <c r="R3" s="36"/>
      <c r="S3" s="32"/>
      <c r="T3" s="32"/>
      <c r="U3" s="38"/>
    </row>
    <row r="4" ht="16.5" customHeight="1">
      <c r="A4" s="39"/>
      <c r="B4" s="40"/>
      <c r="C4" s="41"/>
      <c r="D4" s="41"/>
      <c r="E4" s="41"/>
      <c r="F4" s="41"/>
      <c r="G4" s="41"/>
      <c r="H4" s="42"/>
      <c r="I4" s="43"/>
      <c r="J4" s="43"/>
      <c r="K4" s="43"/>
      <c r="L4" s="43"/>
      <c r="M4" s="44"/>
      <c r="N4" s="44"/>
      <c r="O4" s="44"/>
      <c r="P4" s="42"/>
      <c r="Q4" s="27"/>
      <c r="R4" s="27"/>
      <c r="S4" s="41"/>
      <c r="T4" s="41"/>
      <c r="U4" s="28"/>
    </row>
    <row r="5" ht="16.5" customHeight="1">
      <c r="A5" s="45" t="s">
        <v>56</v>
      </c>
      <c r="B5" s="40" t="s">
        <v>60</v>
      </c>
      <c r="C5" s="52" t="s">
        <v>61</v>
      </c>
      <c r="D5" s="55" t="s">
        <v>88</v>
      </c>
      <c r="E5" s="55" t="s">
        <v>88</v>
      </c>
      <c r="F5" s="56" t="s">
        <v>106</v>
      </c>
      <c r="G5" s="59" t="s">
        <v>109</v>
      </c>
      <c r="H5" s="61" t="s">
        <v>124</v>
      </c>
      <c r="I5" s="62" t="s">
        <v>136</v>
      </c>
      <c r="J5" s="63" t="s">
        <v>137</v>
      </c>
      <c r="K5" s="64" t="s">
        <v>138</v>
      </c>
      <c r="L5" s="64" t="s">
        <v>139</v>
      </c>
      <c r="M5" s="65">
        <v>1.076734202E9</v>
      </c>
      <c r="N5" s="65">
        <v>1.3983561064935E7</v>
      </c>
      <c r="O5" s="65">
        <v>1324446.0</v>
      </c>
      <c r="P5" s="66" t="s">
        <v>140</v>
      </c>
      <c r="Q5" s="64" t="s">
        <v>141</v>
      </c>
      <c r="R5" s="68" t="s">
        <v>116</v>
      </c>
      <c r="S5" s="25" t="s">
        <v>144</v>
      </c>
      <c r="T5" s="40" t="s">
        <v>145</v>
      </c>
      <c r="U5" s="69" t="s">
        <v>147</v>
      </c>
      <c r="V5" s="27"/>
    </row>
    <row r="6" ht="16.5" customHeight="1">
      <c r="A6" s="70" t="s">
        <v>151</v>
      </c>
      <c r="B6" s="40" t="s">
        <v>60</v>
      </c>
      <c r="C6" s="52" t="s">
        <v>152</v>
      </c>
      <c r="D6" s="40" t="s">
        <v>153</v>
      </c>
      <c r="E6" s="52" t="s">
        <v>154</v>
      </c>
      <c r="F6" s="59" t="s">
        <v>155</v>
      </c>
      <c r="G6" s="52" t="s">
        <v>156</v>
      </c>
      <c r="H6" s="71" t="s">
        <v>157</v>
      </c>
      <c r="I6" s="72" t="s">
        <v>158</v>
      </c>
      <c r="J6" s="63" t="s">
        <v>159</v>
      </c>
      <c r="K6" s="64" t="s">
        <v>160</v>
      </c>
      <c r="L6" s="64" t="s">
        <v>139</v>
      </c>
      <c r="M6" s="65">
        <v>6.24819942E8</v>
      </c>
      <c r="N6" s="65">
        <v>3.28852601052631E7</v>
      </c>
      <c r="O6" s="65">
        <v>6214371.0</v>
      </c>
      <c r="P6" s="66" t="s">
        <v>140</v>
      </c>
      <c r="Q6" s="64" t="s">
        <v>141</v>
      </c>
      <c r="R6" s="68" t="s">
        <v>116</v>
      </c>
      <c r="S6" s="40" t="s">
        <v>161</v>
      </c>
      <c r="T6" s="73" t="s">
        <v>162</v>
      </c>
      <c r="U6" s="74" t="s">
        <v>163</v>
      </c>
    </row>
    <row r="7" ht="16.5" customHeight="1">
      <c r="A7" s="70" t="s">
        <v>164</v>
      </c>
      <c r="B7" s="40" t="s">
        <v>165</v>
      </c>
      <c r="C7" s="52" t="s">
        <v>166</v>
      </c>
      <c r="D7" s="40" t="s">
        <v>153</v>
      </c>
      <c r="E7" s="40" t="s">
        <v>167</v>
      </c>
      <c r="F7" s="75" t="s">
        <v>168</v>
      </c>
      <c r="G7" s="52" t="s">
        <v>169</v>
      </c>
      <c r="H7" s="71" t="s">
        <v>171</v>
      </c>
      <c r="I7" s="62" t="s">
        <v>172</v>
      </c>
      <c r="J7" s="63" t="s">
        <v>173</v>
      </c>
      <c r="K7" s="64" t="s">
        <v>174</v>
      </c>
      <c r="L7" s="64" t="s">
        <v>139</v>
      </c>
      <c r="M7" s="65">
        <v>6.97585952E8</v>
      </c>
      <c r="N7" s="65">
        <v>9825154.25352112</v>
      </c>
      <c r="O7" s="65">
        <v>2159644.0</v>
      </c>
      <c r="P7" s="66" t="s">
        <v>140</v>
      </c>
      <c r="Q7" s="64" t="s">
        <v>141</v>
      </c>
      <c r="R7" s="68" t="s">
        <v>116</v>
      </c>
      <c r="S7" s="40" t="s">
        <v>175</v>
      </c>
      <c r="T7" s="40" t="s">
        <v>176</v>
      </c>
      <c r="U7" s="76" t="s">
        <v>177</v>
      </c>
    </row>
    <row r="8" ht="16.5" customHeight="1">
      <c r="A8" s="70" t="s">
        <v>178</v>
      </c>
      <c r="B8" s="77" t="s">
        <v>179</v>
      </c>
      <c r="C8" s="52" t="s">
        <v>180</v>
      </c>
      <c r="D8" s="55" t="s">
        <v>181</v>
      </c>
      <c r="E8" s="40" t="s">
        <v>182</v>
      </c>
      <c r="F8" s="59" t="s">
        <v>183</v>
      </c>
      <c r="G8" s="55" t="s">
        <v>184</v>
      </c>
      <c r="H8" s="71" t="s">
        <v>185</v>
      </c>
      <c r="I8" s="78" t="s">
        <v>186</v>
      </c>
      <c r="J8" s="62">
        <v>30.0</v>
      </c>
      <c r="K8" s="64" t="s">
        <v>187</v>
      </c>
      <c r="L8" s="78" t="s">
        <v>188</v>
      </c>
      <c r="M8" s="79">
        <v>3.05981569E8</v>
      </c>
      <c r="N8" s="65">
        <v>1.01993856333333E7</v>
      </c>
      <c r="O8" s="80">
        <v>5401521.5</v>
      </c>
      <c r="P8" s="65" t="s">
        <v>189</v>
      </c>
      <c r="Q8" s="74" t="s">
        <v>141</v>
      </c>
      <c r="R8" s="68" t="s">
        <v>116</v>
      </c>
      <c r="S8" s="40" t="s">
        <v>190</v>
      </c>
      <c r="T8" s="73" t="s">
        <v>191</v>
      </c>
      <c r="U8" s="81" t="s">
        <v>192</v>
      </c>
    </row>
    <row r="9" ht="16.5" customHeight="1">
      <c r="A9" s="82" t="s">
        <v>193</v>
      </c>
      <c r="B9" s="83" t="s">
        <v>194</v>
      </c>
      <c r="C9" s="84" t="s">
        <v>195</v>
      </c>
      <c r="D9" s="85" t="s">
        <v>153</v>
      </c>
      <c r="E9" s="52" t="s">
        <v>196</v>
      </c>
      <c r="F9" s="86" t="s">
        <v>197</v>
      </c>
      <c r="G9" s="52" t="s">
        <v>198</v>
      </c>
      <c r="H9" s="71" t="s">
        <v>199</v>
      </c>
      <c r="I9" s="72" t="s">
        <v>200</v>
      </c>
      <c r="J9" s="87" t="s">
        <v>201</v>
      </c>
      <c r="K9" s="64" t="s">
        <v>202</v>
      </c>
      <c r="L9" s="64" t="s">
        <v>203</v>
      </c>
      <c r="M9" s="80">
        <v>2.83815734E8</v>
      </c>
      <c r="N9" s="80">
        <v>2.02725524285714E7</v>
      </c>
      <c r="O9" s="80">
        <v>2442232.0</v>
      </c>
      <c r="P9" s="66" t="s">
        <v>189</v>
      </c>
      <c r="Q9" s="64" t="s">
        <v>141</v>
      </c>
      <c r="R9" s="64" t="s">
        <v>116</v>
      </c>
      <c r="S9" s="40" t="s">
        <v>204</v>
      </c>
      <c r="T9" s="40" t="s">
        <v>205</v>
      </c>
      <c r="U9" s="76" t="s">
        <v>206</v>
      </c>
      <c r="V9" s="27"/>
      <c r="W9" s="27"/>
      <c r="X9" s="27"/>
      <c r="Y9" s="27"/>
      <c r="Z9" s="27"/>
      <c r="AA9" s="27"/>
      <c r="AB9" s="27"/>
      <c r="AC9" s="27"/>
      <c r="AD9" s="27"/>
      <c r="AE9" s="27"/>
      <c r="AF9" s="27"/>
      <c r="AG9" s="27"/>
      <c r="AH9" s="27"/>
      <c r="AI9" s="27"/>
      <c r="AJ9" s="27"/>
      <c r="AK9" s="27"/>
      <c r="AL9" s="27"/>
      <c r="AM9" s="27"/>
      <c r="AN9" s="27"/>
    </row>
    <row r="10" ht="16.5" customHeight="1">
      <c r="A10" s="49" t="s">
        <v>207</v>
      </c>
      <c r="B10" s="25" t="s">
        <v>194</v>
      </c>
      <c r="C10" s="55" t="s">
        <v>208</v>
      </c>
      <c r="D10" s="40" t="s">
        <v>153</v>
      </c>
      <c r="E10" s="52" t="s">
        <v>209</v>
      </c>
      <c r="F10" s="59" t="s">
        <v>210</v>
      </c>
      <c r="G10" s="59" t="s">
        <v>211</v>
      </c>
      <c r="H10" s="61" t="s">
        <v>212</v>
      </c>
      <c r="I10" s="62" t="s">
        <v>213</v>
      </c>
      <c r="J10" s="62">
        <v>17.0</v>
      </c>
      <c r="K10" s="64" t="s">
        <v>214</v>
      </c>
      <c r="L10" s="64" t="s">
        <v>188</v>
      </c>
      <c r="M10" s="65">
        <v>1.71156347E8</v>
      </c>
      <c r="N10" s="65">
        <v>1.00680204117647E7</v>
      </c>
      <c r="O10" s="65">
        <v>2123509.0</v>
      </c>
      <c r="P10" s="65" t="s">
        <v>189</v>
      </c>
      <c r="Q10" s="64" t="s">
        <v>141</v>
      </c>
      <c r="R10" s="68" t="s">
        <v>120</v>
      </c>
      <c r="S10" s="77" t="s">
        <v>215</v>
      </c>
      <c r="T10" s="40" t="s">
        <v>216</v>
      </c>
      <c r="U10" s="76" t="s">
        <v>153</v>
      </c>
    </row>
    <row r="11" ht="16.5" customHeight="1">
      <c r="A11" s="88" t="s">
        <v>217</v>
      </c>
      <c r="B11" s="89" t="s">
        <v>218</v>
      </c>
      <c r="C11" s="52" t="s">
        <v>219</v>
      </c>
      <c r="D11" s="55" t="s">
        <v>220</v>
      </c>
      <c r="E11" s="52" t="s">
        <v>221</v>
      </c>
      <c r="F11" s="59" t="s">
        <v>222</v>
      </c>
      <c r="G11" s="52" t="s">
        <v>223</v>
      </c>
      <c r="H11" s="61" t="s">
        <v>224</v>
      </c>
      <c r="I11" s="62" t="s">
        <v>225</v>
      </c>
      <c r="J11" s="63" t="s">
        <v>226</v>
      </c>
      <c r="K11" s="64" t="s">
        <v>160</v>
      </c>
      <c r="L11" s="64" t="s">
        <v>139</v>
      </c>
      <c r="M11" s="65">
        <v>1.77143746E8</v>
      </c>
      <c r="N11" s="65">
        <v>8435416.47619047</v>
      </c>
      <c r="O11" s="65">
        <v>1914975.0</v>
      </c>
      <c r="P11" s="66" t="s">
        <v>189</v>
      </c>
      <c r="Q11" s="64" t="s">
        <v>141</v>
      </c>
      <c r="R11" s="68" t="s">
        <v>116</v>
      </c>
      <c r="S11" s="40" t="s">
        <v>227</v>
      </c>
      <c r="T11" s="40" t="s">
        <v>228</v>
      </c>
      <c r="U11" s="90" t="s">
        <v>229</v>
      </c>
    </row>
    <row r="12" ht="16.5" customHeight="1">
      <c r="A12" s="91" t="s">
        <v>230</v>
      </c>
      <c r="B12" s="92" t="s">
        <v>231</v>
      </c>
      <c r="C12" s="93" t="s">
        <v>232</v>
      </c>
      <c r="D12" s="93" t="s">
        <v>232</v>
      </c>
      <c r="E12" s="52" t="s">
        <v>233</v>
      </c>
      <c r="F12" s="93" t="s">
        <v>234</v>
      </c>
      <c r="G12" s="94" t="s">
        <v>235</v>
      </c>
      <c r="H12" s="93" t="s">
        <v>236</v>
      </c>
      <c r="I12" s="78" t="s">
        <v>237</v>
      </c>
      <c r="J12" s="63" t="s">
        <v>238</v>
      </c>
      <c r="K12" s="92" t="s">
        <v>174</v>
      </c>
      <c r="L12" s="92" t="s">
        <v>139</v>
      </c>
      <c r="M12" s="79">
        <v>1.031918797E9</v>
      </c>
      <c r="N12" s="79">
        <v>6788939.45394736</v>
      </c>
      <c r="O12" s="79">
        <v>1859443.0</v>
      </c>
      <c r="P12" s="95" t="s">
        <v>189</v>
      </c>
      <c r="Q12" s="74" t="s">
        <v>141</v>
      </c>
      <c r="R12" s="74" t="s">
        <v>116</v>
      </c>
      <c r="S12" s="73" t="s">
        <v>239</v>
      </c>
      <c r="T12" s="73" t="s">
        <v>240</v>
      </c>
      <c r="U12" s="74" t="s">
        <v>241</v>
      </c>
      <c r="V12" s="96"/>
    </row>
    <row r="13" ht="16.5" customHeight="1">
      <c r="A13" s="97" t="s">
        <v>242</v>
      </c>
      <c r="B13" s="40" t="s">
        <v>243</v>
      </c>
      <c r="C13" s="52" t="s">
        <v>244</v>
      </c>
      <c r="D13" s="40" t="s">
        <v>153</v>
      </c>
      <c r="E13" s="40" t="s">
        <v>245</v>
      </c>
      <c r="F13" s="86" t="s">
        <v>197</v>
      </c>
      <c r="G13" s="52" t="s">
        <v>244</v>
      </c>
      <c r="H13" s="98" t="s">
        <v>246</v>
      </c>
      <c r="I13" s="62" t="s">
        <v>247</v>
      </c>
      <c r="J13" s="62">
        <v>8.0</v>
      </c>
      <c r="K13" s="62" t="s">
        <v>248</v>
      </c>
      <c r="L13" s="62" t="s">
        <v>249</v>
      </c>
      <c r="M13" s="65">
        <v>1.35106292E8</v>
      </c>
      <c r="N13" s="65">
        <v>1.68882865E7</v>
      </c>
      <c r="O13" s="65">
        <v>6543390.5</v>
      </c>
      <c r="P13" s="64" t="s">
        <v>189</v>
      </c>
      <c r="Q13" s="64" t="s">
        <v>141</v>
      </c>
      <c r="R13" s="68" t="s">
        <v>197</v>
      </c>
      <c r="S13" s="40" t="s">
        <v>250</v>
      </c>
      <c r="T13" s="40" t="s">
        <v>251</v>
      </c>
      <c r="U13" s="76" t="s">
        <v>252</v>
      </c>
    </row>
    <row r="14" ht="16.5" customHeight="1">
      <c r="A14" s="99" t="s">
        <v>253</v>
      </c>
      <c r="B14" s="89" t="s">
        <v>254</v>
      </c>
      <c r="C14" s="71" t="s">
        <v>255</v>
      </c>
      <c r="D14" s="64" t="s">
        <v>153</v>
      </c>
      <c r="E14" s="61" t="s">
        <v>256</v>
      </c>
      <c r="F14" s="71" t="s">
        <v>257</v>
      </c>
      <c r="G14" s="71" t="s">
        <v>258</v>
      </c>
      <c r="H14" s="71" t="s">
        <v>259</v>
      </c>
      <c r="I14" s="62" t="s">
        <v>260</v>
      </c>
      <c r="J14" s="63" t="s">
        <v>261</v>
      </c>
      <c r="K14" s="64" t="s">
        <v>262</v>
      </c>
      <c r="L14" s="64" t="s">
        <v>249</v>
      </c>
      <c r="M14" s="65">
        <v>1.90625289E8</v>
      </c>
      <c r="N14" s="65">
        <v>2.3828161125E7</v>
      </c>
      <c r="O14" s="65">
        <v>1606915.5</v>
      </c>
      <c r="P14" s="66" t="s">
        <v>189</v>
      </c>
      <c r="Q14" s="64" t="s">
        <v>141</v>
      </c>
      <c r="R14" s="68" t="s">
        <v>116</v>
      </c>
      <c r="S14" s="64" t="s">
        <v>263</v>
      </c>
      <c r="T14" s="64" t="s">
        <v>264</v>
      </c>
      <c r="U14" s="90" t="s">
        <v>265</v>
      </c>
      <c r="V14" s="27"/>
      <c r="W14" s="27"/>
      <c r="X14" s="27"/>
      <c r="Y14" s="27"/>
      <c r="Z14" s="27"/>
      <c r="AA14" s="27"/>
      <c r="AB14" s="27"/>
      <c r="AC14" s="27"/>
      <c r="AD14" s="27"/>
      <c r="AE14" s="27"/>
      <c r="AF14" s="27"/>
      <c r="AG14" s="27"/>
      <c r="AH14" s="27"/>
      <c r="AI14" s="27"/>
      <c r="AJ14" s="27"/>
      <c r="AK14" s="27"/>
      <c r="AL14" s="27"/>
      <c r="AM14" s="27"/>
      <c r="AN14" s="27"/>
    </row>
    <row r="15" ht="16.5" customHeight="1">
      <c r="A15" s="100" t="s">
        <v>266</v>
      </c>
      <c r="B15" s="18" t="s">
        <v>267</v>
      </c>
      <c r="C15" s="55" t="s">
        <v>268</v>
      </c>
      <c r="D15" s="40" t="s">
        <v>153</v>
      </c>
      <c r="E15" s="40" t="s">
        <v>269</v>
      </c>
      <c r="F15" s="52" t="s">
        <v>270</v>
      </c>
      <c r="G15" s="52" t="s">
        <v>271</v>
      </c>
      <c r="H15" s="61" t="s">
        <v>272</v>
      </c>
      <c r="I15" s="62" t="s">
        <v>273</v>
      </c>
      <c r="J15" s="62">
        <v>32.0</v>
      </c>
      <c r="K15" s="64" t="s">
        <v>274</v>
      </c>
      <c r="L15" s="64" t="s">
        <v>188</v>
      </c>
      <c r="M15" s="65">
        <v>8.5214306E7</v>
      </c>
      <c r="N15" s="65">
        <v>2662947.0625</v>
      </c>
      <c r="O15" s="65">
        <v>1574380.0</v>
      </c>
      <c r="P15" s="65" t="s">
        <v>189</v>
      </c>
      <c r="Q15" s="64" t="s">
        <v>141</v>
      </c>
      <c r="R15" s="68" t="s">
        <v>116</v>
      </c>
      <c r="S15" s="40" t="s">
        <v>275</v>
      </c>
      <c r="T15" s="40" t="s">
        <v>276</v>
      </c>
      <c r="U15" s="76" t="s">
        <v>277</v>
      </c>
    </row>
    <row r="16" ht="16.5" customHeight="1">
      <c r="A16" s="99" t="s">
        <v>278</v>
      </c>
      <c r="B16" s="18" t="s">
        <v>194</v>
      </c>
      <c r="C16" s="101" t="s">
        <v>279</v>
      </c>
      <c r="D16" s="68" t="s">
        <v>153</v>
      </c>
      <c r="E16" s="102" t="s">
        <v>280</v>
      </c>
      <c r="F16" s="42"/>
      <c r="G16" s="101" t="s">
        <v>281</v>
      </c>
      <c r="H16" s="103" t="s">
        <v>282</v>
      </c>
      <c r="I16" s="62" t="s">
        <v>283</v>
      </c>
      <c r="J16" s="62">
        <v>11.0</v>
      </c>
      <c r="K16" s="64" t="s">
        <v>284</v>
      </c>
      <c r="L16" s="64" t="s">
        <v>285</v>
      </c>
      <c r="M16" s="65">
        <v>5.4522884E7</v>
      </c>
      <c r="N16" s="65">
        <v>4956625.81818181</v>
      </c>
      <c r="O16" s="65">
        <v>1452892.0</v>
      </c>
      <c r="P16" s="65" t="s">
        <v>189</v>
      </c>
      <c r="Q16" s="64" t="s">
        <v>141</v>
      </c>
      <c r="R16" s="68" t="s">
        <v>197</v>
      </c>
      <c r="S16" s="64" t="s">
        <v>286</v>
      </c>
      <c r="T16" s="68" t="s">
        <v>287</v>
      </c>
      <c r="U16" s="104"/>
      <c r="V16" s="27"/>
      <c r="W16" s="27"/>
      <c r="X16" s="27"/>
      <c r="Y16" s="27"/>
      <c r="Z16" s="27"/>
      <c r="AA16" s="27"/>
      <c r="AB16" s="27"/>
      <c r="AC16" s="27"/>
      <c r="AD16" s="27"/>
      <c r="AE16" s="27"/>
      <c r="AF16" s="27"/>
      <c r="AG16" s="27"/>
      <c r="AH16" s="27"/>
      <c r="AI16" s="27"/>
      <c r="AJ16" s="27"/>
      <c r="AK16" s="27"/>
      <c r="AL16" s="27"/>
      <c r="AM16" s="27"/>
      <c r="AN16" s="27"/>
    </row>
    <row r="17" ht="16.5" customHeight="1">
      <c r="A17" s="105" t="s">
        <v>288</v>
      </c>
      <c r="B17" s="106" t="s">
        <v>194</v>
      </c>
      <c r="C17" s="107" t="s">
        <v>289</v>
      </c>
      <c r="D17" s="108" t="s">
        <v>153</v>
      </c>
      <c r="E17" s="109" t="s">
        <v>290</v>
      </c>
      <c r="F17" s="110" t="s">
        <v>291</v>
      </c>
      <c r="G17" s="111" t="s">
        <v>292</v>
      </c>
      <c r="H17" s="109" t="s">
        <v>293</v>
      </c>
      <c r="I17" s="62" t="s">
        <v>294</v>
      </c>
      <c r="J17" s="63" t="s">
        <v>295</v>
      </c>
      <c r="K17" s="62" t="s">
        <v>296</v>
      </c>
      <c r="L17" s="62" t="s">
        <v>297</v>
      </c>
      <c r="M17" s="80">
        <v>5.9277141E7</v>
      </c>
      <c r="N17" s="80">
        <v>2279890.03846153</v>
      </c>
      <c r="O17" s="80">
        <v>1319567.0</v>
      </c>
      <c r="P17" s="66" t="s">
        <v>189</v>
      </c>
      <c r="Q17" s="64" t="s">
        <v>141</v>
      </c>
      <c r="R17" s="68" t="s">
        <v>197</v>
      </c>
      <c r="S17" s="112" t="s">
        <v>298</v>
      </c>
      <c r="T17" s="64" t="s">
        <v>299</v>
      </c>
      <c r="U17" s="113" t="s">
        <v>300</v>
      </c>
      <c r="V17" s="114"/>
      <c r="W17" s="114"/>
      <c r="X17" s="114"/>
      <c r="Y17" s="114"/>
      <c r="Z17" s="114"/>
      <c r="AA17" s="114"/>
      <c r="AB17" s="114"/>
      <c r="AC17" s="114"/>
      <c r="AD17" s="114"/>
      <c r="AE17" s="114"/>
      <c r="AF17" s="114"/>
      <c r="AG17" s="114"/>
      <c r="AH17" s="114"/>
      <c r="AI17" s="114"/>
      <c r="AJ17" s="114"/>
      <c r="AK17" s="114"/>
      <c r="AL17" s="114"/>
      <c r="AM17" s="114"/>
      <c r="AN17" s="114"/>
    </row>
    <row r="18" ht="16.5" customHeight="1">
      <c r="A18" s="100" t="s">
        <v>301</v>
      </c>
      <c r="B18" s="40" t="s">
        <v>302</v>
      </c>
      <c r="C18" s="52" t="s">
        <v>303</v>
      </c>
      <c r="D18" s="40" t="s">
        <v>153</v>
      </c>
      <c r="E18" s="52" t="s">
        <v>304</v>
      </c>
      <c r="F18" s="40" t="s">
        <v>197</v>
      </c>
      <c r="G18" s="59" t="s">
        <v>305</v>
      </c>
      <c r="H18" s="61" t="s">
        <v>306</v>
      </c>
      <c r="I18" s="62" t="s">
        <v>307</v>
      </c>
      <c r="J18" s="62">
        <v>7.0</v>
      </c>
      <c r="K18" s="64" t="s">
        <v>262</v>
      </c>
      <c r="L18" s="64" t="s">
        <v>308</v>
      </c>
      <c r="M18" s="65">
        <v>8.1300774E7</v>
      </c>
      <c r="N18" s="65">
        <v>1.16143962857142E7</v>
      </c>
      <c r="O18" s="65">
        <v>1310182.0</v>
      </c>
      <c r="P18" s="65" t="s">
        <v>189</v>
      </c>
      <c r="Q18" s="64" t="s">
        <v>141</v>
      </c>
      <c r="R18" s="74" t="s">
        <v>118</v>
      </c>
      <c r="S18" s="25" t="s">
        <v>309</v>
      </c>
      <c r="T18" s="40" t="s">
        <v>310</v>
      </c>
      <c r="U18" s="69" t="s">
        <v>153</v>
      </c>
      <c r="V18" s="27"/>
    </row>
    <row r="19" ht="16.5" customHeight="1">
      <c r="A19" s="70" t="s">
        <v>311</v>
      </c>
      <c r="B19" s="77" t="s">
        <v>194</v>
      </c>
      <c r="C19" s="55" t="s">
        <v>312</v>
      </c>
      <c r="D19" s="55" t="s">
        <v>313</v>
      </c>
      <c r="E19" s="52" t="s">
        <v>314</v>
      </c>
      <c r="F19" s="52" t="s">
        <v>315</v>
      </c>
      <c r="G19" s="59" t="s">
        <v>316</v>
      </c>
      <c r="H19" s="61" t="s">
        <v>317</v>
      </c>
      <c r="I19" s="62" t="s">
        <v>318</v>
      </c>
      <c r="J19" s="62">
        <v>13.0</v>
      </c>
      <c r="K19" s="64" t="s">
        <v>319</v>
      </c>
      <c r="L19" s="64" t="s">
        <v>320</v>
      </c>
      <c r="M19" s="65">
        <v>7.2732102E7</v>
      </c>
      <c r="N19" s="65">
        <v>5594777.07692307</v>
      </c>
      <c r="O19" s="65">
        <v>1159863.0</v>
      </c>
      <c r="P19" s="65" t="s">
        <v>189</v>
      </c>
      <c r="Q19" s="64" t="s">
        <v>141</v>
      </c>
      <c r="R19" s="68" t="s">
        <v>116</v>
      </c>
      <c r="S19" s="77" t="s">
        <v>321</v>
      </c>
      <c r="T19" s="40" t="s">
        <v>322</v>
      </c>
      <c r="U19" s="115" t="s">
        <v>153</v>
      </c>
      <c r="V19" s="27"/>
    </row>
    <row r="20" ht="16.5" customHeight="1">
      <c r="A20" s="49" t="s">
        <v>323</v>
      </c>
      <c r="B20" s="14" t="s">
        <v>194</v>
      </c>
      <c r="C20" s="59" t="s">
        <v>324</v>
      </c>
      <c r="D20" s="59" t="s">
        <v>325</v>
      </c>
      <c r="E20" s="59" t="s">
        <v>326</v>
      </c>
      <c r="F20" s="59" t="s">
        <v>327</v>
      </c>
      <c r="G20" s="116" t="s">
        <v>328</v>
      </c>
      <c r="H20" s="71" t="s">
        <v>329</v>
      </c>
      <c r="I20" s="72" t="s">
        <v>330</v>
      </c>
      <c r="J20" s="63" t="s">
        <v>331</v>
      </c>
      <c r="K20" s="64" t="s">
        <v>332</v>
      </c>
      <c r="L20" s="64" t="s">
        <v>188</v>
      </c>
      <c r="M20" s="65">
        <v>6.02863259E8</v>
      </c>
      <c r="N20" s="65">
        <v>5634236.06542056</v>
      </c>
      <c r="O20" s="65">
        <v>1048178.0</v>
      </c>
      <c r="P20" s="66" t="s">
        <v>189</v>
      </c>
      <c r="Q20" s="64" t="s">
        <v>141</v>
      </c>
      <c r="R20" s="68" t="s">
        <v>116</v>
      </c>
      <c r="S20" s="25" t="s">
        <v>333</v>
      </c>
      <c r="T20" s="25" t="s">
        <v>334</v>
      </c>
      <c r="U20" s="69" t="s">
        <v>335</v>
      </c>
      <c r="V20" s="27"/>
      <c r="W20" s="27"/>
      <c r="X20" s="27"/>
      <c r="Y20" s="27"/>
      <c r="Z20" s="27"/>
      <c r="AA20" s="27"/>
      <c r="AB20" s="27"/>
      <c r="AC20" s="27"/>
      <c r="AD20" s="27"/>
      <c r="AE20" s="27"/>
      <c r="AF20" s="27"/>
      <c r="AG20" s="27"/>
      <c r="AH20" s="27"/>
      <c r="AI20" s="27"/>
      <c r="AJ20" s="27"/>
      <c r="AK20" s="27"/>
      <c r="AL20" s="27"/>
      <c r="AM20" s="27"/>
      <c r="AN20" s="27"/>
    </row>
    <row r="21" ht="16.5" customHeight="1">
      <c r="A21" s="100" t="s">
        <v>336</v>
      </c>
      <c r="B21" s="89" t="s">
        <v>165</v>
      </c>
      <c r="C21" s="55" t="s">
        <v>337</v>
      </c>
      <c r="D21" s="40" t="s">
        <v>153</v>
      </c>
      <c r="E21" s="52" t="s">
        <v>338</v>
      </c>
      <c r="F21" s="52" t="s">
        <v>339</v>
      </c>
      <c r="G21" s="55" t="s">
        <v>340</v>
      </c>
      <c r="H21" s="61" t="s">
        <v>341</v>
      </c>
      <c r="I21" s="117" t="s">
        <v>342</v>
      </c>
      <c r="J21" s="63" t="s">
        <v>226</v>
      </c>
      <c r="K21" s="64" t="s">
        <v>343</v>
      </c>
      <c r="L21" s="64" t="s">
        <v>285</v>
      </c>
      <c r="M21" s="65">
        <v>5.2901205E7</v>
      </c>
      <c r="N21" s="65">
        <v>2519105.0</v>
      </c>
      <c r="O21" s="65">
        <v>992352.0</v>
      </c>
      <c r="P21" s="66" t="s">
        <v>189</v>
      </c>
      <c r="Q21" s="64" t="s">
        <v>141</v>
      </c>
      <c r="R21" s="68" t="s">
        <v>116</v>
      </c>
      <c r="S21" s="40" t="s">
        <v>344</v>
      </c>
      <c r="T21" s="40" t="s">
        <v>345</v>
      </c>
      <c r="U21" s="118" t="s">
        <v>346</v>
      </c>
    </row>
    <row r="22" ht="16.5" customHeight="1">
      <c r="A22" s="82" t="s">
        <v>347</v>
      </c>
      <c r="B22" s="89" t="s">
        <v>179</v>
      </c>
      <c r="C22" s="52" t="s">
        <v>348</v>
      </c>
      <c r="D22" s="86" t="s">
        <v>153</v>
      </c>
      <c r="E22" s="40" t="s">
        <v>153</v>
      </c>
      <c r="F22" s="86" t="s">
        <v>197</v>
      </c>
      <c r="G22" s="52" t="s">
        <v>349</v>
      </c>
      <c r="H22" s="61" t="s">
        <v>350</v>
      </c>
      <c r="I22" s="62" t="s">
        <v>351</v>
      </c>
      <c r="J22" s="63" t="s">
        <v>352</v>
      </c>
      <c r="K22" s="64" t="s">
        <v>353</v>
      </c>
      <c r="L22" s="64" t="s">
        <v>188</v>
      </c>
      <c r="M22" s="65">
        <v>2.00240501E8</v>
      </c>
      <c r="N22" s="65">
        <v>4449788.91111111</v>
      </c>
      <c r="O22" s="65">
        <v>800472.0</v>
      </c>
      <c r="P22" s="66" t="s">
        <v>189</v>
      </c>
      <c r="Q22" s="64" t="s">
        <v>141</v>
      </c>
      <c r="R22" s="119" t="s">
        <v>197</v>
      </c>
      <c r="S22" s="40" t="s">
        <v>354</v>
      </c>
      <c r="T22" s="40" t="s">
        <v>355</v>
      </c>
      <c r="U22" s="76" t="s">
        <v>153</v>
      </c>
    </row>
    <row r="23" ht="16.5" customHeight="1">
      <c r="A23" s="82" t="s">
        <v>356</v>
      </c>
      <c r="B23" s="89" t="s">
        <v>357</v>
      </c>
      <c r="C23" s="52" t="s">
        <v>358</v>
      </c>
      <c r="D23" s="40" t="s">
        <v>153</v>
      </c>
      <c r="E23" s="83" t="s">
        <v>359</v>
      </c>
      <c r="F23" s="52" t="s">
        <v>360</v>
      </c>
      <c r="G23" s="52" t="s">
        <v>361</v>
      </c>
      <c r="H23" s="120" t="s">
        <v>362</v>
      </c>
      <c r="I23" s="62" t="s">
        <v>363</v>
      </c>
      <c r="J23" s="63" t="s">
        <v>201</v>
      </c>
      <c r="K23" s="62" t="s">
        <v>364</v>
      </c>
      <c r="L23" s="62" t="s">
        <v>365</v>
      </c>
      <c r="M23" s="65">
        <v>1.35131758E8</v>
      </c>
      <c r="N23" s="65">
        <v>9652268.42857143</v>
      </c>
      <c r="O23" s="65">
        <v>790759.0</v>
      </c>
      <c r="P23" s="66" t="s">
        <v>189</v>
      </c>
      <c r="Q23" s="64" t="s">
        <v>141</v>
      </c>
      <c r="R23" s="68" t="s">
        <v>197</v>
      </c>
      <c r="S23" s="40" t="s">
        <v>366</v>
      </c>
      <c r="T23" s="40" t="s">
        <v>367</v>
      </c>
      <c r="U23" s="76" t="s">
        <v>153</v>
      </c>
      <c r="V23" s="27"/>
    </row>
    <row r="24" ht="16.5" customHeight="1">
      <c r="A24" s="88" t="s">
        <v>368</v>
      </c>
      <c r="B24" s="89" t="s">
        <v>179</v>
      </c>
      <c r="C24" s="101" t="s">
        <v>369</v>
      </c>
      <c r="D24" s="121" t="s">
        <v>153</v>
      </c>
      <c r="E24" s="71" t="s">
        <v>370</v>
      </c>
      <c r="F24" s="68" t="s">
        <v>197</v>
      </c>
      <c r="G24" s="61" t="s">
        <v>371</v>
      </c>
      <c r="H24" s="61" t="s">
        <v>372</v>
      </c>
      <c r="I24" s="62" t="s">
        <v>373</v>
      </c>
      <c r="J24" s="63" t="s">
        <v>374</v>
      </c>
      <c r="K24" s="64" t="s">
        <v>375</v>
      </c>
      <c r="L24" s="64" t="s">
        <v>376</v>
      </c>
      <c r="M24" s="65">
        <v>1.17982967E8</v>
      </c>
      <c r="N24" s="65">
        <v>1902951.08064516</v>
      </c>
      <c r="O24" s="65">
        <v>687813.5</v>
      </c>
      <c r="P24" s="66" t="s">
        <v>189</v>
      </c>
      <c r="Q24" s="64" t="s">
        <v>141</v>
      </c>
      <c r="R24" s="122" t="s">
        <v>197</v>
      </c>
      <c r="S24" s="40" t="s">
        <v>377</v>
      </c>
      <c r="T24" s="64" t="s">
        <v>299</v>
      </c>
      <c r="U24" s="90" t="s">
        <v>300</v>
      </c>
      <c r="V24" s="27"/>
      <c r="W24" s="27"/>
      <c r="X24" s="27"/>
      <c r="Y24" s="27"/>
      <c r="Z24" s="27"/>
      <c r="AA24" s="27"/>
      <c r="AB24" s="27"/>
      <c r="AC24" s="27"/>
      <c r="AD24" s="27"/>
      <c r="AE24" s="27"/>
      <c r="AF24" s="27"/>
      <c r="AG24" s="27"/>
      <c r="AH24" s="27"/>
      <c r="AI24" s="27"/>
      <c r="AJ24" s="27"/>
      <c r="AK24" s="27"/>
      <c r="AL24" s="27"/>
      <c r="AM24" s="27"/>
      <c r="AN24" s="27"/>
    </row>
    <row r="25" ht="16.5" customHeight="1">
      <c r="A25" s="123" t="s">
        <v>378</v>
      </c>
      <c r="B25" s="124" t="s">
        <v>194</v>
      </c>
      <c r="C25" s="125" t="s">
        <v>379</v>
      </c>
      <c r="D25" s="126" t="s">
        <v>381</v>
      </c>
      <c r="E25" s="125" t="s">
        <v>382</v>
      </c>
      <c r="F25" s="125" t="s">
        <v>383</v>
      </c>
      <c r="G25" s="126" t="s">
        <v>384</v>
      </c>
      <c r="H25" s="126" t="s">
        <v>385</v>
      </c>
      <c r="I25" s="127" t="s">
        <v>386</v>
      </c>
      <c r="J25" s="62">
        <v>26.0</v>
      </c>
      <c r="K25" s="128" t="s">
        <v>387</v>
      </c>
      <c r="L25" s="128" t="s">
        <v>188</v>
      </c>
      <c r="M25" s="65">
        <v>5.0435424E7</v>
      </c>
      <c r="N25" s="65">
        <v>1939824.0</v>
      </c>
      <c r="O25" s="65">
        <v>636856.5</v>
      </c>
      <c r="P25" s="64" t="s">
        <v>189</v>
      </c>
      <c r="Q25" s="64" t="s">
        <v>141</v>
      </c>
      <c r="R25" s="68" t="s">
        <v>118</v>
      </c>
      <c r="S25" s="129" t="s">
        <v>388</v>
      </c>
      <c r="T25" s="130" t="s">
        <v>389</v>
      </c>
      <c r="U25" s="69" t="s">
        <v>390</v>
      </c>
      <c r="V25" s="131"/>
      <c r="W25" s="131"/>
      <c r="X25" s="131"/>
      <c r="Y25" s="131"/>
      <c r="Z25" s="131"/>
      <c r="AA25" s="131"/>
      <c r="AB25" s="122"/>
      <c r="AC25" s="122"/>
      <c r="AD25" s="122"/>
      <c r="AE25" s="122"/>
      <c r="AF25" s="122"/>
      <c r="AG25" s="122"/>
      <c r="AH25" s="122"/>
      <c r="AI25" s="122"/>
      <c r="AJ25" s="122"/>
      <c r="AK25" s="122"/>
      <c r="AL25" s="122"/>
      <c r="AM25" s="122"/>
      <c r="AN25" s="122"/>
    </row>
    <row r="26" ht="16.5" customHeight="1">
      <c r="A26" s="70" t="s">
        <v>391</v>
      </c>
      <c r="B26" s="89" t="s">
        <v>392</v>
      </c>
      <c r="C26" s="52" t="s">
        <v>393</v>
      </c>
      <c r="D26" s="40" t="s">
        <v>153</v>
      </c>
      <c r="E26" s="40" t="s">
        <v>394</v>
      </c>
      <c r="F26" s="75" t="s">
        <v>395</v>
      </c>
      <c r="G26" s="52" t="s">
        <v>396</v>
      </c>
      <c r="H26" s="61" t="s">
        <v>397</v>
      </c>
      <c r="I26" s="62" t="s">
        <v>398</v>
      </c>
      <c r="J26" s="63" t="s">
        <v>399</v>
      </c>
      <c r="K26" s="64" t="s">
        <v>400</v>
      </c>
      <c r="L26" s="64" t="s">
        <v>188</v>
      </c>
      <c r="M26" s="65">
        <v>4.0858187E8</v>
      </c>
      <c r="N26" s="65">
        <v>6384091.71875</v>
      </c>
      <c r="O26" s="65">
        <v>635627.0</v>
      </c>
      <c r="P26" s="66" t="s">
        <v>189</v>
      </c>
      <c r="Q26" s="64" t="s">
        <v>141</v>
      </c>
      <c r="R26" s="68" t="s">
        <v>118</v>
      </c>
      <c r="S26" s="40" t="s">
        <v>401</v>
      </c>
      <c r="T26" s="40" t="s">
        <v>402</v>
      </c>
      <c r="U26" s="76" t="s">
        <v>403</v>
      </c>
    </row>
    <row r="27" ht="16.5" customHeight="1">
      <c r="A27" s="49" t="s">
        <v>404</v>
      </c>
      <c r="B27" s="132" t="s">
        <v>405</v>
      </c>
      <c r="C27" s="52" t="s">
        <v>406</v>
      </c>
      <c r="D27" s="40" t="s">
        <v>153</v>
      </c>
      <c r="E27" s="52" t="s">
        <v>407</v>
      </c>
      <c r="F27" s="71" t="s">
        <v>408</v>
      </c>
      <c r="G27" s="59" t="s">
        <v>409</v>
      </c>
      <c r="H27" s="61" t="s">
        <v>410</v>
      </c>
      <c r="I27" s="62" t="s">
        <v>411</v>
      </c>
      <c r="J27" s="63" t="s">
        <v>412</v>
      </c>
      <c r="K27" s="64" t="s">
        <v>413</v>
      </c>
      <c r="L27" s="64" t="s">
        <v>188</v>
      </c>
      <c r="M27" s="65">
        <v>5.22595234E8</v>
      </c>
      <c r="N27" s="65">
        <v>3555069.61904761</v>
      </c>
      <c r="O27" s="65">
        <v>609152.0</v>
      </c>
      <c r="P27" s="66" t="s">
        <v>189</v>
      </c>
      <c r="Q27" s="64" t="s">
        <v>141</v>
      </c>
      <c r="R27" s="68" t="s">
        <v>116</v>
      </c>
      <c r="S27" s="25" t="s">
        <v>414</v>
      </c>
      <c r="T27" s="40" t="s">
        <v>415</v>
      </c>
      <c r="U27" s="69" t="s">
        <v>416</v>
      </c>
      <c r="V27" s="27"/>
    </row>
    <row r="28" ht="16.5" customHeight="1">
      <c r="A28" s="133" t="s">
        <v>417</v>
      </c>
      <c r="B28" s="40" t="s">
        <v>179</v>
      </c>
      <c r="C28" s="134" t="s">
        <v>418</v>
      </c>
      <c r="D28" s="18"/>
      <c r="E28" s="86"/>
      <c r="F28" s="52" t="s">
        <v>419</v>
      </c>
      <c r="G28" s="52" t="s">
        <v>420</v>
      </c>
      <c r="H28" s="55" t="s">
        <v>421</v>
      </c>
      <c r="I28" s="62" t="s">
        <v>423</v>
      </c>
      <c r="J28" s="62">
        <v>58.0</v>
      </c>
      <c r="K28" s="62" t="s">
        <v>424</v>
      </c>
      <c r="L28" s="62" t="s">
        <v>285</v>
      </c>
      <c r="M28" s="65">
        <v>2.02548002E8</v>
      </c>
      <c r="N28" s="65">
        <v>3492206.93103448</v>
      </c>
      <c r="O28" s="65">
        <v>583536.0</v>
      </c>
      <c r="P28" s="62" t="s">
        <v>189</v>
      </c>
      <c r="Q28" s="18" t="s">
        <v>141</v>
      </c>
      <c r="R28" s="22"/>
      <c r="S28" s="40" t="s">
        <v>426</v>
      </c>
      <c r="T28" s="40"/>
      <c r="U28" s="136" t="s">
        <v>427</v>
      </c>
    </row>
    <row r="29" ht="16.5" customHeight="1">
      <c r="A29" s="82" t="s">
        <v>428</v>
      </c>
      <c r="B29" s="89" t="s">
        <v>179</v>
      </c>
      <c r="C29" s="52" t="s">
        <v>430</v>
      </c>
      <c r="D29" s="55" t="s">
        <v>431</v>
      </c>
      <c r="E29" s="52" t="s">
        <v>433</v>
      </c>
      <c r="F29" s="71" t="s">
        <v>435</v>
      </c>
      <c r="G29" s="55" t="s">
        <v>437</v>
      </c>
      <c r="H29" s="61" t="s">
        <v>438</v>
      </c>
      <c r="I29" s="62" t="s">
        <v>441</v>
      </c>
      <c r="J29" s="63" t="s">
        <v>201</v>
      </c>
      <c r="K29" s="64" t="s">
        <v>443</v>
      </c>
      <c r="L29" s="64" t="s">
        <v>444</v>
      </c>
      <c r="M29" s="65">
        <v>1.74860374E8</v>
      </c>
      <c r="N29" s="65">
        <v>1.24900267142857E7</v>
      </c>
      <c r="O29" s="65">
        <v>517234.0</v>
      </c>
      <c r="P29" s="66" t="s">
        <v>189</v>
      </c>
      <c r="Q29" s="64" t="s">
        <v>141</v>
      </c>
      <c r="R29" s="68" t="s">
        <v>118</v>
      </c>
      <c r="S29" s="40" t="s">
        <v>445</v>
      </c>
      <c r="T29" s="40" t="s">
        <v>446</v>
      </c>
      <c r="U29" s="76" t="s">
        <v>153</v>
      </c>
    </row>
    <row r="30" ht="16.5" customHeight="1">
      <c r="A30" s="82" t="s">
        <v>447</v>
      </c>
      <c r="B30" s="18" t="s">
        <v>194</v>
      </c>
      <c r="C30" s="55" t="s">
        <v>448</v>
      </c>
      <c r="D30" s="55" t="s">
        <v>450</v>
      </c>
      <c r="E30" s="139" t="s">
        <v>452</v>
      </c>
      <c r="F30" s="139" t="s">
        <v>454</v>
      </c>
      <c r="G30" s="52" t="s">
        <v>458</v>
      </c>
      <c r="H30" s="61" t="s">
        <v>461</v>
      </c>
      <c r="I30" s="143" t="s">
        <v>462</v>
      </c>
      <c r="J30" s="143">
        <v>29.0</v>
      </c>
      <c r="K30" s="144" t="s">
        <v>464</v>
      </c>
      <c r="L30" s="144" t="s">
        <v>285</v>
      </c>
      <c r="M30" s="65">
        <v>1.10393267E8</v>
      </c>
      <c r="N30" s="65">
        <v>3806664.37931034</v>
      </c>
      <c r="O30" s="65">
        <v>500383.0</v>
      </c>
      <c r="P30" s="65" t="s">
        <v>189</v>
      </c>
      <c r="Q30" s="64" t="s">
        <v>141</v>
      </c>
      <c r="R30" s="68" t="s">
        <v>116</v>
      </c>
      <c r="S30" s="40" t="s">
        <v>465</v>
      </c>
      <c r="T30" s="40" t="s">
        <v>466</v>
      </c>
      <c r="U30" s="76" t="s">
        <v>467</v>
      </c>
    </row>
    <row r="31" ht="16.5" customHeight="1">
      <c r="A31" s="123" t="s">
        <v>468</v>
      </c>
      <c r="B31" s="124" t="s">
        <v>469</v>
      </c>
      <c r="C31" s="149" t="s">
        <v>470</v>
      </c>
      <c r="D31" s="129" t="s">
        <v>153</v>
      </c>
      <c r="E31" s="150" t="s">
        <v>474</v>
      </c>
      <c r="F31" s="151" t="s">
        <v>197</v>
      </c>
      <c r="G31" s="126" t="s">
        <v>476</v>
      </c>
      <c r="H31" s="126" t="s">
        <v>480</v>
      </c>
      <c r="I31" s="154" t="s">
        <v>482</v>
      </c>
      <c r="J31" s="62">
        <v>30.0</v>
      </c>
      <c r="K31" s="128" t="s">
        <v>483</v>
      </c>
      <c r="L31" s="128" t="s">
        <v>188</v>
      </c>
      <c r="M31" s="65">
        <v>7.9472622E7</v>
      </c>
      <c r="N31" s="65">
        <v>2649087.4</v>
      </c>
      <c r="O31" s="65">
        <v>408226.0</v>
      </c>
      <c r="P31" s="64" t="s">
        <v>189</v>
      </c>
      <c r="Q31" s="64" t="s">
        <v>141</v>
      </c>
      <c r="R31" s="68" t="s">
        <v>118</v>
      </c>
      <c r="S31" s="129" t="s">
        <v>484</v>
      </c>
      <c r="T31" s="130" t="s">
        <v>485</v>
      </c>
      <c r="U31" s="69" t="s">
        <v>487</v>
      </c>
      <c r="V31" s="131"/>
      <c r="W31" s="131"/>
      <c r="X31" s="131"/>
      <c r="Y31" s="131"/>
      <c r="Z31" s="131"/>
      <c r="AA31" s="131"/>
      <c r="AB31" s="122"/>
      <c r="AC31" s="122"/>
      <c r="AD31" s="122"/>
      <c r="AE31" s="122"/>
      <c r="AF31" s="122"/>
      <c r="AG31" s="122"/>
      <c r="AH31" s="122"/>
      <c r="AI31" s="122"/>
      <c r="AJ31" s="122"/>
      <c r="AK31" s="122"/>
      <c r="AL31" s="122"/>
      <c r="AM31" s="122"/>
      <c r="AN31" s="122"/>
    </row>
    <row r="32" ht="16.5" customHeight="1">
      <c r="A32" s="70" t="s">
        <v>488</v>
      </c>
      <c r="B32" s="77" t="s">
        <v>469</v>
      </c>
      <c r="C32" s="55" t="s">
        <v>489</v>
      </c>
      <c r="D32" s="40" t="s">
        <v>153</v>
      </c>
      <c r="E32" s="40" t="s">
        <v>492</v>
      </c>
      <c r="F32" s="52" t="s">
        <v>493</v>
      </c>
      <c r="G32" s="52" t="s">
        <v>495</v>
      </c>
      <c r="H32" s="61" t="s">
        <v>497</v>
      </c>
      <c r="I32" s="62" t="s">
        <v>498</v>
      </c>
      <c r="J32" s="62">
        <v>98.0</v>
      </c>
      <c r="K32" s="64" t="s">
        <v>499</v>
      </c>
      <c r="L32" s="64" t="s">
        <v>139</v>
      </c>
      <c r="M32" s="65">
        <v>1.63730285E8</v>
      </c>
      <c r="N32" s="65">
        <v>1670717.19387755</v>
      </c>
      <c r="O32" s="65">
        <v>384035.0</v>
      </c>
      <c r="P32" s="65" t="s">
        <v>189</v>
      </c>
      <c r="Q32" s="64" t="s">
        <v>141</v>
      </c>
      <c r="R32" s="68" t="s">
        <v>120</v>
      </c>
      <c r="S32" s="40" t="s">
        <v>501</v>
      </c>
      <c r="T32" s="40" t="s">
        <v>502</v>
      </c>
      <c r="U32" s="76" t="s">
        <v>153</v>
      </c>
    </row>
    <row r="33" ht="16.5" customHeight="1">
      <c r="A33" s="49" t="s">
        <v>503</v>
      </c>
      <c r="B33" s="25" t="s">
        <v>60</v>
      </c>
      <c r="C33" s="52" t="s">
        <v>504</v>
      </c>
      <c r="D33" s="55" t="s">
        <v>507</v>
      </c>
      <c r="E33" s="52" t="s">
        <v>508</v>
      </c>
      <c r="F33" s="59" t="s">
        <v>510</v>
      </c>
      <c r="G33" s="59" t="s">
        <v>512</v>
      </c>
      <c r="H33" s="61" t="s">
        <v>515</v>
      </c>
      <c r="I33" s="62" t="s">
        <v>517</v>
      </c>
      <c r="J33" s="62">
        <v>82.0</v>
      </c>
      <c r="K33" s="64" t="s">
        <v>518</v>
      </c>
      <c r="L33" s="64" t="s">
        <v>188</v>
      </c>
      <c r="M33" s="65">
        <v>1.28424404E8</v>
      </c>
      <c r="N33" s="65">
        <v>1566151.26829268</v>
      </c>
      <c r="O33" s="65">
        <v>381882.0</v>
      </c>
      <c r="P33" s="65" t="s">
        <v>189</v>
      </c>
      <c r="Q33" s="64" t="s">
        <v>141</v>
      </c>
      <c r="R33" s="68" t="s">
        <v>120</v>
      </c>
      <c r="S33" s="25" t="s">
        <v>520</v>
      </c>
      <c r="T33" s="40" t="s">
        <v>521</v>
      </c>
      <c r="U33" s="118" t="s">
        <v>522</v>
      </c>
      <c r="V33" s="27"/>
    </row>
    <row r="34" ht="16.5" customHeight="1">
      <c r="A34" s="100" t="s">
        <v>526</v>
      </c>
      <c r="B34" s="40" t="s">
        <v>179</v>
      </c>
      <c r="C34" s="55" t="s">
        <v>527</v>
      </c>
      <c r="D34" s="40" t="s">
        <v>153</v>
      </c>
      <c r="E34" s="40" t="s">
        <v>528</v>
      </c>
      <c r="F34" s="52" t="s">
        <v>530</v>
      </c>
      <c r="G34" s="52" t="s">
        <v>532</v>
      </c>
      <c r="H34" s="71" t="s">
        <v>536</v>
      </c>
      <c r="I34" s="62" t="s">
        <v>538</v>
      </c>
      <c r="J34" s="62">
        <v>11.0</v>
      </c>
      <c r="K34" s="64" t="s">
        <v>539</v>
      </c>
      <c r="L34" s="64" t="s">
        <v>188</v>
      </c>
      <c r="M34" s="65">
        <v>7.3619824E7</v>
      </c>
      <c r="N34" s="65">
        <v>6692711.27272727</v>
      </c>
      <c r="O34" s="65">
        <v>342979.0</v>
      </c>
      <c r="P34" s="65" t="s">
        <v>189</v>
      </c>
      <c r="Q34" s="64" t="s">
        <v>141</v>
      </c>
      <c r="R34" s="68" t="s">
        <v>197</v>
      </c>
      <c r="S34" s="40" t="s">
        <v>540</v>
      </c>
      <c r="T34" s="40" t="s">
        <v>541</v>
      </c>
      <c r="U34" s="76" t="s">
        <v>542</v>
      </c>
      <c r="V34" s="18"/>
    </row>
    <row r="35" ht="16.5" customHeight="1">
      <c r="A35" s="70" t="s">
        <v>543</v>
      </c>
      <c r="B35" s="40" t="s">
        <v>194</v>
      </c>
      <c r="C35" s="55" t="s">
        <v>545</v>
      </c>
      <c r="D35" s="40" t="s">
        <v>153</v>
      </c>
      <c r="E35" s="52" t="s">
        <v>548</v>
      </c>
      <c r="F35" s="59" t="s">
        <v>553</v>
      </c>
      <c r="G35" s="52" t="s">
        <v>554</v>
      </c>
      <c r="H35" s="61" t="s">
        <v>558</v>
      </c>
      <c r="I35" s="62" t="s">
        <v>559</v>
      </c>
      <c r="J35" s="62">
        <v>25.0</v>
      </c>
      <c r="K35" s="64" t="s">
        <v>562</v>
      </c>
      <c r="L35" s="64" t="s">
        <v>188</v>
      </c>
      <c r="M35" s="65">
        <v>1.52439371E8</v>
      </c>
      <c r="N35" s="65">
        <v>6097574.84</v>
      </c>
      <c r="O35" s="65">
        <v>302791.0</v>
      </c>
      <c r="P35" s="65" t="s">
        <v>189</v>
      </c>
      <c r="Q35" s="64" t="s">
        <v>141</v>
      </c>
      <c r="R35" s="68" t="s">
        <v>118</v>
      </c>
      <c r="S35" s="40" t="s">
        <v>566</v>
      </c>
      <c r="T35" s="40" t="s">
        <v>567</v>
      </c>
      <c r="U35" s="76" t="s">
        <v>568</v>
      </c>
    </row>
    <row r="36" ht="16.5" customHeight="1">
      <c r="A36" s="123" t="s">
        <v>569</v>
      </c>
      <c r="B36" s="124" t="s">
        <v>469</v>
      </c>
      <c r="C36" s="84" t="s">
        <v>570</v>
      </c>
      <c r="D36" s="129" t="s">
        <v>153</v>
      </c>
      <c r="E36" s="159" t="s">
        <v>572</v>
      </c>
      <c r="F36" s="125" t="s">
        <v>573</v>
      </c>
      <c r="G36" s="126" t="s">
        <v>575</v>
      </c>
      <c r="H36" s="126" t="s">
        <v>578</v>
      </c>
      <c r="I36" s="154" t="s">
        <v>581</v>
      </c>
      <c r="J36" s="62">
        <v>54.0</v>
      </c>
      <c r="K36" s="128" t="s">
        <v>582</v>
      </c>
      <c r="L36" s="128" t="s">
        <v>139</v>
      </c>
      <c r="M36" s="65">
        <v>6.0871455E7</v>
      </c>
      <c r="N36" s="65">
        <v>1127249.16666666</v>
      </c>
      <c r="O36" s="65">
        <v>270688.5</v>
      </c>
      <c r="P36" s="64" t="s">
        <v>189</v>
      </c>
      <c r="Q36" s="64" t="s">
        <v>141</v>
      </c>
      <c r="R36" s="68" t="s">
        <v>116</v>
      </c>
      <c r="S36" s="129" t="s">
        <v>583</v>
      </c>
      <c r="T36" s="130" t="s">
        <v>584</v>
      </c>
      <c r="U36" s="69" t="s">
        <v>585</v>
      </c>
      <c r="V36" s="131"/>
      <c r="W36" s="131"/>
      <c r="X36" s="131"/>
      <c r="Y36" s="131"/>
      <c r="Z36" s="131"/>
      <c r="AA36" s="131"/>
      <c r="AB36" s="122"/>
      <c r="AC36" s="122"/>
      <c r="AD36" s="122"/>
      <c r="AE36" s="122"/>
      <c r="AF36" s="122"/>
      <c r="AG36" s="122"/>
      <c r="AH36" s="122"/>
      <c r="AI36" s="122"/>
      <c r="AJ36" s="122"/>
      <c r="AK36" s="122"/>
      <c r="AL36" s="122"/>
      <c r="AM36" s="122"/>
      <c r="AN36" s="122"/>
    </row>
    <row r="37" ht="16.5" customHeight="1">
      <c r="A37" s="49" t="s">
        <v>587</v>
      </c>
      <c r="B37" s="89" t="s">
        <v>179</v>
      </c>
      <c r="C37" s="52" t="s">
        <v>588</v>
      </c>
      <c r="D37" s="55" t="s">
        <v>592</v>
      </c>
      <c r="E37" s="40" t="s">
        <v>595</v>
      </c>
      <c r="F37" s="59" t="s">
        <v>596</v>
      </c>
      <c r="G37" s="59" t="s">
        <v>600</v>
      </c>
      <c r="H37" s="61" t="s">
        <v>603</v>
      </c>
      <c r="I37" s="62" t="s">
        <v>606</v>
      </c>
      <c r="J37" s="63" t="s">
        <v>607</v>
      </c>
      <c r="K37" s="64" t="s">
        <v>608</v>
      </c>
      <c r="L37" s="64" t="s">
        <v>139</v>
      </c>
      <c r="M37" s="65">
        <v>2.27788002E8</v>
      </c>
      <c r="N37" s="65">
        <v>1980765.2347826</v>
      </c>
      <c r="O37" s="65">
        <v>269070.0</v>
      </c>
      <c r="P37" s="66" t="s">
        <v>189</v>
      </c>
      <c r="Q37" s="64" t="s">
        <v>141</v>
      </c>
      <c r="R37" s="68" t="s">
        <v>120</v>
      </c>
      <c r="S37" s="25" t="s">
        <v>610</v>
      </c>
      <c r="T37" s="40" t="s">
        <v>611</v>
      </c>
      <c r="U37" s="69" t="s">
        <v>612</v>
      </c>
      <c r="V37" s="27"/>
    </row>
    <row r="38" ht="16.5" customHeight="1">
      <c r="A38" s="45" t="s">
        <v>613</v>
      </c>
      <c r="B38" s="14" t="s">
        <v>194</v>
      </c>
      <c r="C38" s="59" t="s">
        <v>615</v>
      </c>
      <c r="D38" s="25" t="s">
        <v>153</v>
      </c>
      <c r="E38" s="59" t="s">
        <v>617</v>
      </c>
      <c r="F38" s="59" t="s">
        <v>620</v>
      </c>
      <c r="G38" s="59" t="s">
        <v>623</v>
      </c>
      <c r="H38" s="61" t="s">
        <v>627</v>
      </c>
      <c r="I38" s="62" t="s">
        <v>628</v>
      </c>
      <c r="J38" s="63" t="s">
        <v>352</v>
      </c>
      <c r="K38" s="64" t="s">
        <v>629</v>
      </c>
      <c r="L38" s="64" t="s">
        <v>139</v>
      </c>
      <c r="M38" s="65">
        <v>9.2337736E7</v>
      </c>
      <c r="N38" s="65">
        <v>2051949.68888888</v>
      </c>
      <c r="O38" s="65">
        <v>211450.0</v>
      </c>
      <c r="P38" s="66" t="s">
        <v>189</v>
      </c>
      <c r="Q38" s="64" t="s">
        <v>141</v>
      </c>
      <c r="R38" s="68" t="s">
        <v>116</v>
      </c>
      <c r="S38" s="25" t="s">
        <v>631</v>
      </c>
      <c r="T38" s="25" t="s">
        <v>632</v>
      </c>
      <c r="U38" s="69" t="s">
        <v>633</v>
      </c>
      <c r="V38" s="27"/>
      <c r="W38" s="27"/>
      <c r="X38" s="27"/>
      <c r="Y38" s="27"/>
      <c r="Z38" s="27"/>
      <c r="AA38" s="27"/>
      <c r="AB38" s="27"/>
      <c r="AC38" s="27"/>
      <c r="AD38" s="27"/>
      <c r="AE38" s="27"/>
      <c r="AF38" s="27"/>
      <c r="AG38" s="27"/>
      <c r="AH38" s="27"/>
      <c r="AI38" s="27"/>
      <c r="AJ38" s="27"/>
      <c r="AK38" s="27"/>
      <c r="AL38" s="27"/>
      <c r="AM38" s="27"/>
      <c r="AN38" s="27"/>
    </row>
    <row r="39" ht="16.5" customHeight="1">
      <c r="A39" s="100" t="s">
        <v>634</v>
      </c>
      <c r="B39" s="18" t="s">
        <v>194</v>
      </c>
      <c r="C39" s="55" t="s">
        <v>635</v>
      </c>
      <c r="D39" s="40" t="s">
        <v>153</v>
      </c>
      <c r="E39" s="40" t="s">
        <v>637</v>
      </c>
      <c r="F39" s="71" t="s">
        <v>639</v>
      </c>
      <c r="G39" s="59" t="s">
        <v>643</v>
      </c>
      <c r="H39" s="71" t="s">
        <v>645</v>
      </c>
      <c r="I39" s="62" t="s">
        <v>649</v>
      </c>
      <c r="J39" s="62">
        <v>79.0</v>
      </c>
      <c r="K39" s="64" t="s">
        <v>650</v>
      </c>
      <c r="L39" s="64" t="s">
        <v>188</v>
      </c>
      <c r="M39" s="65">
        <v>9.9926871E7</v>
      </c>
      <c r="N39" s="65">
        <v>1264897.10126582</v>
      </c>
      <c r="O39" s="65">
        <v>201259.0</v>
      </c>
      <c r="P39" s="65" t="s">
        <v>189</v>
      </c>
      <c r="Q39" s="64" t="s">
        <v>141</v>
      </c>
      <c r="R39" s="68" t="s">
        <v>118</v>
      </c>
      <c r="S39" s="77" t="s">
        <v>652</v>
      </c>
      <c r="T39" s="40" t="s">
        <v>653</v>
      </c>
      <c r="U39" s="76" t="s">
        <v>654</v>
      </c>
    </row>
    <row r="40" ht="16.5" customHeight="1">
      <c r="A40" s="133" t="s">
        <v>655</v>
      </c>
      <c r="B40" s="18" t="s">
        <v>243</v>
      </c>
      <c r="C40" s="52" t="s">
        <v>656</v>
      </c>
      <c r="D40" s="40" t="s">
        <v>153</v>
      </c>
      <c r="E40" s="40" t="s">
        <v>660</v>
      </c>
      <c r="F40" s="162" t="s">
        <v>661</v>
      </c>
      <c r="G40" s="59" t="s">
        <v>664</v>
      </c>
      <c r="H40" s="61" t="s">
        <v>667</v>
      </c>
      <c r="I40" s="62" t="s">
        <v>559</v>
      </c>
      <c r="J40" s="62">
        <v>64.0</v>
      </c>
      <c r="K40" s="64" t="s">
        <v>671</v>
      </c>
      <c r="L40" s="64" t="s">
        <v>188</v>
      </c>
      <c r="M40" s="65">
        <v>1.03694504E8</v>
      </c>
      <c r="N40" s="65">
        <v>1620226.625</v>
      </c>
      <c r="O40" s="65">
        <v>176521.5</v>
      </c>
      <c r="P40" s="65" t="s">
        <v>189</v>
      </c>
      <c r="Q40" s="64" t="s">
        <v>141</v>
      </c>
      <c r="R40" s="68" t="s">
        <v>120</v>
      </c>
      <c r="S40" s="77" t="s">
        <v>673</v>
      </c>
      <c r="T40" s="40" t="s">
        <v>674</v>
      </c>
      <c r="U40" s="115" t="s">
        <v>675</v>
      </c>
      <c r="V40" s="27"/>
    </row>
    <row r="41" ht="16.5" customHeight="1">
      <c r="A41" s="165" t="s">
        <v>676</v>
      </c>
      <c r="B41" s="89" t="s">
        <v>678</v>
      </c>
      <c r="C41" s="52" t="s">
        <v>679</v>
      </c>
      <c r="D41" s="40" t="s">
        <v>153</v>
      </c>
      <c r="E41" s="52" t="s">
        <v>681</v>
      </c>
      <c r="F41" s="129" t="s">
        <v>153</v>
      </c>
      <c r="G41" s="166" t="s">
        <v>683</v>
      </c>
      <c r="H41" s="61" t="s">
        <v>691</v>
      </c>
      <c r="I41" s="62" t="s">
        <v>692</v>
      </c>
      <c r="J41" s="63" t="s">
        <v>693</v>
      </c>
      <c r="K41" s="62" t="s">
        <v>375</v>
      </c>
      <c r="L41" s="62" t="s">
        <v>297</v>
      </c>
      <c r="M41" s="65">
        <v>8.4191238E7</v>
      </c>
      <c r="N41" s="65">
        <v>647624.907692307</v>
      </c>
      <c r="O41" s="65">
        <v>115223.5</v>
      </c>
      <c r="P41" s="64" t="s">
        <v>189</v>
      </c>
      <c r="Q41" s="64" t="s">
        <v>141</v>
      </c>
      <c r="R41" s="68" t="s">
        <v>116</v>
      </c>
      <c r="S41" s="40" t="s">
        <v>695</v>
      </c>
      <c r="T41" s="40" t="s">
        <v>696</v>
      </c>
      <c r="U41" s="76" t="s">
        <v>698</v>
      </c>
      <c r="V41" s="27"/>
    </row>
    <row r="42" ht="16.5" customHeight="1">
      <c r="A42" s="170" t="s">
        <v>699</v>
      </c>
      <c r="B42" s="40" t="s">
        <v>243</v>
      </c>
      <c r="C42" s="173" t="s">
        <v>700</v>
      </c>
      <c r="D42" s="119" t="s">
        <v>153</v>
      </c>
      <c r="E42" s="173" t="s">
        <v>701</v>
      </c>
      <c r="F42" s="101" t="s">
        <v>704</v>
      </c>
      <c r="G42" s="101" t="s">
        <v>706</v>
      </c>
      <c r="H42" s="155" t="s">
        <v>710</v>
      </c>
      <c r="I42" s="62" t="s">
        <v>712</v>
      </c>
      <c r="J42" s="62">
        <v>36.0</v>
      </c>
      <c r="K42" s="62" t="s">
        <v>713</v>
      </c>
      <c r="L42" s="62" t="s">
        <v>715</v>
      </c>
      <c r="M42" s="80">
        <v>2.93393866E8</v>
      </c>
      <c r="N42" s="80">
        <v>8149829.61111111</v>
      </c>
      <c r="O42" s="80">
        <v>100667.0</v>
      </c>
      <c r="P42" s="65" t="s">
        <v>189</v>
      </c>
      <c r="Q42" s="64" t="s">
        <v>141</v>
      </c>
      <c r="R42" s="68" t="s">
        <v>116</v>
      </c>
      <c r="S42" s="64" t="s">
        <v>718</v>
      </c>
      <c r="T42" s="68" t="s">
        <v>719</v>
      </c>
      <c r="U42" s="90" t="s">
        <v>720</v>
      </c>
      <c r="V42" s="27"/>
      <c r="W42" s="27"/>
      <c r="X42" s="27"/>
      <c r="Y42" s="27"/>
      <c r="Z42" s="27"/>
      <c r="AA42" s="27"/>
      <c r="AB42" s="27"/>
      <c r="AC42" s="27"/>
      <c r="AD42" s="27"/>
      <c r="AE42" s="27"/>
      <c r="AF42" s="27"/>
      <c r="AG42" s="27"/>
      <c r="AH42" s="27"/>
      <c r="AI42" s="27"/>
      <c r="AJ42" s="27"/>
      <c r="AK42" s="27"/>
      <c r="AL42" s="27"/>
      <c r="AM42" s="27"/>
      <c r="AN42" s="27"/>
    </row>
    <row r="43" ht="16.5" customHeight="1">
      <c r="A43" s="70" t="s">
        <v>721</v>
      </c>
      <c r="B43" s="40" t="s">
        <v>243</v>
      </c>
      <c r="C43" s="52" t="s">
        <v>722</v>
      </c>
      <c r="D43" s="40" t="s">
        <v>153</v>
      </c>
      <c r="E43" s="52" t="s">
        <v>724</v>
      </c>
      <c r="F43" s="59" t="s">
        <v>727</v>
      </c>
      <c r="G43" s="52" t="s">
        <v>730</v>
      </c>
      <c r="H43" s="61" t="s">
        <v>733</v>
      </c>
      <c r="I43" s="62" t="s">
        <v>735</v>
      </c>
      <c r="J43" s="62">
        <v>111.0</v>
      </c>
      <c r="K43" s="64" t="s">
        <v>736</v>
      </c>
      <c r="L43" s="64" t="s">
        <v>188</v>
      </c>
      <c r="M43" s="65">
        <v>1.51145954E8</v>
      </c>
      <c r="N43" s="65">
        <v>1361675.26126126</v>
      </c>
      <c r="O43" s="65">
        <v>95669.0</v>
      </c>
      <c r="P43" s="65" t="s">
        <v>189</v>
      </c>
      <c r="Q43" s="64" t="s">
        <v>141</v>
      </c>
      <c r="R43" s="68" t="s">
        <v>120</v>
      </c>
      <c r="S43" s="40" t="s">
        <v>739</v>
      </c>
      <c r="T43" s="40" t="s">
        <v>740</v>
      </c>
      <c r="U43" s="76" t="s">
        <v>741</v>
      </c>
    </row>
    <row r="44" ht="16.5" customHeight="1">
      <c r="A44" s="99" t="s">
        <v>742</v>
      </c>
      <c r="B44" s="68" t="s">
        <v>243</v>
      </c>
      <c r="C44" s="101" t="s">
        <v>743</v>
      </c>
      <c r="D44" s="68" t="s">
        <v>153</v>
      </c>
      <c r="E44" s="68" t="s">
        <v>745</v>
      </c>
      <c r="F44" s="101" t="s">
        <v>747</v>
      </c>
      <c r="G44" s="101" t="s">
        <v>748</v>
      </c>
      <c r="H44" s="61" t="s">
        <v>751</v>
      </c>
      <c r="I44" s="62" t="s">
        <v>752</v>
      </c>
      <c r="J44" s="62">
        <v>78.0</v>
      </c>
      <c r="K44" s="64" t="s">
        <v>753</v>
      </c>
      <c r="L44" s="64" t="s">
        <v>188</v>
      </c>
      <c r="M44" s="65">
        <v>5.3596669E7</v>
      </c>
      <c r="N44" s="65">
        <v>687136.782051282</v>
      </c>
      <c r="O44" s="65">
        <v>55523.0</v>
      </c>
      <c r="P44" s="65" t="s">
        <v>189</v>
      </c>
      <c r="Q44" s="64" t="s">
        <v>141</v>
      </c>
      <c r="R44" s="68" t="s">
        <v>197</v>
      </c>
      <c r="S44" s="64" t="s">
        <v>756</v>
      </c>
      <c r="T44" s="68" t="s">
        <v>757</v>
      </c>
      <c r="U44" s="179" t="s">
        <v>758</v>
      </c>
      <c r="V44" s="122"/>
      <c r="W44" s="122"/>
      <c r="X44" s="122"/>
      <c r="Y44" s="122"/>
      <c r="Z44" s="27"/>
      <c r="AA44" s="27"/>
      <c r="AB44" s="27"/>
      <c r="AC44" s="27"/>
      <c r="AD44" s="27"/>
      <c r="AE44" s="27"/>
      <c r="AF44" s="27"/>
      <c r="AG44" s="27"/>
      <c r="AH44" s="27"/>
      <c r="AI44" s="27"/>
      <c r="AJ44" s="27"/>
      <c r="AK44" s="27"/>
      <c r="AL44" s="27"/>
      <c r="AM44" s="27"/>
      <c r="AN44" s="27"/>
    </row>
    <row r="45" ht="16.5" customHeight="1">
      <c r="A45" s="99" t="s">
        <v>759</v>
      </c>
      <c r="B45" s="68" t="s">
        <v>760</v>
      </c>
      <c r="C45" s="180" t="s">
        <v>762</v>
      </c>
      <c r="D45" s="64" t="s">
        <v>153</v>
      </c>
      <c r="E45" s="68" t="s">
        <v>766</v>
      </c>
      <c r="F45" s="83" t="s">
        <v>197</v>
      </c>
      <c r="G45" s="101" t="s">
        <v>767</v>
      </c>
      <c r="H45" s="61" t="s">
        <v>769</v>
      </c>
      <c r="I45" s="62" t="s">
        <v>770</v>
      </c>
      <c r="J45" s="62">
        <v>123.0</v>
      </c>
      <c r="K45" s="64" t="s">
        <v>772</v>
      </c>
      <c r="L45" s="64" t="s">
        <v>773</v>
      </c>
      <c r="M45" s="65">
        <v>5.0840972E7</v>
      </c>
      <c r="N45" s="65">
        <v>413341.235772357</v>
      </c>
      <c r="O45" s="65">
        <v>48398.0</v>
      </c>
      <c r="P45" s="65" t="s">
        <v>189</v>
      </c>
      <c r="Q45" s="64" t="s">
        <v>141</v>
      </c>
      <c r="R45" s="68" t="s">
        <v>197</v>
      </c>
      <c r="S45" s="64" t="s">
        <v>775</v>
      </c>
      <c r="T45" s="68" t="s">
        <v>776</v>
      </c>
      <c r="U45" s="90" t="s">
        <v>153</v>
      </c>
      <c r="V45" s="122"/>
      <c r="W45" s="122"/>
      <c r="X45" s="122"/>
      <c r="Y45" s="122"/>
      <c r="Z45" s="27"/>
      <c r="AA45" s="27"/>
      <c r="AB45" s="27"/>
      <c r="AC45" s="27"/>
      <c r="AD45" s="27"/>
      <c r="AE45" s="27"/>
      <c r="AF45" s="27"/>
      <c r="AG45" s="27"/>
      <c r="AH45" s="27"/>
      <c r="AI45" s="27"/>
      <c r="AJ45" s="27"/>
      <c r="AK45" s="27"/>
      <c r="AL45" s="27"/>
      <c r="AM45" s="27"/>
      <c r="AN45" s="27"/>
    </row>
    <row r="46" ht="16.5" customHeight="1">
      <c r="A46" s="100" t="s">
        <v>777</v>
      </c>
      <c r="B46" s="18" t="s">
        <v>778</v>
      </c>
      <c r="C46" s="162" t="s">
        <v>779</v>
      </c>
      <c r="D46" s="22"/>
      <c r="E46" s="22"/>
      <c r="F46" s="181" t="s">
        <v>197</v>
      </c>
      <c r="G46" s="52" t="s">
        <v>782</v>
      </c>
      <c r="H46" s="55" t="s">
        <v>785</v>
      </c>
      <c r="I46" s="62" t="s">
        <v>788</v>
      </c>
      <c r="J46" s="62">
        <v>73.0</v>
      </c>
      <c r="K46" s="62" t="s">
        <v>789</v>
      </c>
      <c r="L46" s="62" t="s">
        <v>188</v>
      </c>
      <c r="M46" s="182">
        <v>5.4804424E7</v>
      </c>
      <c r="N46" s="182">
        <v>750745.534246575</v>
      </c>
      <c r="O46" s="182">
        <v>48025.0</v>
      </c>
      <c r="P46" s="65" t="s">
        <v>189</v>
      </c>
      <c r="Q46" s="183" t="s">
        <v>141</v>
      </c>
      <c r="R46" s="68" t="s">
        <v>118</v>
      </c>
      <c r="S46" s="18" t="s">
        <v>790</v>
      </c>
      <c r="T46" s="18" t="s">
        <v>791</v>
      </c>
      <c r="U46" s="76" t="s">
        <v>792</v>
      </c>
    </row>
    <row r="47" ht="16.5" customHeight="1">
      <c r="A47" s="82" t="s">
        <v>793</v>
      </c>
      <c r="B47" s="83" t="s">
        <v>218</v>
      </c>
      <c r="C47" s="52" t="s">
        <v>794</v>
      </c>
      <c r="D47" s="55" t="s">
        <v>795</v>
      </c>
      <c r="E47" s="40" t="s">
        <v>796</v>
      </c>
      <c r="F47" s="86" t="s">
        <v>197</v>
      </c>
      <c r="G47" s="52" t="s">
        <v>797</v>
      </c>
      <c r="H47" s="61" t="s">
        <v>798</v>
      </c>
      <c r="I47" s="62" t="s">
        <v>799</v>
      </c>
      <c r="J47" s="63" t="s">
        <v>800</v>
      </c>
      <c r="K47" s="64" t="s">
        <v>801</v>
      </c>
      <c r="L47" s="64" t="s">
        <v>188</v>
      </c>
      <c r="M47" s="65">
        <v>3.28469908E8</v>
      </c>
      <c r="N47" s="65">
        <v>933153.147727272</v>
      </c>
      <c r="O47" s="65">
        <v>29025.0</v>
      </c>
      <c r="P47" s="66" t="s">
        <v>189</v>
      </c>
      <c r="Q47" s="64" t="s">
        <v>141</v>
      </c>
      <c r="R47" s="68" t="s">
        <v>197</v>
      </c>
      <c r="S47" s="40" t="s">
        <v>802</v>
      </c>
      <c r="T47" s="40" t="s">
        <v>803</v>
      </c>
      <c r="U47" s="76" t="s">
        <v>804</v>
      </c>
      <c r="V47" s="27"/>
    </row>
    <row r="48" ht="16.5" customHeight="1">
      <c r="A48" s="184"/>
      <c r="B48" s="40"/>
      <c r="C48" s="18"/>
      <c r="D48" s="18"/>
      <c r="E48" s="18"/>
      <c r="F48" s="40"/>
      <c r="G48" s="40"/>
      <c r="H48" s="40"/>
      <c r="I48" s="43"/>
      <c r="J48" s="43"/>
      <c r="K48" s="43"/>
      <c r="L48" s="43"/>
      <c r="M48" s="44"/>
      <c r="N48" s="44"/>
      <c r="O48" s="44"/>
      <c r="P48" s="42"/>
      <c r="Q48" s="42"/>
      <c r="R48" s="27"/>
      <c r="S48" s="22"/>
      <c r="T48" s="40"/>
      <c r="U48" s="76"/>
    </row>
    <row r="49" ht="16.5" customHeight="1">
      <c r="A49" s="30" t="s">
        <v>805</v>
      </c>
      <c r="B49" s="32"/>
      <c r="C49" s="33"/>
      <c r="D49" s="32"/>
      <c r="E49" s="32"/>
      <c r="F49" s="32"/>
      <c r="G49" s="32"/>
      <c r="H49" s="32"/>
      <c r="I49" s="185"/>
      <c r="J49" s="185"/>
      <c r="K49" s="185"/>
      <c r="L49" s="185"/>
      <c r="M49" s="186"/>
      <c r="N49" s="186"/>
      <c r="O49" s="186"/>
      <c r="P49" s="187"/>
      <c r="Q49" s="36"/>
      <c r="R49" s="36"/>
      <c r="S49" s="32"/>
      <c r="T49" s="32"/>
      <c r="U49" s="38"/>
    </row>
    <row r="50" ht="16.5" customHeight="1">
      <c r="A50" s="184"/>
      <c r="B50" s="40"/>
      <c r="C50" s="18"/>
      <c r="D50" s="18"/>
      <c r="E50" s="18"/>
      <c r="F50" s="40"/>
      <c r="G50" s="40"/>
      <c r="H50" s="101"/>
      <c r="I50" s="43"/>
      <c r="J50" s="43"/>
      <c r="K50" s="62"/>
      <c r="L50" s="62"/>
      <c r="M50" s="44"/>
      <c r="N50" s="44"/>
      <c r="O50" s="44"/>
      <c r="P50" s="42"/>
      <c r="Q50" s="42"/>
      <c r="R50" s="27"/>
      <c r="S50" s="22"/>
      <c r="T50" s="40"/>
      <c r="U50" s="76"/>
    </row>
    <row r="51" ht="16.5" customHeight="1">
      <c r="A51" s="188" t="s">
        <v>806</v>
      </c>
      <c r="B51" s="18" t="s">
        <v>469</v>
      </c>
      <c r="C51" s="55" t="s">
        <v>807</v>
      </c>
      <c r="D51" s="40" t="s">
        <v>153</v>
      </c>
      <c r="E51" s="55" t="s">
        <v>808</v>
      </c>
      <c r="F51" s="18" t="s">
        <v>197</v>
      </c>
      <c r="G51" s="55" t="s">
        <v>809</v>
      </c>
      <c r="H51" s="61" t="s">
        <v>810</v>
      </c>
      <c r="I51" s="62" t="s">
        <v>213</v>
      </c>
      <c r="J51" s="62">
        <v>15.0</v>
      </c>
      <c r="K51" s="64" t="s">
        <v>789</v>
      </c>
      <c r="L51" s="64" t="s">
        <v>285</v>
      </c>
      <c r="M51" s="65">
        <v>6120165.0</v>
      </c>
      <c r="N51" s="65">
        <v>3060082.5</v>
      </c>
      <c r="O51" s="65">
        <v>3060082.5</v>
      </c>
      <c r="P51" s="65" t="s">
        <v>811</v>
      </c>
      <c r="Q51" s="64" t="s">
        <v>812</v>
      </c>
      <c r="R51" s="68" t="s">
        <v>120</v>
      </c>
      <c r="S51" s="40" t="s">
        <v>813</v>
      </c>
      <c r="T51" s="40" t="s">
        <v>814</v>
      </c>
      <c r="U51" s="69" t="s">
        <v>815</v>
      </c>
      <c r="V51" s="189"/>
    </row>
    <row r="52" ht="16.5" customHeight="1">
      <c r="A52" s="82" t="s">
        <v>816</v>
      </c>
      <c r="B52" s="40" t="s">
        <v>218</v>
      </c>
      <c r="C52" s="52" t="s">
        <v>817</v>
      </c>
      <c r="D52" s="40" t="s">
        <v>153</v>
      </c>
      <c r="E52" s="52" t="s">
        <v>818</v>
      </c>
      <c r="F52" s="52" t="s">
        <v>819</v>
      </c>
      <c r="G52" s="59" t="s">
        <v>820</v>
      </c>
      <c r="H52" s="61" t="s">
        <v>821</v>
      </c>
      <c r="I52" s="62" t="s">
        <v>386</v>
      </c>
      <c r="J52" s="62">
        <v>4.0</v>
      </c>
      <c r="K52" s="64" t="s">
        <v>822</v>
      </c>
      <c r="L52" s="64" t="s">
        <v>203</v>
      </c>
      <c r="M52" s="65">
        <v>1.7801756E7</v>
      </c>
      <c r="N52" s="65">
        <v>4450439.0</v>
      </c>
      <c r="O52" s="65">
        <v>1880678.0</v>
      </c>
      <c r="P52" s="65" t="s">
        <v>811</v>
      </c>
      <c r="Q52" s="64" t="s">
        <v>812</v>
      </c>
      <c r="R52" s="68" t="s">
        <v>116</v>
      </c>
      <c r="S52" s="77" t="s">
        <v>823</v>
      </c>
      <c r="T52" s="40" t="s">
        <v>824</v>
      </c>
      <c r="U52" s="76" t="s">
        <v>825</v>
      </c>
    </row>
    <row r="53" ht="16.5" customHeight="1">
      <c r="A53" s="170" t="s">
        <v>826</v>
      </c>
      <c r="B53" s="40" t="s">
        <v>469</v>
      </c>
      <c r="C53" s="173" t="s">
        <v>827</v>
      </c>
      <c r="D53" s="42"/>
      <c r="E53" s="42"/>
      <c r="F53" s="173" t="s">
        <v>828</v>
      </c>
      <c r="G53" s="173" t="s">
        <v>829</v>
      </c>
      <c r="H53" s="103" t="s">
        <v>830</v>
      </c>
      <c r="I53" s="62" t="s">
        <v>770</v>
      </c>
      <c r="J53" s="62">
        <v>9.0</v>
      </c>
      <c r="K53" s="62" t="s">
        <v>831</v>
      </c>
      <c r="L53" s="62" t="s">
        <v>139</v>
      </c>
      <c r="M53" s="65">
        <v>2.5842772E7</v>
      </c>
      <c r="N53" s="65">
        <v>2871419.11111111</v>
      </c>
      <c r="O53" s="65">
        <v>1928557.0</v>
      </c>
      <c r="P53" s="64" t="s">
        <v>811</v>
      </c>
      <c r="Q53" s="64" t="s">
        <v>812</v>
      </c>
      <c r="R53" s="68" t="s">
        <v>118</v>
      </c>
      <c r="S53" s="102" t="s">
        <v>832</v>
      </c>
      <c r="T53" s="119" t="s">
        <v>833</v>
      </c>
      <c r="U53" s="179" t="s">
        <v>834</v>
      </c>
      <c r="V53" s="27"/>
      <c r="W53" s="27"/>
      <c r="X53" s="27"/>
      <c r="Y53" s="27"/>
      <c r="Z53" s="27"/>
      <c r="AA53" s="27"/>
      <c r="AB53" s="27"/>
      <c r="AC53" s="27"/>
      <c r="AD53" s="27"/>
      <c r="AE53" s="27"/>
      <c r="AF53" s="27"/>
      <c r="AG53" s="27"/>
      <c r="AH53" s="27"/>
      <c r="AI53" s="27"/>
      <c r="AJ53" s="27"/>
      <c r="AK53" s="27"/>
      <c r="AL53" s="27"/>
      <c r="AM53" s="27"/>
      <c r="AN53" s="27"/>
    </row>
    <row r="54" ht="16.5" customHeight="1">
      <c r="A54" s="88" t="s">
        <v>835</v>
      </c>
      <c r="B54" s="18" t="s">
        <v>179</v>
      </c>
      <c r="C54" s="71" t="s">
        <v>836</v>
      </c>
      <c r="D54" s="64" t="s">
        <v>153</v>
      </c>
      <c r="E54" s="71" t="s">
        <v>837</v>
      </c>
      <c r="F54" s="162" t="s">
        <v>838</v>
      </c>
      <c r="G54" s="71" t="s">
        <v>839</v>
      </c>
      <c r="H54" s="190" t="s">
        <v>840</v>
      </c>
      <c r="I54" s="62" t="s">
        <v>307</v>
      </c>
      <c r="J54" s="62">
        <v>4.0</v>
      </c>
      <c r="K54" s="62" t="s">
        <v>841</v>
      </c>
      <c r="L54" s="62" t="s">
        <v>285</v>
      </c>
      <c r="M54" s="65">
        <v>9309438.0</v>
      </c>
      <c r="N54" s="65">
        <v>2327359.5</v>
      </c>
      <c r="O54" s="65">
        <v>1628584.5</v>
      </c>
      <c r="P54" s="64" t="s">
        <v>811</v>
      </c>
      <c r="Q54" s="64" t="s">
        <v>812</v>
      </c>
      <c r="R54" s="68" t="s">
        <v>197</v>
      </c>
      <c r="S54" s="64" t="s">
        <v>842</v>
      </c>
      <c r="T54" s="64" t="s">
        <v>843</v>
      </c>
      <c r="U54" s="90" t="s">
        <v>844</v>
      </c>
      <c r="V54" s="191"/>
      <c r="W54" s="191"/>
      <c r="X54" s="191"/>
      <c r="Y54" s="191"/>
      <c r="Z54" s="191"/>
      <c r="AA54" s="191"/>
      <c r="AB54" s="191"/>
      <c r="AC54" s="191"/>
      <c r="AD54" s="191"/>
      <c r="AE54" s="191"/>
      <c r="AF54" s="191"/>
      <c r="AG54" s="191"/>
      <c r="AH54" s="191"/>
      <c r="AI54" s="191"/>
      <c r="AJ54" s="191"/>
      <c r="AK54" s="191"/>
      <c r="AL54" s="191"/>
      <c r="AM54" s="191"/>
      <c r="AN54" s="191"/>
    </row>
    <row r="55" ht="16.5" customHeight="1">
      <c r="A55" s="88" t="s">
        <v>845</v>
      </c>
      <c r="B55" s="18" t="s">
        <v>846</v>
      </c>
      <c r="C55" s="190" t="s">
        <v>847</v>
      </c>
      <c r="D55" s="64" t="s">
        <v>153</v>
      </c>
      <c r="E55" s="190" t="s">
        <v>848</v>
      </c>
      <c r="F55" s="71" t="s">
        <v>849</v>
      </c>
      <c r="G55" s="192" t="s">
        <v>850</v>
      </c>
      <c r="H55" s="190" t="s">
        <v>851</v>
      </c>
      <c r="I55" s="62">
        <v>136.0</v>
      </c>
      <c r="J55" s="62">
        <v>4.0</v>
      </c>
      <c r="K55" s="64" t="s">
        <v>852</v>
      </c>
      <c r="L55" s="62" t="s">
        <v>853</v>
      </c>
      <c r="M55" s="65">
        <v>8293217.0</v>
      </c>
      <c r="N55" s="65">
        <v>2073304.25</v>
      </c>
      <c r="O55" s="65">
        <v>1547057.5</v>
      </c>
      <c r="P55" s="66" t="s">
        <v>811</v>
      </c>
      <c r="Q55" s="64" t="s">
        <v>812</v>
      </c>
      <c r="R55" s="68" t="s">
        <v>197</v>
      </c>
      <c r="S55" s="64" t="s">
        <v>854</v>
      </c>
      <c r="T55" s="64" t="s">
        <v>855</v>
      </c>
      <c r="U55" s="90" t="s">
        <v>856</v>
      </c>
      <c r="V55" s="122"/>
      <c r="W55" s="122"/>
      <c r="X55" s="122"/>
      <c r="Y55" s="122"/>
      <c r="Z55" s="122"/>
      <c r="AA55" s="122"/>
      <c r="AB55" s="122"/>
      <c r="AC55" s="122"/>
      <c r="AD55" s="122"/>
      <c r="AE55" s="122"/>
      <c r="AF55" s="122"/>
      <c r="AG55" s="122"/>
      <c r="AH55" s="122"/>
      <c r="AI55" s="122"/>
      <c r="AJ55" s="122"/>
      <c r="AK55" s="122"/>
      <c r="AL55" s="122"/>
      <c r="AM55" s="122"/>
      <c r="AN55" s="122"/>
    </row>
    <row r="56" ht="16.5" customHeight="1">
      <c r="A56" s="100" t="s">
        <v>857</v>
      </c>
      <c r="B56" s="18" t="s">
        <v>858</v>
      </c>
      <c r="C56" s="162" t="s">
        <v>859</v>
      </c>
      <c r="D56" s="22"/>
      <c r="E56" s="162" t="s">
        <v>860</v>
      </c>
      <c r="F56" s="181" t="s">
        <v>197</v>
      </c>
      <c r="G56" s="52" t="s">
        <v>861</v>
      </c>
      <c r="H56" s="55" t="s">
        <v>862</v>
      </c>
      <c r="I56" s="62" t="s">
        <v>863</v>
      </c>
      <c r="J56" s="62">
        <v>11.0</v>
      </c>
      <c r="K56" s="62" t="s">
        <v>864</v>
      </c>
      <c r="L56" s="62" t="s">
        <v>285</v>
      </c>
      <c r="M56" s="182">
        <v>3.7614224E7</v>
      </c>
      <c r="N56" s="182">
        <v>3419474.9090909</v>
      </c>
      <c r="O56" s="182">
        <v>1285393.0</v>
      </c>
      <c r="P56" s="65" t="s">
        <v>811</v>
      </c>
      <c r="Q56" s="183" t="s">
        <v>812</v>
      </c>
      <c r="R56" s="68" t="s">
        <v>197</v>
      </c>
      <c r="S56" s="18" t="s">
        <v>865</v>
      </c>
      <c r="T56" s="18"/>
      <c r="U56" s="76" t="s">
        <v>866</v>
      </c>
    </row>
    <row r="57" ht="16.5" customHeight="1">
      <c r="A57" s="82" t="s">
        <v>867</v>
      </c>
      <c r="B57" s="40" t="s">
        <v>194</v>
      </c>
      <c r="C57" s="55" t="s">
        <v>868</v>
      </c>
      <c r="D57" s="40" t="s">
        <v>153</v>
      </c>
      <c r="E57" s="40" t="s">
        <v>869</v>
      </c>
      <c r="F57" s="52" t="s">
        <v>870</v>
      </c>
      <c r="G57" s="59" t="s">
        <v>872</v>
      </c>
      <c r="H57" s="61" t="s">
        <v>873</v>
      </c>
      <c r="I57" s="62" t="s">
        <v>482</v>
      </c>
      <c r="J57" s="62">
        <v>7.0</v>
      </c>
      <c r="K57" s="64" t="s">
        <v>874</v>
      </c>
      <c r="L57" s="64" t="s">
        <v>875</v>
      </c>
      <c r="M57" s="65">
        <v>3.18374E7</v>
      </c>
      <c r="N57" s="65">
        <v>4548200.0</v>
      </c>
      <c r="O57" s="65">
        <v>877741.0</v>
      </c>
      <c r="P57" s="65" t="s">
        <v>811</v>
      </c>
      <c r="Q57" s="64" t="s">
        <v>812</v>
      </c>
      <c r="R57" s="68" t="s">
        <v>116</v>
      </c>
      <c r="S57" s="77" t="s">
        <v>876</v>
      </c>
      <c r="T57" s="40" t="s">
        <v>877</v>
      </c>
      <c r="U57" s="76" t="s">
        <v>878</v>
      </c>
    </row>
    <row r="58" ht="16.5" customHeight="1">
      <c r="A58" s="82" t="s">
        <v>879</v>
      </c>
      <c r="B58" s="40" t="s">
        <v>218</v>
      </c>
      <c r="C58" s="52" t="s">
        <v>880</v>
      </c>
      <c r="D58" s="40" t="s">
        <v>153</v>
      </c>
      <c r="E58" s="52" t="s">
        <v>881</v>
      </c>
      <c r="F58" s="181" t="s">
        <v>197</v>
      </c>
      <c r="G58" s="59" t="s">
        <v>882</v>
      </c>
      <c r="H58" s="61" t="s">
        <v>883</v>
      </c>
      <c r="I58" s="62" t="s">
        <v>283</v>
      </c>
      <c r="J58" s="62">
        <v>5.0</v>
      </c>
      <c r="K58" s="64" t="s">
        <v>671</v>
      </c>
      <c r="L58" s="64" t="s">
        <v>884</v>
      </c>
      <c r="M58" s="65">
        <v>6382384.0</v>
      </c>
      <c r="N58" s="65">
        <v>1276476.8</v>
      </c>
      <c r="O58" s="65">
        <v>779725.0</v>
      </c>
      <c r="P58" s="65" t="s">
        <v>811</v>
      </c>
      <c r="Q58" s="64" t="s">
        <v>812</v>
      </c>
      <c r="R58" s="68" t="s">
        <v>118</v>
      </c>
      <c r="S58" s="25" t="s">
        <v>885</v>
      </c>
      <c r="T58" s="40" t="s">
        <v>886</v>
      </c>
      <c r="U58" s="115" t="s">
        <v>887</v>
      </c>
      <c r="V58" s="96"/>
    </row>
    <row r="59" ht="16.5" customHeight="1">
      <c r="A59" s="133" t="s">
        <v>888</v>
      </c>
      <c r="B59" s="18" t="s">
        <v>267</v>
      </c>
      <c r="C59" s="55" t="s">
        <v>889</v>
      </c>
      <c r="D59" s="55" t="s">
        <v>890</v>
      </c>
      <c r="E59" s="40" t="s">
        <v>891</v>
      </c>
      <c r="F59" s="71" t="s">
        <v>892</v>
      </c>
      <c r="G59" s="193" t="s">
        <v>893</v>
      </c>
      <c r="H59" s="61" t="s">
        <v>894</v>
      </c>
      <c r="I59" s="62" t="s">
        <v>895</v>
      </c>
      <c r="J59" s="62">
        <v>10.0</v>
      </c>
      <c r="K59" s="64" t="s">
        <v>896</v>
      </c>
      <c r="L59" s="64" t="s">
        <v>897</v>
      </c>
      <c r="M59" s="65">
        <v>3.409919E7</v>
      </c>
      <c r="N59" s="65">
        <v>3409919.0</v>
      </c>
      <c r="O59" s="65">
        <v>747707.5</v>
      </c>
      <c r="P59" s="65" t="s">
        <v>811</v>
      </c>
      <c r="Q59" s="64" t="s">
        <v>812</v>
      </c>
      <c r="R59" s="68" t="s">
        <v>120</v>
      </c>
      <c r="S59" s="25" t="s">
        <v>898</v>
      </c>
      <c r="T59" s="40" t="s">
        <v>899</v>
      </c>
      <c r="U59" s="146" t="s">
        <v>900</v>
      </c>
      <c r="V59" s="27"/>
    </row>
    <row r="60" ht="16.5" customHeight="1">
      <c r="A60" s="88" t="s">
        <v>901</v>
      </c>
      <c r="B60" s="18" t="s">
        <v>902</v>
      </c>
      <c r="C60" s="139" t="s">
        <v>903</v>
      </c>
      <c r="D60" s="121" t="s">
        <v>153</v>
      </c>
      <c r="E60" s="64" t="s">
        <v>904</v>
      </c>
      <c r="F60" s="71" t="s">
        <v>602</v>
      </c>
      <c r="G60" s="192" t="s">
        <v>905</v>
      </c>
      <c r="H60" s="190" t="s">
        <v>906</v>
      </c>
      <c r="I60" s="62" t="s">
        <v>907</v>
      </c>
      <c r="J60" s="62">
        <v>7.0</v>
      </c>
      <c r="K60" s="64" t="s">
        <v>908</v>
      </c>
      <c r="L60" s="64" t="s">
        <v>249</v>
      </c>
      <c r="M60" s="65">
        <v>1.1822058E7</v>
      </c>
      <c r="N60" s="65">
        <v>1688865.42857142</v>
      </c>
      <c r="O60" s="65">
        <v>726484.0</v>
      </c>
      <c r="P60" s="65" t="s">
        <v>811</v>
      </c>
      <c r="Q60" s="64" t="s">
        <v>812</v>
      </c>
      <c r="R60" s="122" t="s">
        <v>197</v>
      </c>
      <c r="S60" s="64" t="s">
        <v>910</v>
      </c>
      <c r="T60" s="122" t="s">
        <v>911</v>
      </c>
      <c r="U60" s="90" t="s">
        <v>912</v>
      </c>
      <c r="V60" s="27"/>
      <c r="W60" s="27"/>
      <c r="X60" s="27"/>
      <c r="Y60" s="27"/>
      <c r="Z60" s="27"/>
      <c r="AA60" s="27"/>
      <c r="AB60" s="27"/>
      <c r="AC60" s="27"/>
      <c r="AD60" s="27"/>
      <c r="AE60" s="27"/>
      <c r="AF60" s="27"/>
      <c r="AG60" s="27"/>
      <c r="AH60" s="27"/>
      <c r="AI60" s="27"/>
      <c r="AJ60" s="27"/>
      <c r="AK60" s="27"/>
      <c r="AL60" s="27"/>
      <c r="AM60" s="27"/>
      <c r="AN60" s="27"/>
    </row>
    <row r="61" ht="16.5" customHeight="1">
      <c r="A61" s="70" t="s">
        <v>914</v>
      </c>
      <c r="B61" s="89" t="s">
        <v>60</v>
      </c>
      <c r="C61" s="55" t="s">
        <v>915</v>
      </c>
      <c r="D61" s="86" t="s">
        <v>153</v>
      </c>
      <c r="E61" s="52" t="s">
        <v>916</v>
      </c>
      <c r="F61" s="68" t="s">
        <v>197</v>
      </c>
      <c r="G61" s="52" t="s">
        <v>919</v>
      </c>
      <c r="H61" s="149" t="s">
        <v>921</v>
      </c>
      <c r="I61" s="62" t="s">
        <v>922</v>
      </c>
      <c r="J61" s="63" t="s">
        <v>923</v>
      </c>
      <c r="K61" s="64" t="s">
        <v>924</v>
      </c>
      <c r="L61" s="64" t="s">
        <v>203</v>
      </c>
      <c r="M61" s="65">
        <v>3.759496E7</v>
      </c>
      <c r="N61" s="65">
        <v>1566456.66666666</v>
      </c>
      <c r="O61" s="65">
        <v>691620.5</v>
      </c>
      <c r="P61" s="66" t="s">
        <v>811</v>
      </c>
      <c r="Q61" s="64" t="s">
        <v>812</v>
      </c>
      <c r="R61" s="68" t="s">
        <v>116</v>
      </c>
      <c r="S61" s="40" t="s">
        <v>925</v>
      </c>
      <c r="T61" s="40" t="s">
        <v>926</v>
      </c>
      <c r="U61" s="76" t="s">
        <v>927</v>
      </c>
    </row>
    <row r="62" ht="16.5" customHeight="1">
      <c r="A62" s="45" t="s">
        <v>928</v>
      </c>
      <c r="B62" s="25" t="s">
        <v>469</v>
      </c>
      <c r="C62" s="52" t="s">
        <v>930</v>
      </c>
      <c r="D62" s="18" t="s">
        <v>153</v>
      </c>
      <c r="E62" s="40" t="s">
        <v>931</v>
      </c>
      <c r="F62" s="59" t="s">
        <v>932</v>
      </c>
      <c r="G62" s="162" t="s">
        <v>933</v>
      </c>
      <c r="H62" s="61" t="s">
        <v>934</v>
      </c>
      <c r="I62" s="62" t="s">
        <v>283</v>
      </c>
      <c r="J62" s="62">
        <v>4.0</v>
      </c>
      <c r="K62" s="64" t="s">
        <v>935</v>
      </c>
      <c r="L62" s="64" t="s">
        <v>365</v>
      </c>
      <c r="M62" s="65">
        <v>2.0545025E7</v>
      </c>
      <c r="N62" s="65">
        <v>5136256.25</v>
      </c>
      <c r="O62" s="65">
        <v>589855.0</v>
      </c>
      <c r="P62" s="65" t="s">
        <v>811</v>
      </c>
      <c r="Q62" s="64" t="s">
        <v>812</v>
      </c>
      <c r="R62" s="68" t="s">
        <v>120</v>
      </c>
      <c r="S62" s="18" t="s">
        <v>936</v>
      </c>
      <c r="T62" s="18" t="s">
        <v>937</v>
      </c>
      <c r="U62" s="115" t="s">
        <v>938</v>
      </c>
      <c r="V62" s="27"/>
    </row>
    <row r="63" ht="16.5" customHeight="1">
      <c r="A63" s="99" t="s">
        <v>939</v>
      </c>
      <c r="B63" s="119" t="s">
        <v>165</v>
      </c>
      <c r="C63" s="173" t="s">
        <v>940</v>
      </c>
      <c r="D63" s="121" t="s">
        <v>153</v>
      </c>
      <c r="E63" s="173" t="s">
        <v>941</v>
      </c>
      <c r="F63" s="195" t="s">
        <v>942</v>
      </c>
      <c r="G63" s="196" t="s">
        <v>943</v>
      </c>
      <c r="H63" s="61" t="s">
        <v>944</v>
      </c>
      <c r="I63" s="117" t="s">
        <v>945</v>
      </c>
      <c r="J63" s="117">
        <v>11.0</v>
      </c>
      <c r="K63" s="197" t="s">
        <v>946</v>
      </c>
      <c r="L63" s="197" t="s">
        <v>947</v>
      </c>
      <c r="M63" s="65">
        <v>1.3858114E7</v>
      </c>
      <c r="N63" s="65">
        <v>1259828.54545454</v>
      </c>
      <c r="O63" s="65">
        <v>566158.0</v>
      </c>
      <c r="P63" s="65" t="s">
        <v>811</v>
      </c>
      <c r="Q63" s="64" t="s">
        <v>812</v>
      </c>
      <c r="R63" s="68" t="s">
        <v>116</v>
      </c>
      <c r="S63" s="102" t="s">
        <v>948</v>
      </c>
      <c r="T63" s="119" t="s">
        <v>949</v>
      </c>
      <c r="U63" s="198" t="s">
        <v>950</v>
      </c>
      <c r="V63" s="27"/>
      <c r="W63" s="27"/>
      <c r="X63" s="27"/>
      <c r="Y63" s="27"/>
      <c r="AA63" s="27"/>
      <c r="AB63" s="27"/>
      <c r="AC63" s="27"/>
      <c r="AD63" s="27"/>
      <c r="AE63" s="27"/>
      <c r="AF63" s="27"/>
      <c r="AG63" s="27"/>
      <c r="AH63" s="27"/>
      <c r="AI63" s="27"/>
      <c r="AJ63" s="27"/>
      <c r="AK63" s="27"/>
      <c r="AL63" s="27"/>
      <c r="AM63" s="27"/>
      <c r="AN63" s="27"/>
    </row>
    <row r="64" ht="16.5" customHeight="1">
      <c r="A64" s="100" t="s">
        <v>951</v>
      </c>
      <c r="B64" s="18" t="s">
        <v>952</v>
      </c>
      <c r="C64" s="52" t="s">
        <v>953</v>
      </c>
      <c r="D64" s="18"/>
      <c r="E64" s="86" t="s">
        <v>954</v>
      </c>
      <c r="F64" s="52" t="s">
        <v>955</v>
      </c>
      <c r="G64" s="52" t="s">
        <v>956</v>
      </c>
      <c r="H64" s="71" t="s">
        <v>957</v>
      </c>
      <c r="I64" s="62" t="s">
        <v>863</v>
      </c>
      <c r="J64" s="62">
        <v>12.0</v>
      </c>
      <c r="K64" s="62" t="s">
        <v>841</v>
      </c>
      <c r="L64" s="62" t="s">
        <v>297</v>
      </c>
      <c r="M64" s="65">
        <v>3.4314129E7</v>
      </c>
      <c r="N64" s="65">
        <v>2859510.75</v>
      </c>
      <c r="O64" s="65">
        <v>543521.0</v>
      </c>
      <c r="P64" s="65" t="s">
        <v>811</v>
      </c>
      <c r="Q64" s="64" t="s">
        <v>812</v>
      </c>
      <c r="R64" s="68" t="s">
        <v>116</v>
      </c>
      <c r="S64" s="18" t="s">
        <v>958</v>
      </c>
      <c r="T64" s="18" t="s">
        <v>959</v>
      </c>
      <c r="U64" s="76" t="s">
        <v>960</v>
      </c>
    </row>
    <row r="65" ht="16.5" customHeight="1">
      <c r="A65" s="82" t="s">
        <v>961</v>
      </c>
      <c r="B65" s="40" t="s">
        <v>179</v>
      </c>
      <c r="C65" s="55" t="s">
        <v>962</v>
      </c>
      <c r="D65" s="40"/>
      <c r="E65" s="173" t="s">
        <v>963</v>
      </c>
      <c r="F65" s="52" t="s">
        <v>964</v>
      </c>
      <c r="G65" s="52" t="s">
        <v>965</v>
      </c>
      <c r="H65" s="84" t="s">
        <v>966</v>
      </c>
      <c r="I65" s="62" t="s">
        <v>294</v>
      </c>
      <c r="J65" s="62">
        <v>22.0</v>
      </c>
      <c r="K65" s="62" t="s">
        <v>967</v>
      </c>
      <c r="L65" s="62" t="s">
        <v>139</v>
      </c>
      <c r="M65" s="65">
        <v>1.5764833E7</v>
      </c>
      <c r="N65" s="65">
        <v>716583.318181818</v>
      </c>
      <c r="O65" s="65">
        <v>539707.0</v>
      </c>
      <c r="P65" s="62" t="s">
        <v>811</v>
      </c>
      <c r="Q65" s="18" t="s">
        <v>812</v>
      </c>
      <c r="R65" s="18" t="s">
        <v>197</v>
      </c>
      <c r="S65" s="40" t="s">
        <v>969</v>
      </c>
      <c r="T65" s="40" t="s">
        <v>970</v>
      </c>
      <c r="U65" s="146" t="s">
        <v>971</v>
      </c>
    </row>
    <row r="66" ht="16.5" customHeight="1">
      <c r="A66" s="133" t="s">
        <v>972</v>
      </c>
      <c r="B66" s="40" t="s">
        <v>179</v>
      </c>
      <c r="C66" s="199" t="s">
        <v>973</v>
      </c>
      <c r="D66" s="18" t="s">
        <v>153</v>
      </c>
      <c r="E66" s="199" t="s">
        <v>975</v>
      </c>
      <c r="F66" s="40" t="s">
        <v>197</v>
      </c>
      <c r="G66" s="55" t="s">
        <v>976</v>
      </c>
      <c r="H66" s="61" t="s">
        <v>977</v>
      </c>
      <c r="I66" s="62" t="s">
        <v>307</v>
      </c>
      <c r="J66" s="62">
        <v>17.0</v>
      </c>
      <c r="K66" s="64" t="s">
        <v>978</v>
      </c>
      <c r="L66" s="64" t="s">
        <v>139</v>
      </c>
      <c r="M66" s="65">
        <v>2.573098E7</v>
      </c>
      <c r="N66" s="65">
        <v>1513587.05882352</v>
      </c>
      <c r="O66" s="65">
        <v>531107.0</v>
      </c>
      <c r="P66" s="65" t="s">
        <v>811</v>
      </c>
      <c r="Q66" s="64" t="s">
        <v>812</v>
      </c>
      <c r="R66" s="68" t="s">
        <v>120</v>
      </c>
      <c r="S66" s="40" t="s">
        <v>979</v>
      </c>
      <c r="T66" s="40" t="s">
        <v>980</v>
      </c>
      <c r="U66" s="118" t="s">
        <v>981</v>
      </c>
    </row>
    <row r="67" ht="16.5" customHeight="1">
      <c r="A67" s="88" t="s">
        <v>982</v>
      </c>
      <c r="B67" s="40" t="s">
        <v>60</v>
      </c>
      <c r="C67" s="71" t="s">
        <v>983</v>
      </c>
      <c r="D67" s="71" t="s">
        <v>88</v>
      </c>
      <c r="E67" s="64" t="s">
        <v>984</v>
      </c>
      <c r="F67" s="71" t="s">
        <v>985</v>
      </c>
      <c r="G67" s="120" t="s">
        <v>987</v>
      </c>
      <c r="H67" s="71" t="s">
        <v>988</v>
      </c>
      <c r="I67" s="62" t="s">
        <v>989</v>
      </c>
      <c r="J67" s="62">
        <v>7.0</v>
      </c>
      <c r="K67" s="64" t="s">
        <v>990</v>
      </c>
      <c r="L67" s="64" t="s">
        <v>249</v>
      </c>
      <c r="M67" s="65">
        <v>1.3813109E7</v>
      </c>
      <c r="N67" s="65">
        <v>1973301.28571428</v>
      </c>
      <c r="O67" s="65">
        <v>524359.0</v>
      </c>
      <c r="P67" s="65" t="s">
        <v>811</v>
      </c>
      <c r="Q67" s="64" t="s">
        <v>812</v>
      </c>
      <c r="R67" s="68" t="s">
        <v>116</v>
      </c>
      <c r="S67" s="64" t="s">
        <v>991</v>
      </c>
      <c r="T67" s="64" t="s">
        <v>992</v>
      </c>
      <c r="U67" s="90" t="s">
        <v>993</v>
      </c>
      <c r="V67" s="122"/>
      <c r="W67" s="122"/>
      <c r="X67" s="122"/>
      <c r="Y67" s="122"/>
      <c r="Z67" s="122"/>
      <c r="AA67" s="122"/>
      <c r="AB67" s="122"/>
      <c r="AC67" s="122"/>
      <c r="AD67" s="122"/>
      <c r="AE67" s="122"/>
      <c r="AF67" s="122"/>
      <c r="AG67" s="122"/>
      <c r="AH67" s="122"/>
      <c r="AI67" s="122"/>
      <c r="AJ67" s="122"/>
      <c r="AK67" s="122"/>
      <c r="AL67" s="122"/>
      <c r="AM67" s="122"/>
      <c r="AN67" s="122"/>
    </row>
    <row r="68" ht="16.5" customHeight="1">
      <c r="A68" s="49" t="s">
        <v>994</v>
      </c>
      <c r="B68" s="25" t="s">
        <v>179</v>
      </c>
      <c r="C68" s="55" t="s">
        <v>995</v>
      </c>
      <c r="D68" s="40" t="s">
        <v>153</v>
      </c>
      <c r="E68" s="52" t="s">
        <v>996</v>
      </c>
      <c r="F68" s="59" t="s">
        <v>997</v>
      </c>
      <c r="G68" s="52" t="s">
        <v>999</v>
      </c>
      <c r="H68" s="61" t="s">
        <v>1000</v>
      </c>
      <c r="I68" s="62" t="s">
        <v>386</v>
      </c>
      <c r="J68" s="62">
        <v>14.0</v>
      </c>
      <c r="K68" s="64" t="s">
        <v>924</v>
      </c>
      <c r="L68" s="64" t="s">
        <v>297</v>
      </c>
      <c r="M68" s="65">
        <v>2.4480877E7</v>
      </c>
      <c r="N68" s="65">
        <v>1748634.07142857</v>
      </c>
      <c r="O68" s="65">
        <v>485294.0</v>
      </c>
      <c r="P68" s="65" t="s">
        <v>811</v>
      </c>
      <c r="Q68" s="64" t="s">
        <v>812</v>
      </c>
      <c r="R68" s="68" t="s">
        <v>116</v>
      </c>
      <c r="S68" s="40" t="s">
        <v>1001</v>
      </c>
      <c r="T68" s="40" t="s">
        <v>1002</v>
      </c>
      <c r="U68" s="76" t="s">
        <v>1003</v>
      </c>
    </row>
    <row r="69" ht="16.5" customHeight="1">
      <c r="A69" s="88" t="s">
        <v>1004</v>
      </c>
      <c r="B69" s="18" t="s">
        <v>179</v>
      </c>
      <c r="C69" s="71" t="s">
        <v>1005</v>
      </c>
      <c r="D69" s="64" t="s">
        <v>153</v>
      </c>
      <c r="E69" s="190" t="s">
        <v>1006</v>
      </c>
      <c r="F69" s="176" t="s">
        <v>197</v>
      </c>
      <c r="G69" s="192" t="s">
        <v>1007</v>
      </c>
      <c r="H69" s="190" t="s">
        <v>1008</v>
      </c>
      <c r="I69" s="62">
        <v>20.0</v>
      </c>
      <c r="J69" s="62">
        <v>3.0</v>
      </c>
      <c r="K69" s="62" t="s">
        <v>1009</v>
      </c>
      <c r="L69" s="62" t="s">
        <v>249</v>
      </c>
      <c r="M69" s="65">
        <v>2214730.0</v>
      </c>
      <c r="N69" s="65">
        <v>738243.333333333</v>
      </c>
      <c r="O69" s="65">
        <v>453678.0</v>
      </c>
      <c r="P69" s="64" t="s">
        <v>811</v>
      </c>
      <c r="Q69" s="64" t="s">
        <v>812</v>
      </c>
      <c r="R69" s="68" t="s">
        <v>116</v>
      </c>
      <c r="S69" s="64" t="s">
        <v>1010</v>
      </c>
      <c r="T69" s="64" t="s">
        <v>1011</v>
      </c>
      <c r="U69" s="90" t="s">
        <v>153</v>
      </c>
      <c r="V69" s="191"/>
      <c r="W69" s="191"/>
      <c r="X69" s="191"/>
      <c r="Y69" s="191"/>
      <c r="Z69" s="191"/>
      <c r="AA69" s="191"/>
      <c r="AB69" s="191"/>
      <c r="AC69" s="191"/>
      <c r="AD69" s="191"/>
      <c r="AE69" s="191"/>
      <c r="AF69" s="191"/>
      <c r="AG69" s="191"/>
      <c r="AH69" s="191"/>
      <c r="AI69" s="191"/>
      <c r="AJ69" s="191"/>
      <c r="AK69" s="191"/>
      <c r="AL69" s="191"/>
      <c r="AM69" s="191"/>
      <c r="AN69" s="191"/>
    </row>
    <row r="70" ht="16.5" customHeight="1">
      <c r="A70" s="49" t="s">
        <v>1012</v>
      </c>
      <c r="B70" s="18" t="s">
        <v>194</v>
      </c>
      <c r="C70" s="52" t="s">
        <v>1013</v>
      </c>
      <c r="D70" s="40" t="s">
        <v>153</v>
      </c>
      <c r="E70" s="40" t="s">
        <v>1014</v>
      </c>
      <c r="F70" s="59" t="s">
        <v>1015</v>
      </c>
      <c r="G70" s="59" t="s">
        <v>1016</v>
      </c>
      <c r="H70" s="61" t="s">
        <v>1018</v>
      </c>
      <c r="I70" s="62" t="s">
        <v>559</v>
      </c>
      <c r="J70" s="62">
        <v>20.0</v>
      </c>
      <c r="K70" s="64" t="s">
        <v>1019</v>
      </c>
      <c r="L70" s="64" t="s">
        <v>773</v>
      </c>
      <c r="M70" s="65">
        <v>2.5492788E7</v>
      </c>
      <c r="N70" s="65">
        <v>1274639.4</v>
      </c>
      <c r="O70" s="65">
        <v>442652.5</v>
      </c>
      <c r="P70" s="65" t="s">
        <v>811</v>
      </c>
      <c r="Q70" s="64" t="s">
        <v>812</v>
      </c>
      <c r="R70" s="68" t="s">
        <v>116</v>
      </c>
      <c r="S70" s="77" t="s">
        <v>1020</v>
      </c>
      <c r="T70" s="40" t="s">
        <v>1021</v>
      </c>
      <c r="U70" s="76" t="s">
        <v>1022</v>
      </c>
    </row>
    <row r="71" ht="16.5" customHeight="1">
      <c r="A71" s="88" t="s">
        <v>1023</v>
      </c>
      <c r="B71" s="18" t="s">
        <v>357</v>
      </c>
      <c r="C71" s="126" t="s">
        <v>1024</v>
      </c>
      <c r="D71" s="129" t="s">
        <v>153</v>
      </c>
      <c r="E71" s="129" t="s">
        <v>1025</v>
      </c>
      <c r="F71" s="125" t="s">
        <v>1026</v>
      </c>
      <c r="G71" s="193" t="s">
        <v>1027</v>
      </c>
      <c r="H71" s="126" t="s">
        <v>1029</v>
      </c>
      <c r="I71" s="127" t="s">
        <v>153</v>
      </c>
      <c r="J71" s="62">
        <v>10.0</v>
      </c>
      <c r="K71" s="64" t="s">
        <v>1030</v>
      </c>
      <c r="L71" s="64" t="s">
        <v>297</v>
      </c>
      <c r="M71" s="65">
        <v>9605066.0</v>
      </c>
      <c r="N71" s="65">
        <v>960506.6</v>
      </c>
      <c r="O71" s="65">
        <v>413969.5</v>
      </c>
      <c r="P71" s="65" t="s">
        <v>811</v>
      </c>
      <c r="Q71" s="64" t="s">
        <v>812</v>
      </c>
      <c r="R71" s="122" t="s">
        <v>197</v>
      </c>
      <c r="S71" s="129" t="s">
        <v>1031</v>
      </c>
      <c r="T71" s="129" t="s">
        <v>1032</v>
      </c>
      <c r="U71" s="69" t="s">
        <v>1033</v>
      </c>
      <c r="V71" s="27"/>
      <c r="W71" s="27"/>
      <c r="X71" s="27"/>
      <c r="Y71" s="27"/>
      <c r="Z71" s="27"/>
      <c r="AA71" s="27"/>
      <c r="AB71" s="27"/>
      <c r="AC71" s="27"/>
      <c r="AD71" s="27"/>
      <c r="AE71" s="27"/>
      <c r="AF71" s="27"/>
      <c r="AG71" s="27"/>
      <c r="AH71" s="27"/>
      <c r="AI71" s="27"/>
      <c r="AJ71" s="27"/>
      <c r="AK71" s="27"/>
      <c r="AL71" s="27"/>
      <c r="AM71" s="27"/>
      <c r="AN71" s="27"/>
    </row>
    <row r="72" ht="16.5" customHeight="1">
      <c r="A72" s="82" t="s">
        <v>1035</v>
      </c>
      <c r="B72" s="40" t="s">
        <v>254</v>
      </c>
      <c r="C72" s="55" t="s">
        <v>1037</v>
      </c>
      <c r="D72" s="40" t="s">
        <v>153</v>
      </c>
      <c r="E72" s="40" t="s">
        <v>1038</v>
      </c>
      <c r="F72" s="52" t="s">
        <v>1040</v>
      </c>
      <c r="G72" s="52" t="s">
        <v>1041</v>
      </c>
      <c r="H72" s="61" t="s">
        <v>1044</v>
      </c>
      <c r="I72" s="62" t="s">
        <v>1046</v>
      </c>
      <c r="J72" s="62">
        <v>13.0</v>
      </c>
      <c r="K72" s="64" t="s">
        <v>789</v>
      </c>
      <c r="L72" s="64" t="s">
        <v>139</v>
      </c>
      <c r="M72" s="65">
        <v>4.2805543E7</v>
      </c>
      <c r="N72" s="65">
        <v>3292734.07692307</v>
      </c>
      <c r="O72" s="65">
        <v>347230.0</v>
      </c>
      <c r="P72" s="65" t="s">
        <v>811</v>
      </c>
      <c r="Q72" s="64" t="s">
        <v>812</v>
      </c>
      <c r="R72" s="68" t="s">
        <v>116</v>
      </c>
      <c r="S72" s="40" t="s">
        <v>1048</v>
      </c>
      <c r="T72" s="40" t="s">
        <v>1049</v>
      </c>
      <c r="U72" s="76" t="s">
        <v>1050</v>
      </c>
    </row>
    <row r="73" ht="16.5" customHeight="1">
      <c r="A73" s="105" t="s">
        <v>1051</v>
      </c>
      <c r="B73" s="18" t="s">
        <v>179</v>
      </c>
      <c r="C73" s="71" t="s">
        <v>1052</v>
      </c>
      <c r="D73" s="201" t="s">
        <v>153</v>
      </c>
      <c r="E73" s="120" t="s">
        <v>1054</v>
      </c>
      <c r="F73" s="202" t="s">
        <v>197</v>
      </c>
      <c r="G73" s="192" t="s">
        <v>1056</v>
      </c>
      <c r="H73" s="192" t="s">
        <v>1057</v>
      </c>
      <c r="I73" s="62" t="s">
        <v>989</v>
      </c>
      <c r="J73" s="62">
        <v>7.0</v>
      </c>
      <c r="K73" s="62" t="s">
        <v>1058</v>
      </c>
      <c r="L73" s="62" t="s">
        <v>285</v>
      </c>
      <c r="M73" s="65">
        <v>6784205.0</v>
      </c>
      <c r="N73" s="65">
        <v>969172.142857142</v>
      </c>
      <c r="O73" s="65">
        <v>336269.0</v>
      </c>
      <c r="P73" s="64" t="s">
        <v>811</v>
      </c>
      <c r="Q73" s="64" t="s">
        <v>812</v>
      </c>
      <c r="R73" s="68" t="s">
        <v>197</v>
      </c>
      <c r="S73" s="64" t="s">
        <v>1059</v>
      </c>
      <c r="T73" s="64" t="s">
        <v>1060</v>
      </c>
      <c r="U73" s="90" t="s">
        <v>1061</v>
      </c>
      <c r="V73" s="191"/>
      <c r="W73" s="191"/>
      <c r="X73" s="191"/>
      <c r="Y73" s="191"/>
      <c r="Z73" s="191"/>
      <c r="AA73" s="191"/>
      <c r="AB73" s="122"/>
      <c r="AC73" s="122"/>
      <c r="AD73" s="122"/>
      <c r="AE73" s="122"/>
      <c r="AF73" s="122"/>
      <c r="AG73" s="122"/>
      <c r="AH73" s="122"/>
      <c r="AI73" s="122"/>
      <c r="AJ73" s="122"/>
      <c r="AK73" s="122"/>
      <c r="AL73" s="122"/>
      <c r="AM73" s="122"/>
      <c r="AN73" s="122"/>
    </row>
    <row r="74" ht="16.5" customHeight="1">
      <c r="A74" s="49" t="s">
        <v>1062</v>
      </c>
      <c r="B74" s="25" t="s">
        <v>267</v>
      </c>
      <c r="C74" s="116" t="s">
        <v>1063</v>
      </c>
      <c r="D74" s="203" t="s">
        <v>153</v>
      </c>
      <c r="E74" s="71" t="s">
        <v>1065</v>
      </c>
      <c r="F74" s="71" t="s">
        <v>1066</v>
      </c>
      <c r="G74" s="116" t="s">
        <v>1067</v>
      </c>
      <c r="H74" s="61" t="s">
        <v>1068</v>
      </c>
      <c r="I74" s="62" t="s">
        <v>1069</v>
      </c>
      <c r="J74" s="62">
        <v>15.0</v>
      </c>
      <c r="K74" s="64" t="s">
        <v>1070</v>
      </c>
      <c r="L74" s="64" t="s">
        <v>188</v>
      </c>
      <c r="M74" s="65">
        <v>4.3275482E7</v>
      </c>
      <c r="N74" s="65">
        <v>2885032.13333333</v>
      </c>
      <c r="O74" s="65">
        <v>321029.0</v>
      </c>
      <c r="P74" s="65" t="s">
        <v>811</v>
      </c>
      <c r="Q74" s="64" t="s">
        <v>812</v>
      </c>
      <c r="R74" s="68" t="s">
        <v>120</v>
      </c>
      <c r="S74" s="64" t="s">
        <v>1071</v>
      </c>
      <c r="T74" s="64" t="s">
        <v>1072</v>
      </c>
      <c r="U74" s="90" t="s">
        <v>1073</v>
      </c>
      <c r="V74" s="27"/>
      <c r="W74" s="27"/>
      <c r="X74" s="27"/>
      <c r="Y74" s="27"/>
      <c r="Z74" s="27"/>
      <c r="AA74" s="27"/>
      <c r="AB74" s="27"/>
      <c r="AC74" s="27"/>
      <c r="AD74" s="27"/>
      <c r="AE74" s="27"/>
      <c r="AF74" s="27"/>
      <c r="AG74" s="27"/>
      <c r="AH74" s="27"/>
      <c r="AI74" s="27"/>
      <c r="AJ74" s="27"/>
      <c r="AK74" s="27"/>
      <c r="AL74" s="27"/>
      <c r="AM74" s="27"/>
      <c r="AN74" s="27"/>
    </row>
    <row r="75" ht="16.5" customHeight="1">
      <c r="A75" s="88" t="s">
        <v>1074</v>
      </c>
      <c r="B75" s="18" t="s">
        <v>1075</v>
      </c>
      <c r="C75" s="71" t="s">
        <v>1076</v>
      </c>
      <c r="D75" s="201" t="s">
        <v>153</v>
      </c>
      <c r="E75" s="64" t="s">
        <v>1077</v>
      </c>
      <c r="F75" s="64" t="s">
        <v>197</v>
      </c>
      <c r="G75" s="71" t="s">
        <v>1078</v>
      </c>
      <c r="H75" s="71" t="s">
        <v>1079</v>
      </c>
      <c r="I75" s="62" t="s">
        <v>386</v>
      </c>
      <c r="J75" s="62">
        <v>7.0</v>
      </c>
      <c r="K75" s="64" t="s">
        <v>884</v>
      </c>
      <c r="L75" s="64" t="s">
        <v>773</v>
      </c>
      <c r="M75" s="65">
        <v>1.2595742E7</v>
      </c>
      <c r="N75" s="65">
        <v>1799391.71428571</v>
      </c>
      <c r="O75" s="65">
        <v>293682.0</v>
      </c>
      <c r="P75" s="64" t="s">
        <v>811</v>
      </c>
      <c r="Q75" s="64" t="s">
        <v>812</v>
      </c>
      <c r="R75" s="68" t="s">
        <v>197</v>
      </c>
      <c r="S75" s="64" t="s">
        <v>1080</v>
      </c>
      <c r="T75" s="64" t="s">
        <v>1081</v>
      </c>
      <c r="U75" s="90" t="s">
        <v>1082</v>
      </c>
      <c r="V75" s="122"/>
      <c r="W75" s="122"/>
      <c r="X75" s="122"/>
      <c r="Y75" s="191"/>
      <c r="Z75" s="191"/>
      <c r="AA75" s="191"/>
      <c r="AB75" s="191"/>
      <c r="AC75" s="191"/>
      <c r="AD75" s="191"/>
      <c r="AE75" s="191"/>
      <c r="AF75" s="191"/>
      <c r="AG75" s="191"/>
      <c r="AH75" s="191"/>
      <c r="AI75" s="191"/>
      <c r="AJ75" s="191"/>
      <c r="AK75" s="191"/>
      <c r="AL75" s="191"/>
      <c r="AM75" s="191"/>
      <c r="AN75" s="191"/>
    </row>
    <row r="76" ht="16.5" customHeight="1">
      <c r="A76" s="82" t="s">
        <v>1083</v>
      </c>
      <c r="B76" s="89" t="s">
        <v>1084</v>
      </c>
      <c r="C76" s="52" t="s">
        <v>1085</v>
      </c>
      <c r="D76" s="40" t="s">
        <v>153</v>
      </c>
      <c r="E76" s="40" t="s">
        <v>1086</v>
      </c>
      <c r="F76" s="52" t="s">
        <v>1087</v>
      </c>
      <c r="G76" s="52" t="s">
        <v>1088</v>
      </c>
      <c r="H76" s="61" t="s">
        <v>1089</v>
      </c>
      <c r="I76" s="72" t="s">
        <v>1090</v>
      </c>
      <c r="J76" s="63" t="s">
        <v>1091</v>
      </c>
      <c r="K76" s="64" t="s">
        <v>1092</v>
      </c>
      <c r="L76" s="64" t="s">
        <v>285</v>
      </c>
      <c r="M76" s="65">
        <v>2.3023965E7</v>
      </c>
      <c r="N76" s="65">
        <v>1438997.8125</v>
      </c>
      <c r="O76" s="65">
        <v>288301.0</v>
      </c>
      <c r="P76" s="66" t="s">
        <v>811</v>
      </c>
      <c r="Q76" s="64" t="s">
        <v>812</v>
      </c>
      <c r="R76" s="68" t="s">
        <v>116</v>
      </c>
      <c r="S76" s="40" t="s">
        <v>1093</v>
      </c>
      <c r="T76" s="40" t="s">
        <v>1094</v>
      </c>
      <c r="U76" s="76" t="s">
        <v>1095</v>
      </c>
      <c r="V76" s="27"/>
    </row>
    <row r="77" ht="16.5" customHeight="1">
      <c r="A77" s="88" t="s">
        <v>1096</v>
      </c>
      <c r="B77" s="64" t="s">
        <v>254</v>
      </c>
      <c r="C77" s="125" t="s">
        <v>1097</v>
      </c>
      <c r="D77" s="18"/>
      <c r="E77" s="204" t="s">
        <v>1098</v>
      </c>
      <c r="F77" s="125" t="s">
        <v>1099</v>
      </c>
      <c r="G77" s="52" t="s">
        <v>1100</v>
      </c>
      <c r="H77" s="59" t="s">
        <v>1101</v>
      </c>
      <c r="I77" s="127"/>
      <c r="J77" s="127">
        <v>3.0</v>
      </c>
      <c r="K77" s="129" t="s">
        <v>1102</v>
      </c>
      <c r="L77" s="129" t="s">
        <v>853</v>
      </c>
      <c r="M77" s="182">
        <v>4621270.0</v>
      </c>
      <c r="N77" s="182">
        <v>1540423.33333333</v>
      </c>
      <c r="O77" s="182">
        <v>285354.0</v>
      </c>
      <c r="P77" s="64" t="s">
        <v>811</v>
      </c>
      <c r="Q77" s="64" t="s">
        <v>812</v>
      </c>
      <c r="R77" s="68" t="s">
        <v>197</v>
      </c>
      <c r="S77" s="129" t="s">
        <v>1103</v>
      </c>
      <c r="T77" s="129"/>
      <c r="U77" s="69" t="s">
        <v>1104</v>
      </c>
      <c r="V77" s="131"/>
      <c r="W77" s="131"/>
      <c r="X77" s="131"/>
      <c r="Y77" s="131"/>
      <c r="Z77" s="131"/>
      <c r="AA77" s="131"/>
      <c r="AB77" s="131"/>
      <c r="AC77" s="131"/>
      <c r="AD77" s="131"/>
      <c r="AE77" s="131"/>
      <c r="AF77" s="131"/>
      <c r="AG77" s="131"/>
      <c r="AH77" s="131"/>
      <c r="AI77" s="131"/>
      <c r="AJ77" s="131"/>
      <c r="AK77" s="131"/>
      <c r="AL77" s="131"/>
      <c r="AM77" s="131"/>
      <c r="AN77" s="131"/>
    </row>
    <row r="78" ht="16.5" customHeight="1">
      <c r="A78" s="100" t="s">
        <v>1105</v>
      </c>
      <c r="B78" s="89" t="s">
        <v>165</v>
      </c>
      <c r="C78" s="52" t="s">
        <v>1106</v>
      </c>
      <c r="D78" s="40" t="s">
        <v>153</v>
      </c>
      <c r="E78" s="71" t="s">
        <v>1107</v>
      </c>
      <c r="F78" s="71" t="s">
        <v>1108</v>
      </c>
      <c r="G78" s="52" t="s">
        <v>1109</v>
      </c>
      <c r="H78" s="61" t="s">
        <v>1110</v>
      </c>
      <c r="I78" s="62" t="s">
        <v>1111</v>
      </c>
      <c r="J78" s="63" t="s">
        <v>1112</v>
      </c>
      <c r="K78" s="64" t="s">
        <v>608</v>
      </c>
      <c r="L78" s="64" t="s">
        <v>853</v>
      </c>
      <c r="M78" s="65">
        <v>3.7918932E7</v>
      </c>
      <c r="N78" s="65">
        <v>1516757.28</v>
      </c>
      <c r="O78" s="65">
        <v>279588.0</v>
      </c>
      <c r="P78" s="66" t="s">
        <v>811</v>
      </c>
      <c r="Q78" s="64" t="s">
        <v>812</v>
      </c>
      <c r="R78" s="68" t="s">
        <v>116</v>
      </c>
      <c r="S78" s="40" t="s">
        <v>1113</v>
      </c>
      <c r="T78" s="40" t="s">
        <v>1114</v>
      </c>
      <c r="U78" s="76" t="s">
        <v>1115</v>
      </c>
    </row>
    <row r="79" ht="16.5" customHeight="1">
      <c r="A79" s="82" t="s">
        <v>1116</v>
      </c>
      <c r="B79" s="40" t="s">
        <v>254</v>
      </c>
      <c r="C79" s="55" t="s">
        <v>1117</v>
      </c>
      <c r="D79" s="40" t="s">
        <v>153</v>
      </c>
      <c r="E79" s="40" t="s">
        <v>1118</v>
      </c>
      <c r="F79" s="52" t="s">
        <v>1119</v>
      </c>
      <c r="G79" s="52" t="s">
        <v>1120</v>
      </c>
      <c r="H79" s="61" t="s">
        <v>1121</v>
      </c>
      <c r="I79" s="62" t="s">
        <v>895</v>
      </c>
      <c r="J79" s="62">
        <v>8.0</v>
      </c>
      <c r="K79" s="64" t="s">
        <v>1122</v>
      </c>
      <c r="L79" s="64" t="s">
        <v>1123</v>
      </c>
      <c r="M79" s="65">
        <v>4650095.0</v>
      </c>
      <c r="N79" s="65">
        <v>581261.875</v>
      </c>
      <c r="O79" s="65">
        <v>278342.0</v>
      </c>
      <c r="P79" s="65" t="s">
        <v>811</v>
      </c>
      <c r="Q79" s="64" t="s">
        <v>812</v>
      </c>
      <c r="R79" s="68" t="s">
        <v>118</v>
      </c>
      <c r="S79" s="40" t="s">
        <v>1124</v>
      </c>
      <c r="T79" s="40" t="s">
        <v>1125</v>
      </c>
      <c r="U79" s="76" t="s">
        <v>153</v>
      </c>
    </row>
    <row r="80" ht="16.5" customHeight="1">
      <c r="A80" s="82" t="s">
        <v>1126</v>
      </c>
      <c r="B80" s="40" t="s">
        <v>194</v>
      </c>
      <c r="C80" s="55" t="s">
        <v>1127</v>
      </c>
      <c r="D80" s="40" t="s">
        <v>153</v>
      </c>
      <c r="E80" s="55" t="s">
        <v>1128</v>
      </c>
      <c r="F80" s="71" t="s">
        <v>1131</v>
      </c>
      <c r="G80" s="59" t="s">
        <v>1134</v>
      </c>
      <c r="H80" s="61" t="s">
        <v>1135</v>
      </c>
      <c r="I80" s="62" t="s">
        <v>283</v>
      </c>
      <c r="J80" s="62">
        <v>17.0</v>
      </c>
      <c r="K80" s="64" t="s">
        <v>1137</v>
      </c>
      <c r="L80" s="64" t="s">
        <v>853</v>
      </c>
      <c r="M80" s="65">
        <v>2.9379481E7</v>
      </c>
      <c r="N80" s="65">
        <v>1728204.76470588</v>
      </c>
      <c r="O80" s="65">
        <v>268204.0</v>
      </c>
      <c r="P80" s="65" t="s">
        <v>811</v>
      </c>
      <c r="Q80" s="64" t="s">
        <v>812</v>
      </c>
      <c r="R80" s="68" t="s">
        <v>116</v>
      </c>
      <c r="S80" s="77" t="s">
        <v>1138</v>
      </c>
      <c r="T80" s="40" t="s">
        <v>1139</v>
      </c>
      <c r="U80" s="76" t="s">
        <v>1140</v>
      </c>
    </row>
    <row r="81" ht="16.5" customHeight="1">
      <c r="A81" s="70" t="s">
        <v>1141</v>
      </c>
      <c r="B81" s="40" t="s">
        <v>194</v>
      </c>
      <c r="C81" s="55" t="s">
        <v>1142</v>
      </c>
      <c r="D81" s="40" t="s">
        <v>153</v>
      </c>
      <c r="E81" s="52" t="s">
        <v>1142</v>
      </c>
      <c r="F81" s="139" t="s">
        <v>1143</v>
      </c>
      <c r="G81" s="52" t="s">
        <v>1144</v>
      </c>
      <c r="H81" s="61" t="s">
        <v>1145</v>
      </c>
      <c r="I81" s="62" t="s">
        <v>1146</v>
      </c>
      <c r="J81" s="62">
        <v>28.0</v>
      </c>
      <c r="K81" s="64" t="s">
        <v>1147</v>
      </c>
      <c r="L81" s="64" t="s">
        <v>188</v>
      </c>
      <c r="M81" s="65">
        <v>3.6836379E7</v>
      </c>
      <c r="N81" s="65">
        <v>1315584.96428571</v>
      </c>
      <c r="O81" s="65">
        <v>264403.0</v>
      </c>
      <c r="P81" s="65" t="s">
        <v>811</v>
      </c>
      <c r="Q81" s="64" t="s">
        <v>812</v>
      </c>
      <c r="R81" s="68" t="s">
        <v>116</v>
      </c>
      <c r="S81" s="40" t="s">
        <v>1148</v>
      </c>
      <c r="T81" s="40" t="s">
        <v>1149</v>
      </c>
      <c r="U81" s="76" t="s">
        <v>1150</v>
      </c>
    </row>
    <row r="82" ht="16.5" customHeight="1">
      <c r="A82" s="88" t="s">
        <v>1151</v>
      </c>
      <c r="B82" s="22" t="s">
        <v>194</v>
      </c>
      <c r="C82" s="71" t="s">
        <v>1152</v>
      </c>
      <c r="D82" s="64" t="s">
        <v>153</v>
      </c>
      <c r="E82" s="190" t="s">
        <v>1154</v>
      </c>
      <c r="F82" s="71" t="s">
        <v>1157</v>
      </c>
      <c r="G82" s="71" t="s">
        <v>1158</v>
      </c>
      <c r="H82" s="190" t="s">
        <v>1160</v>
      </c>
      <c r="I82" s="62">
        <v>285.0</v>
      </c>
      <c r="J82" s="62">
        <v>6.0</v>
      </c>
      <c r="K82" s="62" t="s">
        <v>1161</v>
      </c>
      <c r="L82" s="62" t="s">
        <v>285</v>
      </c>
      <c r="M82" s="80">
        <v>2461507.0</v>
      </c>
      <c r="N82" s="65">
        <v>410251.166666666</v>
      </c>
      <c r="O82" s="65">
        <v>249613.5</v>
      </c>
      <c r="P82" s="64" t="s">
        <v>811</v>
      </c>
      <c r="Q82" s="64" t="s">
        <v>812</v>
      </c>
      <c r="R82" s="68" t="s">
        <v>197</v>
      </c>
      <c r="S82" s="64" t="s">
        <v>1162</v>
      </c>
      <c r="T82" s="64" t="s">
        <v>1163</v>
      </c>
      <c r="U82" s="90" t="s">
        <v>1164</v>
      </c>
      <c r="V82" s="191"/>
      <c r="W82" s="191"/>
      <c r="X82" s="191"/>
      <c r="Y82" s="191"/>
      <c r="Z82" s="191"/>
      <c r="AA82" s="191"/>
      <c r="AB82" s="191"/>
      <c r="AC82" s="191"/>
      <c r="AD82" s="191"/>
      <c r="AE82" s="191"/>
      <c r="AF82" s="191"/>
      <c r="AG82" s="191"/>
      <c r="AH82" s="191"/>
      <c r="AI82" s="191"/>
      <c r="AJ82" s="191"/>
      <c r="AK82" s="191"/>
      <c r="AL82" s="191"/>
      <c r="AM82" s="191"/>
      <c r="AN82" s="191"/>
    </row>
    <row r="83" ht="16.5" customHeight="1">
      <c r="A83" s="133" t="s">
        <v>1165</v>
      </c>
      <c r="B83" s="18" t="s">
        <v>778</v>
      </c>
      <c r="C83" s="55" t="s">
        <v>1166</v>
      </c>
      <c r="D83" s="55" t="s">
        <v>1168</v>
      </c>
      <c r="E83" s="40" t="s">
        <v>1169</v>
      </c>
      <c r="F83" s="162" t="s">
        <v>1170</v>
      </c>
      <c r="G83" s="59" t="s">
        <v>1171</v>
      </c>
      <c r="H83" s="61" t="s">
        <v>1172</v>
      </c>
      <c r="I83" s="62" t="s">
        <v>1173</v>
      </c>
      <c r="J83" s="62">
        <v>30.0</v>
      </c>
      <c r="K83" s="64" t="s">
        <v>1174</v>
      </c>
      <c r="L83" s="64" t="s">
        <v>188</v>
      </c>
      <c r="M83" s="65">
        <v>1.9602049E7</v>
      </c>
      <c r="N83" s="65">
        <v>653401.633333333</v>
      </c>
      <c r="O83" s="65">
        <v>242846.0</v>
      </c>
      <c r="P83" s="65" t="s">
        <v>811</v>
      </c>
      <c r="Q83" s="64" t="s">
        <v>812</v>
      </c>
      <c r="R83" s="68" t="s">
        <v>120</v>
      </c>
      <c r="S83" s="25" t="s">
        <v>1175</v>
      </c>
      <c r="T83" s="40" t="s">
        <v>1176</v>
      </c>
      <c r="U83" s="69" t="s">
        <v>1177</v>
      </c>
      <c r="V83" s="27"/>
    </row>
    <row r="84" ht="16.5" customHeight="1">
      <c r="A84" s="133" t="s">
        <v>1178</v>
      </c>
      <c r="B84" s="18" t="s">
        <v>179</v>
      </c>
      <c r="C84" s="55" t="s">
        <v>1179</v>
      </c>
      <c r="D84" s="52" t="s">
        <v>1181</v>
      </c>
      <c r="E84" s="52" t="s">
        <v>1182</v>
      </c>
      <c r="F84" s="71" t="s">
        <v>1183</v>
      </c>
      <c r="G84" s="52" t="s">
        <v>1184</v>
      </c>
      <c r="H84" s="61" t="s">
        <v>1185</v>
      </c>
      <c r="I84" s="62" t="s">
        <v>559</v>
      </c>
      <c r="J84" s="62">
        <v>36.0</v>
      </c>
      <c r="K84" s="64" t="s">
        <v>375</v>
      </c>
      <c r="L84" s="64" t="s">
        <v>139</v>
      </c>
      <c r="M84" s="65">
        <v>4.52081E7</v>
      </c>
      <c r="N84" s="65">
        <v>1255780.55555555</v>
      </c>
      <c r="O84" s="65">
        <v>235500.0</v>
      </c>
      <c r="P84" s="65" t="s">
        <v>811</v>
      </c>
      <c r="Q84" s="64" t="s">
        <v>812</v>
      </c>
      <c r="R84" s="68" t="s">
        <v>120</v>
      </c>
      <c r="S84" s="40" t="s">
        <v>1186</v>
      </c>
      <c r="T84" s="40" t="s">
        <v>1187</v>
      </c>
      <c r="U84" s="90" t="s">
        <v>1188</v>
      </c>
      <c r="V84" s="27"/>
    </row>
    <row r="85" ht="16.5" customHeight="1">
      <c r="A85" s="133" t="s">
        <v>1189</v>
      </c>
      <c r="B85" s="18" t="s">
        <v>469</v>
      </c>
      <c r="C85" s="52" t="s">
        <v>1190</v>
      </c>
      <c r="D85" s="139" t="s">
        <v>1191</v>
      </c>
      <c r="E85" s="40" t="s">
        <v>1192</v>
      </c>
      <c r="F85" s="162" t="s">
        <v>1193</v>
      </c>
      <c r="G85" s="59" t="s">
        <v>1194</v>
      </c>
      <c r="H85" s="61" t="s">
        <v>1195</v>
      </c>
      <c r="I85" s="62" t="s">
        <v>1196</v>
      </c>
      <c r="J85" s="62">
        <v>6.0</v>
      </c>
      <c r="K85" s="64" t="s">
        <v>1197</v>
      </c>
      <c r="L85" s="64" t="s">
        <v>297</v>
      </c>
      <c r="M85" s="65">
        <v>4369464.0</v>
      </c>
      <c r="N85" s="65">
        <v>728244.0</v>
      </c>
      <c r="O85" s="65">
        <v>219131.0</v>
      </c>
      <c r="P85" s="65" t="s">
        <v>811</v>
      </c>
      <c r="Q85" s="64" t="s">
        <v>812</v>
      </c>
      <c r="R85" s="68" t="s">
        <v>120</v>
      </c>
      <c r="S85" s="25" t="s">
        <v>1198</v>
      </c>
      <c r="T85" s="40" t="s">
        <v>1199</v>
      </c>
      <c r="U85" s="69" t="s">
        <v>1200</v>
      </c>
      <c r="V85" s="27"/>
    </row>
    <row r="86" ht="16.5" customHeight="1">
      <c r="A86" s="70" t="s">
        <v>1201</v>
      </c>
      <c r="B86" s="40" t="s">
        <v>165</v>
      </c>
      <c r="C86" s="52" t="s">
        <v>1202</v>
      </c>
      <c r="D86" s="40" t="s">
        <v>153</v>
      </c>
      <c r="E86" s="40" t="s">
        <v>1203</v>
      </c>
      <c r="F86" s="71" t="s">
        <v>1204</v>
      </c>
      <c r="G86" s="55" t="s">
        <v>1205</v>
      </c>
      <c r="H86" s="61" t="s">
        <v>1206</v>
      </c>
      <c r="I86" s="62" t="s">
        <v>989</v>
      </c>
      <c r="J86" s="62">
        <v>3.0</v>
      </c>
      <c r="K86" s="64" t="s">
        <v>1207</v>
      </c>
      <c r="L86" s="64" t="s">
        <v>365</v>
      </c>
      <c r="M86" s="65">
        <v>1259316.0</v>
      </c>
      <c r="N86" s="65">
        <v>419772.0</v>
      </c>
      <c r="O86" s="65">
        <v>209959.0</v>
      </c>
      <c r="P86" s="65" t="s">
        <v>811</v>
      </c>
      <c r="Q86" s="64" t="s">
        <v>812</v>
      </c>
      <c r="R86" s="68" t="s">
        <v>197</v>
      </c>
      <c r="S86" s="40" t="s">
        <v>1208</v>
      </c>
      <c r="T86" s="40" t="s">
        <v>1209</v>
      </c>
      <c r="U86" s="115" t="s">
        <v>1210</v>
      </c>
    </row>
    <row r="87" ht="16.5" customHeight="1">
      <c r="A87" s="82" t="s">
        <v>1211</v>
      </c>
      <c r="B87" s="40" t="s">
        <v>524</v>
      </c>
      <c r="C87" s="52" t="s">
        <v>1212</v>
      </c>
      <c r="D87" s="86" t="s">
        <v>153</v>
      </c>
      <c r="E87" s="40" t="s">
        <v>1213</v>
      </c>
      <c r="F87" s="52" t="s">
        <v>1214</v>
      </c>
      <c r="G87" s="52" t="s">
        <v>1215</v>
      </c>
      <c r="H87" s="61" t="s">
        <v>1216</v>
      </c>
      <c r="I87" s="62">
        <v>846.0</v>
      </c>
      <c r="J87" s="62">
        <v>9.0</v>
      </c>
      <c r="K87" s="64" t="s">
        <v>464</v>
      </c>
      <c r="L87" s="64" t="s">
        <v>285</v>
      </c>
      <c r="M87" s="65">
        <v>2890450.0</v>
      </c>
      <c r="N87" s="65">
        <v>321161.111111111</v>
      </c>
      <c r="O87" s="65">
        <v>199765.0</v>
      </c>
      <c r="P87" s="65" t="s">
        <v>811</v>
      </c>
      <c r="Q87" s="64" t="s">
        <v>812</v>
      </c>
      <c r="R87" s="68" t="s">
        <v>118</v>
      </c>
      <c r="S87" s="40" t="s">
        <v>1217</v>
      </c>
      <c r="T87" s="40" t="s">
        <v>1218</v>
      </c>
      <c r="U87" s="76" t="s">
        <v>1219</v>
      </c>
    </row>
    <row r="88" ht="16.5" customHeight="1">
      <c r="A88" s="170" t="s">
        <v>1220</v>
      </c>
      <c r="B88" s="64" t="s">
        <v>302</v>
      </c>
      <c r="C88" s="173" t="s">
        <v>1221</v>
      </c>
      <c r="D88" s="173" t="s">
        <v>1222</v>
      </c>
      <c r="E88" s="68" t="s">
        <v>1223</v>
      </c>
      <c r="F88" s="120" t="s">
        <v>1224</v>
      </c>
      <c r="G88" s="205" t="s">
        <v>1225</v>
      </c>
      <c r="H88" s="61" t="s">
        <v>1226</v>
      </c>
      <c r="I88" s="62" t="s">
        <v>1046</v>
      </c>
      <c r="J88" s="62">
        <v>61.0</v>
      </c>
      <c r="K88" s="64" t="s">
        <v>160</v>
      </c>
      <c r="L88" s="64" t="s">
        <v>188</v>
      </c>
      <c r="M88" s="65">
        <v>3.5312728E7</v>
      </c>
      <c r="N88" s="65">
        <v>578897.180327868</v>
      </c>
      <c r="O88" s="65">
        <v>190760.0</v>
      </c>
      <c r="P88" s="65" t="s">
        <v>811</v>
      </c>
      <c r="Q88" s="64" t="s">
        <v>812</v>
      </c>
      <c r="R88" s="68" t="s">
        <v>118</v>
      </c>
      <c r="S88" s="102" t="s">
        <v>1228</v>
      </c>
      <c r="T88" s="119" t="s">
        <v>1229</v>
      </c>
      <c r="U88" s="206" t="s">
        <v>1230</v>
      </c>
      <c r="V88" s="27"/>
      <c r="W88" s="27"/>
      <c r="X88" s="27"/>
      <c r="Y88" s="27"/>
      <c r="AA88" s="27"/>
      <c r="AB88" s="27"/>
      <c r="AC88" s="27"/>
      <c r="AD88" s="27"/>
      <c r="AE88" s="27"/>
      <c r="AF88" s="27"/>
      <c r="AG88" s="27"/>
      <c r="AH88" s="27"/>
      <c r="AI88" s="27"/>
      <c r="AJ88" s="27"/>
      <c r="AK88" s="27"/>
      <c r="AL88" s="27"/>
      <c r="AM88" s="27"/>
      <c r="AN88" s="27"/>
    </row>
    <row r="89" ht="16.5" customHeight="1">
      <c r="A89" s="82" t="s">
        <v>1231</v>
      </c>
      <c r="B89" s="40" t="s">
        <v>165</v>
      </c>
      <c r="C89" s="55" t="s">
        <v>1232</v>
      </c>
      <c r="D89" s="52" t="s">
        <v>1233</v>
      </c>
      <c r="E89" s="149" t="s">
        <v>1234</v>
      </c>
      <c r="F89" s="139" t="s">
        <v>1237</v>
      </c>
      <c r="G89" s="55" t="s">
        <v>1239</v>
      </c>
      <c r="H89" s="61" t="s">
        <v>1241</v>
      </c>
      <c r="I89" s="62" t="s">
        <v>863</v>
      </c>
      <c r="J89" s="62">
        <v>13.0</v>
      </c>
      <c r="K89" s="64" t="s">
        <v>1242</v>
      </c>
      <c r="L89" s="64" t="s">
        <v>139</v>
      </c>
      <c r="M89" s="65">
        <v>3955854.0</v>
      </c>
      <c r="N89" s="65">
        <v>304296.461538461</v>
      </c>
      <c r="O89" s="65">
        <v>187052.0</v>
      </c>
      <c r="P89" s="65" t="s">
        <v>811</v>
      </c>
      <c r="Q89" s="64" t="s">
        <v>812</v>
      </c>
      <c r="R89" s="68" t="s">
        <v>116</v>
      </c>
      <c r="S89" s="40" t="s">
        <v>1243</v>
      </c>
      <c r="T89" s="40" t="s">
        <v>1244</v>
      </c>
      <c r="U89" s="74" t="s">
        <v>1245</v>
      </c>
    </row>
    <row r="90" ht="16.5" customHeight="1">
      <c r="A90" s="82" t="s">
        <v>1246</v>
      </c>
      <c r="B90" s="40" t="s">
        <v>357</v>
      </c>
      <c r="C90" s="55" t="s">
        <v>1247</v>
      </c>
      <c r="D90" s="40" t="s">
        <v>153</v>
      </c>
      <c r="E90" s="176" t="s">
        <v>197</v>
      </c>
      <c r="F90" s="207" t="s">
        <v>197</v>
      </c>
      <c r="G90" s="52" t="s">
        <v>1248</v>
      </c>
      <c r="H90" s="61" t="s">
        <v>1249</v>
      </c>
      <c r="I90" s="62" t="s">
        <v>283</v>
      </c>
      <c r="J90" s="62">
        <v>12.0</v>
      </c>
      <c r="K90" s="64" t="s">
        <v>1250</v>
      </c>
      <c r="L90" s="64" t="s">
        <v>139</v>
      </c>
      <c r="M90" s="65">
        <v>4.9273879E7</v>
      </c>
      <c r="N90" s="65">
        <v>4106156.58333333</v>
      </c>
      <c r="O90" s="65">
        <v>185295.5</v>
      </c>
      <c r="P90" s="65" t="s">
        <v>811</v>
      </c>
      <c r="Q90" s="64" t="s">
        <v>812</v>
      </c>
      <c r="R90" s="68" t="s">
        <v>118</v>
      </c>
      <c r="S90" s="40" t="s">
        <v>1251</v>
      </c>
      <c r="T90" s="40" t="s">
        <v>1252</v>
      </c>
      <c r="U90" s="69" t="s">
        <v>1253</v>
      </c>
    </row>
    <row r="91" ht="16.5" customHeight="1">
      <c r="A91" s="88" t="s">
        <v>1254</v>
      </c>
      <c r="B91" s="40" t="s">
        <v>218</v>
      </c>
      <c r="C91" s="61" t="s">
        <v>1255</v>
      </c>
      <c r="D91" s="61" t="s">
        <v>1256</v>
      </c>
      <c r="E91" s="64" t="s">
        <v>1258</v>
      </c>
      <c r="F91" s="71" t="s">
        <v>1259</v>
      </c>
      <c r="G91" s="209" t="s">
        <v>1260</v>
      </c>
      <c r="H91" s="61" t="s">
        <v>1261</v>
      </c>
      <c r="I91" s="62" t="s">
        <v>989</v>
      </c>
      <c r="J91" s="62">
        <v>20.0</v>
      </c>
      <c r="K91" s="64" t="s">
        <v>1262</v>
      </c>
      <c r="L91" s="64" t="s">
        <v>285</v>
      </c>
      <c r="M91" s="65">
        <v>1.5512937E7</v>
      </c>
      <c r="N91" s="65">
        <v>775646.85</v>
      </c>
      <c r="O91" s="65">
        <v>184970.0</v>
      </c>
      <c r="P91" s="65" t="s">
        <v>811</v>
      </c>
      <c r="Q91" s="64" t="s">
        <v>812</v>
      </c>
      <c r="R91" s="68" t="s">
        <v>197</v>
      </c>
      <c r="S91" s="64" t="s">
        <v>1263</v>
      </c>
      <c r="T91" s="64" t="s">
        <v>1264</v>
      </c>
      <c r="U91" s="179" t="s">
        <v>1265</v>
      </c>
      <c r="V91" s="122"/>
      <c r="W91" s="122"/>
      <c r="X91" s="122"/>
      <c r="Y91" s="122"/>
      <c r="Z91" s="122"/>
      <c r="AA91" s="122"/>
    </row>
    <row r="92" ht="16.5" customHeight="1">
      <c r="A92" s="82" t="s">
        <v>1266</v>
      </c>
      <c r="B92" s="40" t="s">
        <v>165</v>
      </c>
      <c r="C92" s="55" t="s">
        <v>1267</v>
      </c>
      <c r="D92" s="55" t="s">
        <v>1268</v>
      </c>
      <c r="E92" s="40" t="s">
        <v>1269</v>
      </c>
      <c r="F92" s="52" t="s">
        <v>1270</v>
      </c>
      <c r="G92" s="52" t="s">
        <v>1271</v>
      </c>
      <c r="H92" s="61" t="s">
        <v>1272</v>
      </c>
      <c r="I92" s="62" t="s">
        <v>1273</v>
      </c>
      <c r="J92" s="62">
        <v>52.0</v>
      </c>
      <c r="K92" s="64" t="s">
        <v>1274</v>
      </c>
      <c r="L92" s="64" t="s">
        <v>188</v>
      </c>
      <c r="M92" s="65">
        <v>3.5257624E7</v>
      </c>
      <c r="N92" s="65">
        <v>678031.23076923</v>
      </c>
      <c r="O92" s="65">
        <v>180933.5</v>
      </c>
      <c r="P92" s="65" t="s">
        <v>811</v>
      </c>
      <c r="Q92" s="64" t="s">
        <v>812</v>
      </c>
      <c r="R92" s="68" t="s">
        <v>116</v>
      </c>
      <c r="S92" s="40" t="s">
        <v>1275</v>
      </c>
      <c r="T92" s="40" t="s">
        <v>1276</v>
      </c>
      <c r="U92" s="76" t="s">
        <v>1277</v>
      </c>
    </row>
    <row r="93" ht="16.5" customHeight="1">
      <c r="A93" s="45" t="s">
        <v>1278</v>
      </c>
      <c r="B93" s="25" t="s">
        <v>194</v>
      </c>
      <c r="C93" s="52" t="s">
        <v>1279</v>
      </c>
      <c r="D93" s="40" t="s">
        <v>153</v>
      </c>
      <c r="E93" s="64" t="s">
        <v>1280</v>
      </c>
      <c r="F93" s="71" t="s">
        <v>1281</v>
      </c>
      <c r="G93" s="55" t="s">
        <v>1282</v>
      </c>
      <c r="H93" s="71" t="s">
        <v>1284</v>
      </c>
      <c r="I93" s="62" t="s">
        <v>386</v>
      </c>
      <c r="J93" s="62">
        <v>14.0</v>
      </c>
      <c r="K93" s="64" t="s">
        <v>353</v>
      </c>
      <c r="L93" s="64" t="s">
        <v>1285</v>
      </c>
      <c r="M93" s="65">
        <v>1.0119346E7</v>
      </c>
      <c r="N93" s="65">
        <v>722810.428571428</v>
      </c>
      <c r="O93" s="65">
        <v>180428.5</v>
      </c>
      <c r="P93" s="65" t="s">
        <v>811</v>
      </c>
      <c r="Q93" s="64" t="s">
        <v>812</v>
      </c>
      <c r="R93" s="68" t="s">
        <v>116</v>
      </c>
      <c r="S93" s="40" t="s">
        <v>1286</v>
      </c>
      <c r="T93" s="40" t="s">
        <v>1287</v>
      </c>
      <c r="U93" s="76" t="s">
        <v>1288</v>
      </c>
    </row>
    <row r="94" ht="16.5" customHeight="1">
      <c r="A94" s="100" t="s">
        <v>1289</v>
      </c>
      <c r="B94" s="18" t="s">
        <v>179</v>
      </c>
      <c r="C94" s="55" t="s">
        <v>1290</v>
      </c>
      <c r="D94" s="52" t="s">
        <v>1291</v>
      </c>
      <c r="E94" s="40" t="s">
        <v>1292</v>
      </c>
      <c r="F94" s="18" t="s">
        <v>197</v>
      </c>
      <c r="G94" s="52" t="s">
        <v>1293</v>
      </c>
      <c r="H94" s="61" t="s">
        <v>1294</v>
      </c>
      <c r="I94" s="62" t="s">
        <v>1295</v>
      </c>
      <c r="J94" s="62">
        <v>21.0</v>
      </c>
      <c r="K94" s="64" t="s">
        <v>1296</v>
      </c>
      <c r="L94" s="64" t="s">
        <v>853</v>
      </c>
      <c r="M94" s="65">
        <v>7661810.0</v>
      </c>
      <c r="N94" s="65">
        <v>364848.095238095</v>
      </c>
      <c r="O94" s="65">
        <v>161481.0</v>
      </c>
      <c r="P94" s="65" t="s">
        <v>811</v>
      </c>
      <c r="Q94" s="64" t="s">
        <v>812</v>
      </c>
      <c r="R94" s="68" t="s">
        <v>120</v>
      </c>
      <c r="S94" s="40" t="s">
        <v>1297</v>
      </c>
      <c r="T94" s="40" t="s">
        <v>1298</v>
      </c>
      <c r="U94" s="76" t="s">
        <v>1299</v>
      </c>
    </row>
    <row r="95" ht="16.5" customHeight="1">
      <c r="A95" s="45" t="s">
        <v>1300</v>
      </c>
      <c r="B95" s="25" t="s">
        <v>194</v>
      </c>
      <c r="C95" s="55" t="s">
        <v>1301</v>
      </c>
      <c r="D95" s="40" t="s">
        <v>153</v>
      </c>
      <c r="E95" s="149" t="s">
        <v>1302</v>
      </c>
      <c r="F95" s="59" t="s">
        <v>1303</v>
      </c>
      <c r="G95" s="55" t="s">
        <v>1304</v>
      </c>
      <c r="H95" s="61" t="s">
        <v>1305</v>
      </c>
      <c r="I95" s="43">
        <v>262.0</v>
      </c>
      <c r="J95" s="62">
        <v>15.0</v>
      </c>
      <c r="K95" s="64" t="s">
        <v>1306</v>
      </c>
      <c r="L95" s="64" t="s">
        <v>297</v>
      </c>
      <c r="M95" s="65">
        <v>4514475.0</v>
      </c>
      <c r="N95" s="65">
        <v>300965.0</v>
      </c>
      <c r="O95" s="65">
        <v>147377.0</v>
      </c>
      <c r="P95" s="65" t="s">
        <v>811</v>
      </c>
      <c r="Q95" s="64" t="s">
        <v>812</v>
      </c>
      <c r="R95" s="68" t="s">
        <v>116</v>
      </c>
      <c r="S95" s="25" t="s">
        <v>1307</v>
      </c>
      <c r="T95" s="18" t="s">
        <v>1308</v>
      </c>
      <c r="U95" s="76" t="s">
        <v>1309</v>
      </c>
    </row>
    <row r="96" ht="16.5" customHeight="1">
      <c r="A96" s="70" t="s">
        <v>1310</v>
      </c>
      <c r="B96" s="77" t="s">
        <v>678</v>
      </c>
      <c r="C96" s="52" t="s">
        <v>1311</v>
      </c>
      <c r="D96" s="55" t="s">
        <v>1312</v>
      </c>
      <c r="E96" s="40" t="s">
        <v>1313</v>
      </c>
      <c r="F96" s="52" t="s">
        <v>1314</v>
      </c>
      <c r="G96" s="52" t="s">
        <v>1315</v>
      </c>
      <c r="H96" s="61" t="s">
        <v>1316</v>
      </c>
      <c r="I96" s="62" t="s">
        <v>1111</v>
      </c>
      <c r="J96" s="62">
        <v>35.0</v>
      </c>
      <c r="K96" s="64" t="s">
        <v>713</v>
      </c>
      <c r="L96" s="64" t="s">
        <v>139</v>
      </c>
      <c r="M96" s="65">
        <v>1.9381747E7</v>
      </c>
      <c r="N96" s="65">
        <v>553764.2</v>
      </c>
      <c r="O96" s="65">
        <v>146125.0</v>
      </c>
      <c r="P96" s="65" t="s">
        <v>811</v>
      </c>
      <c r="Q96" s="64" t="s">
        <v>812</v>
      </c>
      <c r="R96" s="68" t="s">
        <v>118</v>
      </c>
      <c r="S96" s="40" t="s">
        <v>1317</v>
      </c>
      <c r="T96" s="40" t="s">
        <v>1318</v>
      </c>
      <c r="U96" s="90" t="s">
        <v>1319</v>
      </c>
    </row>
    <row r="97" ht="16.5" customHeight="1">
      <c r="A97" s="49" t="s">
        <v>1320</v>
      </c>
      <c r="B97" s="18" t="s">
        <v>218</v>
      </c>
      <c r="C97" s="52" t="s">
        <v>1321</v>
      </c>
      <c r="D97" s="40" t="s">
        <v>153</v>
      </c>
      <c r="E97" s="40" t="s">
        <v>1322</v>
      </c>
      <c r="F97" s="59" t="s">
        <v>1323</v>
      </c>
      <c r="G97" s="52" t="s">
        <v>1324</v>
      </c>
      <c r="H97" s="61" t="s">
        <v>1325</v>
      </c>
      <c r="I97" s="62" t="s">
        <v>1327</v>
      </c>
      <c r="J97" s="62">
        <v>27.0</v>
      </c>
      <c r="K97" s="64" t="s">
        <v>1328</v>
      </c>
      <c r="L97" s="64" t="s">
        <v>139</v>
      </c>
      <c r="M97" s="65">
        <v>3.2036981E7</v>
      </c>
      <c r="N97" s="65">
        <v>1186554.85185185</v>
      </c>
      <c r="O97" s="65">
        <v>144629.0</v>
      </c>
      <c r="P97" s="65" t="s">
        <v>811</v>
      </c>
      <c r="Q97" s="64" t="s">
        <v>812</v>
      </c>
      <c r="R97" s="68" t="s">
        <v>116</v>
      </c>
      <c r="S97" s="40" t="s">
        <v>1329</v>
      </c>
      <c r="T97" s="40" t="s">
        <v>1330</v>
      </c>
      <c r="U97" s="76" t="s">
        <v>1331</v>
      </c>
    </row>
    <row r="98" ht="16.5" customHeight="1">
      <c r="A98" s="88" t="s">
        <v>1332</v>
      </c>
      <c r="B98" s="64" t="s">
        <v>194</v>
      </c>
      <c r="C98" s="120" t="s">
        <v>1334</v>
      </c>
      <c r="D98" s="40" t="s">
        <v>153</v>
      </c>
      <c r="E98" s="71" t="s">
        <v>1335</v>
      </c>
      <c r="F98" s="71" t="s">
        <v>1336</v>
      </c>
      <c r="G98" s="71" t="s">
        <v>1337</v>
      </c>
      <c r="H98" s="71" t="s">
        <v>1338</v>
      </c>
      <c r="I98" s="62" t="s">
        <v>752</v>
      </c>
      <c r="J98" s="62">
        <v>30.0</v>
      </c>
      <c r="K98" s="64" t="s">
        <v>1339</v>
      </c>
      <c r="L98" s="64" t="s">
        <v>297</v>
      </c>
      <c r="M98" s="65">
        <v>8656831.0</v>
      </c>
      <c r="N98" s="65">
        <v>288561.033333333</v>
      </c>
      <c r="O98" s="65">
        <v>125708.5</v>
      </c>
      <c r="P98" s="65" t="s">
        <v>811</v>
      </c>
      <c r="Q98" s="64" t="s">
        <v>812</v>
      </c>
      <c r="R98" s="68" t="s">
        <v>197</v>
      </c>
      <c r="S98" s="64" t="s">
        <v>1340</v>
      </c>
      <c r="T98" s="64" t="s">
        <v>1341</v>
      </c>
      <c r="U98" s="90" t="s">
        <v>1342</v>
      </c>
      <c r="V98" s="122"/>
      <c r="W98" s="122"/>
      <c r="X98" s="122"/>
      <c r="Y98" s="122"/>
      <c r="Z98" s="27"/>
      <c r="AA98" s="27"/>
      <c r="AB98" s="27"/>
      <c r="AC98" s="27"/>
      <c r="AD98" s="27"/>
      <c r="AE98" s="27"/>
      <c r="AF98" s="27"/>
      <c r="AG98" s="27"/>
      <c r="AH98" s="27"/>
      <c r="AI98" s="27"/>
      <c r="AJ98" s="27"/>
      <c r="AK98" s="27"/>
      <c r="AL98" s="27"/>
      <c r="AM98" s="27"/>
      <c r="AN98" s="27"/>
    </row>
    <row r="99" ht="16.5" customHeight="1">
      <c r="A99" s="70" t="s">
        <v>1343</v>
      </c>
      <c r="B99" s="77" t="s">
        <v>469</v>
      </c>
      <c r="C99" s="55" t="s">
        <v>1344</v>
      </c>
      <c r="D99" s="40" t="s">
        <v>252</v>
      </c>
      <c r="E99" s="52" t="s">
        <v>1345</v>
      </c>
      <c r="F99" s="52" t="s">
        <v>1346</v>
      </c>
      <c r="G99" s="59" t="s">
        <v>1347</v>
      </c>
      <c r="H99" s="61" t="s">
        <v>1348</v>
      </c>
      <c r="I99" s="62" t="s">
        <v>945</v>
      </c>
      <c r="J99" s="62">
        <v>18.0</v>
      </c>
      <c r="K99" s="64" t="s">
        <v>1349</v>
      </c>
      <c r="L99" s="64" t="s">
        <v>1285</v>
      </c>
      <c r="M99" s="65">
        <v>2.2515125E7</v>
      </c>
      <c r="N99" s="65">
        <v>1250840.27777777</v>
      </c>
      <c r="O99" s="65">
        <v>121321.0</v>
      </c>
      <c r="P99" s="65" t="s">
        <v>811</v>
      </c>
      <c r="Q99" s="64" t="s">
        <v>812</v>
      </c>
      <c r="R99" s="68" t="s">
        <v>116</v>
      </c>
      <c r="S99" s="40" t="s">
        <v>1350</v>
      </c>
      <c r="T99" s="40" t="s">
        <v>1351</v>
      </c>
      <c r="U99" s="76" t="s">
        <v>1352</v>
      </c>
    </row>
    <row r="100" ht="16.5" customHeight="1">
      <c r="A100" s="45" t="s">
        <v>1353</v>
      </c>
      <c r="B100" s="18" t="s">
        <v>179</v>
      </c>
      <c r="C100" s="55" t="s">
        <v>1354</v>
      </c>
      <c r="D100" s="55" t="s">
        <v>1355</v>
      </c>
      <c r="E100" s="210" t="s">
        <v>1356</v>
      </c>
      <c r="F100" s="202" t="s">
        <v>197</v>
      </c>
      <c r="G100" s="199" t="s">
        <v>1357</v>
      </c>
      <c r="H100" s="61" t="s">
        <v>1358</v>
      </c>
      <c r="I100" s="62" t="s">
        <v>294</v>
      </c>
      <c r="J100" s="62">
        <v>50.0</v>
      </c>
      <c r="K100" s="64" t="s">
        <v>284</v>
      </c>
      <c r="L100" s="64" t="s">
        <v>188</v>
      </c>
      <c r="M100" s="65">
        <v>2.6463116E7</v>
      </c>
      <c r="N100" s="65">
        <v>529262.32</v>
      </c>
      <c r="O100" s="65">
        <v>121163.5</v>
      </c>
      <c r="P100" s="65" t="s">
        <v>811</v>
      </c>
      <c r="Q100" s="64" t="s">
        <v>812</v>
      </c>
      <c r="R100" s="68" t="s">
        <v>118</v>
      </c>
      <c r="S100" s="18" t="s">
        <v>1359</v>
      </c>
      <c r="T100" s="18" t="s">
        <v>1360</v>
      </c>
      <c r="U100" s="76" t="s">
        <v>1361</v>
      </c>
    </row>
    <row r="101" ht="16.5" customHeight="1">
      <c r="A101" s="211" t="s">
        <v>1362</v>
      </c>
      <c r="B101" s="73" t="s">
        <v>179</v>
      </c>
      <c r="C101" s="212" t="s">
        <v>1363</v>
      </c>
      <c r="D101" s="213"/>
      <c r="E101" s="40"/>
      <c r="F101" s="94" t="s">
        <v>1364</v>
      </c>
      <c r="G101" s="94" t="s">
        <v>1365</v>
      </c>
      <c r="H101" s="94" t="s">
        <v>1366</v>
      </c>
      <c r="I101" s="78">
        <v>85.0</v>
      </c>
      <c r="J101" s="214">
        <v>6.0</v>
      </c>
      <c r="K101" s="92" t="s">
        <v>1058</v>
      </c>
      <c r="L101" s="92" t="s">
        <v>853</v>
      </c>
      <c r="M101" s="215">
        <v>1164606.0</v>
      </c>
      <c r="N101" s="215">
        <v>194101.0</v>
      </c>
      <c r="O101" s="215">
        <v>121246.0</v>
      </c>
      <c r="P101" s="92" t="s">
        <v>811</v>
      </c>
      <c r="Q101" s="64" t="s">
        <v>812</v>
      </c>
      <c r="R101" s="74"/>
      <c r="S101" s="74" t="s">
        <v>1367</v>
      </c>
      <c r="T101" s="74"/>
      <c r="U101" s="216" t="s">
        <v>1368</v>
      </c>
    </row>
    <row r="102" ht="16.5" customHeight="1">
      <c r="A102" s="70" t="s">
        <v>1369</v>
      </c>
      <c r="B102" s="77" t="s">
        <v>179</v>
      </c>
      <c r="C102" s="55" t="s">
        <v>1370</v>
      </c>
      <c r="D102" s="40" t="s">
        <v>153</v>
      </c>
      <c r="E102" s="52" t="s">
        <v>1371</v>
      </c>
      <c r="F102" s="52" t="s">
        <v>1372</v>
      </c>
      <c r="G102" s="59" t="s">
        <v>1373</v>
      </c>
      <c r="H102" s="61" t="s">
        <v>1374</v>
      </c>
      <c r="I102" s="62" t="s">
        <v>1375</v>
      </c>
      <c r="J102" s="62">
        <v>39.0</v>
      </c>
      <c r="K102" s="64" t="s">
        <v>1376</v>
      </c>
      <c r="L102" s="64" t="s">
        <v>297</v>
      </c>
      <c r="M102" s="65">
        <v>1.8990335E7</v>
      </c>
      <c r="N102" s="65">
        <v>486931.666666666</v>
      </c>
      <c r="O102" s="65">
        <v>116736.0</v>
      </c>
      <c r="P102" s="65" t="s">
        <v>811</v>
      </c>
      <c r="Q102" s="64" t="s">
        <v>812</v>
      </c>
      <c r="R102" s="68" t="s">
        <v>116</v>
      </c>
      <c r="S102" s="18" t="s">
        <v>1377</v>
      </c>
      <c r="T102" s="18" t="s">
        <v>1378</v>
      </c>
      <c r="U102" s="76" t="s">
        <v>1379</v>
      </c>
    </row>
    <row r="103" ht="16.5" customHeight="1">
      <c r="A103" s="217" t="s">
        <v>1380</v>
      </c>
      <c r="B103" s="40" t="s">
        <v>179</v>
      </c>
      <c r="C103" s="162" t="s">
        <v>1381</v>
      </c>
      <c r="D103" s="22"/>
      <c r="E103" s="40"/>
      <c r="F103" s="40"/>
      <c r="G103" s="52" t="s">
        <v>1382</v>
      </c>
      <c r="H103" s="55" t="s">
        <v>1383</v>
      </c>
      <c r="I103" s="62" t="s">
        <v>1384</v>
      </c>
      <c r="J103" s="62">
        <v>5.0</v>
      </c>
      <c r="K103" s="62" t="s">
        <v>1102</v>
      </c>
      <c r="L103" s="62" t="s">
        <v>897</v>
      </c>
      <c r="M103" s="65">
        <v>1740218.0</v>
      </c>
      <c r="N103" s="65">
        <v>348043.6</v>
      </c>
      <c r="O103" s="65">
        <v>116328.0</v>
      </c>
      <c r="P103" s="62" t="s">
        <v>811</v>
      </c>
      <c r="Q103" s="64" t="s">
        <v>812</v>
      </c>
      <c r="R103" s="18"/>
      <c r="S103" s="18" t="s">
        <v>1385</v>
      </c>
      <c r="T103" s="18"/>
      <c r="U103" s="216" t="s">
        <v>1386</v>
      </c>
    </row>
    <row r="104" ht="16.5" customHeight="1">
      <c r="A104" s="218" t="s">
        <v>1387</v>
      </c>
      <c r="B104" s="124" t="s">
        <v>243</v>
      </c>
      <c r="C104" s="219" t="s">
        <v>1388</v>
      </c>
      <c r="D104" s="220" t="s">
        <v>153</v>
      </c>
      <c r="E104" s="64" t="s">
        <v>197</v>
      </c>
      <c r="F104" s="221" t="s">
        <v>197</v>
      </c>
      <c r="G104" s="173" t="s">
        <v>1389</v>
      </c>
      <c r="H104" s="71" t="s">
        <v>1390</v>
      </c>
      <c r="I104" s="222" t="s">
        <v>989</v>
      </c>
      <c r="J104" s="62">
        <v>15.0</v>
      </c>
      <c r="K104" s="62" t="s">
        <v>1391</v>
      </c>
      <c r="L104" s="62" t="s">
        <v>285</v>
      </c>
      <c r="M104" s="65">
        <v>1.9025591E7</v>
      </c>
      <c r="N104" s="65">
        <v>1268372.73333333</v>
      </c>
      <c r="O104" s="65">
        <v>114971.0</v>
      </c>
      <c r="P104" s="64" t="s">
        <v>811</v>
      </c>
      <c r="Q104" s="183" t="s">
        <v>812</v>
      </c>
      <c r="R104" s="223" t="s">
        <v>116</v>
      </c>
      <c r="S104" s="102" t="s">
        <v>1392</v>
      </c>
      <c r="T104" s="119" t="s">
        <v>1393</v>
      </c>
      <c r="U104" s="224" t="s">
        <v>1394</v>
      </c>
      <c r="V104" s="191"/>
      <c r="W104" s="191"/>
      <c r="X104" s="191"/>
      <c r="Y104" s="191"/>
      <c r="Z104" s="191"/>
      <c r="AA104" s="191"/>
      <c r="AB104" s="122"/>
      <c r="AC104" s="122"/>
      <c r="AD104" s="122"/>
      <c r="AE104" s="122"/>
      <c r="AF104" s="122"/>
      <c r="AG104" s="122"/>
      <c r="AH104" s="122"/>
      <c r="AI104" s="122"/>
      <c r="AJ104" s="122"/>
      <c r="AK104" s="122"/>
      <c r="AL104" s="122"/>
      <c r="AM104" s="122"/>
      <c r="AN104" s="122"/>
    </row>
    <row r="105" ht="16.5" customHeight="1">
      <c r="A105" s="100" t="s">
        <v>1395</v>
      </c>
      <c r="B105" s="40" t="s">
        <v>179</v>
      </c>
      <c r="C105" s="55" t="s">
        <v>1396</v>
      </c>
      <c r="D105" s="40" t="s">
        <v>153</v>
      </c>
      <c r="E105" s="64" t="s">
        <v>1397</v>
      </c>
      <c r="F105" s="71" t="s">
        <v>1398</v>
      </c>
      <c r="G105" s="52" t="s">
        <v>1399</v>
      </c>
      <c r="H105" s="61" t="s">
        <v>1400</v>
      </c>
      <c r="I105" s="62" t="s">
        <v>1046</v>
      </c>
      <c r="J105" s="62">
        <v>30.0</v>
      </c>
      <c r="K105" s="64" t="s">
        <v>1401</v>
      </c>
      <c r="L105" s="64" t="s">
        <v>139</v>
      </c>
      <c r="M105" s="65">
        <v>2.2366841E7</v>
      </c>
      <c r="N105" s="65">
        <v>745561.366666666</v>
      </c>
      <c r="O105" s="65">
        <v>104445.5</v>
      </c>
      <c r="P105" s="65" t="s">
        <v>811</v>
      </c>
      <c r="Q105" s="64" t="s">
        <v>812</v>
      </c>
      <c r="R105" s="68" t="s">
        <v>120</v>
      </c>
      <c r="S105" s="40" t="s">
        <v>1402</v>
      </c>
      <c r="T105" s="40" t="s">
        <v>1403</v>
      </c>
      <c r="U105" s="76" t="s">
        <v>1404</v>
      </c>
      <c r="V105" s="189"/>
    </row>
    <row r="106" ht="16.5" customHeight="1">
      <c r="A106" s="70" t="s">
        <v>1405</v>
      </c>
      <c r="B106" s="40" t="s">
        <v>469</v>
      </c>
      <c r="C106" s="52" t="s">
        <v>1406</v>
      </c>
      <c r="D106" s="40" t="s">
        <v>153</v>
      </c>
      <c r="E106" s="86" t="s">
        <v>1407</v>
      </c>
      <c r="F106" s="59" t="s">
        <v>1408</v>
      </c>
      <c r="G106" s="52" t="s">
        <v>1409</v>
      </c>
      <c r="H106" s="61" t="s">
        <v>1410</v>
      </c>
      <c r="I106" s="62" t="s">
        <v>294</v>
      </c>
      <c r="J106" s="62">
        <v>72.0</v>
      </c>
      <c r="K106" s="64" t="s">
        <v>400</v>
      </c>
      <c r="L106" s="64" t="s">
        <v>188</v>
      </c>
      <c r="M106" s="65">
        <v>2.4232954E7</v>
      </c>
      <c r="N106" s="65">
        <v>336568.805555555</v>
      </c>
      <c r="O106" s="65">
        <v>99961.0</v>
      </c>
      <c r="P106" s="65" t="s">
        <v>811</v>
      </c>
      <c r="Q106" s="64" t="s">
        <v>812</v>
      </c>
      <c r="R106" s="68" t="s">
        <v>197</v>
      </c>
      <c r="S106" s="40" t="s">
        <v>1411</v>
      </c>
      <c r="T106" s="40" t="s">
        <v>1412</v>
      </c>
      <c r="U106" s="76" t="s">
        <v>1413</v>
      </c>
    </row>
    <row r="107" ht="16.5" customHeight="1">
      <c r="A107" s="225"/>
      <c r="B107" s="40"/>
      <c r="C107" s="40"/>
      <c r="D107" s="40"/>
      <c r="E107" s="40"/>
      <c r="F107" s="86"/>
      <c r="G107" s="86"/>
      <c r="I107" s="62"/>
      <c r="J107" s="62"/>
      <c r="K107" s="226"/>
      <c r="L107" s="226"/>
      <c r="M107" s="227"/>
      <c r="N107" s="228"/>
      <c r="O107" s="228"/>
      <c r="P107" s="42"/>
      <c r="Q107" s="42"/>
      <c r="R107" s="27"/>
      <c r="S107" s="22"/>
      <c r="T107" s="40"/>
      <c r="U107" s="28"/>
    </row>
    <row r="108" ht="16.5" customHeight="1">
      <c r="A108" s="30" t="s">
        <v>1414</v>
      </c>
      <c r="B108" s="32"/>
      <c r="C108" s="33"/>
      <c r="D108" s="32"/>
      <c r="E108" s="32"/>
      <c r="F108" s="32"/>
      <c r="G108" s="32"/>
      <c r="H108" s="32"/>
      <c r="I108" s="185"/>
      <c r="J108" s="185"/>
      <c r="K108" s="185"/>
      <c r="L108" s="185"/>
      <c r="M108" s="186"/>
      <c r="N108" s="186"/>
      <c r="O108" s="186"/>
      <c r="P108" s="187"/>
      <c r="Q108" s="36"/>
      <c r="R108" s="36"/>
      <c r="S108" s="38"/>
      <c r="T108" s="32"/>
      <c r="U108" s="38"/>
    </row>
    <row r="109" ht="16.5" customHeight="1">
      <c r="A109" s="225"/>
      <c r="B109" s="40"/>
      <c r="C109" s="40"/>
      <c r="D109" s="40"/>
      <c r="E109" s="40"/>
      <c r="F109" s="86"/>
      <c r="G109" s="86"/>
      <c r="H109" s="86"/>
      <c r="I109" s="43"/>
      <c r="J109" s="43"/>
      <c r="K109" s="43"/>
      <c r="L109" s="43"/>
      <c r="M109" s="44"/>
      <c r="N109" s="44"/>
      <c r="O109" s="44"/>
      <c r="P109" s="42"/>
      <c r="Q109" s="42"/>
      <c r="R109" s="27"/>
      <c r="S109" s="22"/>
      <c r="T109" s="40"/>
      <c r="U109" s="28"/>
    </row>
    <row r="110" ht="16.5" customHeight="1">
      <c r="A110" s="88" t="s">
        <v>1415</v>
      </c>
      <c r="B110" s="68" t="s">
        <v>1416</v>
      </c>
      <c r="C110" s="101" t="s">
        <v>1417</v>
      </c>
      <c r="D110" s="68" t="s">
        <v>153</v>
      </c>
      <c r="E110" s="68" t="s">
        <v>1418</v>
      </c>
      <c r="F110" s="101" t="s">
        <v>1419</v>
      </c>
      <c r="G110" s="101" t="s">
        <v>1420</v>
      </c>
      <c r="H110" s="101" t="s">
        <v>1421</v>
      </c>
      <c r="I110" s="62" t="s">
        <v>989</v>
      </c>
      <c r="J110" s="62">
        <v>2.0</v>
      </c>
      <c r="K110" s="62" t="s">
        <v>671</v>
      </c>
      <c r="L110" s="62" t="s">
        <v>249</v>
      </c>
      <c r="M110" s="65">
        <v>1.3527595E7</v>
      </c>
      <c r="N110" s="65">
        <v>6763797.5</v>
      </c>
      <c r="O110" s="65">
        <v>6763797.5</v>
      </c>
      <c r="P110" s="65" t="s">
        <v>811</v>
      </c>
      <c r="Q110" s="64" t="s">
        <v>112</v>
      </c>
      <c r="R110" s="68" t="s">
        <v>197</v>
      </c>
      <c r="S110" s="64" t="s">
        <v>1422</v>
      </c>
      <c r="T110" s="68" t="s">
        <v>1423</v>
      </c>
      <c r="U110" s="179" t="s">
        <v>1424</v>
      </c>
      <c r="V110" s="27"/>
      <c r="W110" s="27"/>
      <c r="X110" s="27"/>
      <c r="Y110" s="27"/>
      <c r="Z110" s="27"/>
      <c r="AA110" s="27"/>
      <c r="AB110" s="27"/>
      <c r="AC110" s="27"/>
      <c r="AD110" s="27"/>
      <c r="AE110" s="27"/>
      <c r="AF110" s="27"/>
      <c r="AG110" s="27"/>
      <c r="AH110" s="27"/>
      <c r="AI110" s="27"/>
      <c r="AJ110" s="27"/>
      <c r="AK110" s="27"/>
      <c r="AL110" s="27"/>
      <c r="AM110" s="27"/>
      <c r="AN110" s="27"/>
    </row>
    <row r="111" ht="16.5" customHeight="1">
      <c r="A111" s="82" t="s">
        <v>1425</v>
      </c>
      <c r="B111" s="73" t="s">
        <v>1426</v>
      </c>
      <c r="C111" s="52" t="s">
        <v>1427</v>
      </c>
      <c r="D111" s="173" t="s">
        <v>1428</v>
      </c>
      <c r="E111" s="173" t="s">
        <v>1429</v>
      </c>
      <c r="F111" s="173" t="s">
        <v>1430</v>
      </c>
      <c r="G111" s="59" t="s">
        <v>1431</v>
      </c>
      <c r="H111" s="229" t="s">
        <v>1432</v>
      </c>
      <c r="I111" s="230">
        <v>365.0</v>
      </c>
      <c r="J111" s="230">
        <v>1.0</v>
      </c>
      <c r="K111" s="230" t="s">
        <v>896</v>
      </c>
      <c r="L111" s="230" t="s">
        <v>139</v>
      </c>
      <c r="M111" s="65">
        <v>6166287.0</v>
      </c>
      <c r="N111" s="65">
        <v>6166287.0</v>
      </c>
      <c r="O111" s="65">
        <v>6166287.0</v>
      </c>
      <c r="P111" s="230" t="s">
        <v>811</v>
      </c>
      <c r="Q111" s="40" t="s">
        <v>112</v>
      </c>
      <c r="R111" s="25" t="s">
        <v>116</v>
      </c>
      <c r="S111" s="40" t="s">
        <v>1433</v>
      </c>
      <c r="T111" s="40" t="s">
        <v>1434</v>
      </c>
      <c r="U111" s="76" t="s">
        <v>1435</v>
      </c>
      <c r="V111" s="153"/>
      <c r="W111" s="153"/>
      <c r="X111" s="153"/>
      <c r="Y111" s="153"/>
      <c r="Z111" s="153"/>
      <c r="AA111" s="153"/>
      <c r="AB111" s="153"/>
      <c r="AC111" s="153"/>
      <c r="AD111" s="153"/>
      <c r="AE111" s="153"/>
      <c r="AF111" s="153"/>
      <c r="AG111" s="153"/>
      <c r="AH111" s="153"/>
      <c r="AI111" s="153"/>
      <c r="AJ111" s="153"/>
      <c r="AK111" s="153"/>
      <c r="AL111" s="153"/>
      <c r="AM111" s="153"/>
      <c r="AN111" s="153"/>
    </row>
    <row r="112" ht="16.5" customHeight="1">
      <c r="A112" s="91" t="s">
        <v>1436</v>
      </c>
      <c r="B112" s="73" t="s">
        <v>60</v>
      </c>
      <c r="C112" s="94" t="s">
        <v>1437</v>
      </c>
      <c r="D112" s="93" t="s">
        <v>1438</v>
      </c>
      <c r="E112" s="40"/>
      <c r="F112" s="94" t="s">
        <v>1439</v>
      </c>
      <c r="G112" s="94" t="s">
        <v>1440</v>
      </c>
      <c r="H112" s="231" t="s">
        <v>1441</v>
      </c>
      <c r="I112" s="78" t="s">
        <v>153</v>
      </c>
      <c r="J112" s="78">
        <v>1.0</v>
      </c>
      <c r="K112" s="92" t="s">
        <v>773</v>
      </c>
      <c r="L112" s="92" t="s">
        <v>773</v>
      </c>
      <c r="M112" s="79">
        <v>2728422.0</v>
      </c>
      <c r="N112" s="79">
        <v>2728422.0</v>
      </c>
      <c r="O112" s="79">
        <v>2728422.0</v>
      </c>
      <c r="P112" s="215" t="s">
        <v>811</v>
      </c>
      <c r="Q112" s="74" t="s">
        <v>112</v>
      </c>
      <c r="R112" s="74"/>
      <c r="S112" s="73" t="s">
        <v>1442</v>
      </c>
      <c r="T112" s="73"/>
      <c r="U112" s="74"/>
    </row>
    <row r="113" ht="16.5" customHeight="1">
      <c r="A113" s="100" t="s">
        <v>1443</v>
      </c>
      <c r="B113" s="18" t="s">
        <v>60</v>
      </c>
      <c r="C113" s="199" t="s">
        <v>1444</v>
      </c>
      <c r="D113" s="22"/>
      <c r="E113" s="18" t="s">
        <v>1445</v>
      </c>
      <c r="F113" s="162" t="s">
        <v>1446</v>
      </c>
      <c r="G113" s="162" t="s">
        <v>1447</v>
      </c>
      <c r="H113" s="199" t="s">
        <v>1448</v>
      </c>
      <c r="I113" s="62" t="s">
        <v>153</v>
      </c>
      <c r="J113" s="62">
        <v>1.0</v>
      </c>
      <c r="K113" s="62" t="s">
        <v>308</v>
      </c>
      <c r="L113" s="62" t="s">
        <v>308</v>
      </c>
      <c r="M113" s="65">
        <v>907345.0</v>
      </c>
      <c r="N113" s="65">
        <v>907345.0</v>
      </c>
      <c r="O113" s="65">
        <v>907345.0</v>
      </c>
      <c r="P113" s="64" t="s">
        <v>811</v>
      </c>
      <c r="Q113" s="64" t="s">
        <v>112</v>
      </c>
      <c r="R113" s="122" t="s">
        <v>197</v>
      </c>
      <c r="S113" s="18" t="s">
        <v>1449</v>
      </c>
      <c r="T113" s="18" t="s">
        <v>1450</v>
      </c>
      <c r="U113" s="76" t="s">
        <v>1451</v>
      </c>
    </row>
    <row r="114" ht="16.5" customHeight="1">
      <c r="A114" s="88" t="s">
        <v>1452</v>
      </c>
      <c r="B114" s="64" t="s">
        <v>165</v>
      </c>
      <c r="C114" s="71" t="s">
        <v>1453</v>
      </c>
      <c r="D114" s="122"/>
      <c r="E114" s="64" t="s">
        <v>1454</v>
      </c>
      <c r="F114" s="64" t="s">
        <v>1455</v>
      </c>
      <c r="G114" s="71" t="s">
        <v>1456</v>
      </c>
      <c r="H114" s="190" t="s">
        <v>1457</v>
      </c>
      <c r="I114" s="62">
        <v>24.0</v>
      </c>
      <c r="J114" s="62">
        <v>1.0</v>
      </c>
      <c r="K114" s="64" t="s">
        <v>1092</v>
      </c>
      <c r="L114" s="64" t="s">
        <v>139</v>
      </c>
      <c r="M114" s="65">
        <v>708774.0</v>
      </c>
      <c r="N114" s="65">
        <v>708774.0</v>
      </c>
      <c r="O114" s="65">
        <v>708774.0</v>
      </c>
      <c r="P114" s="64" t="s">
        <v>811</v>
      </c>
      <c r="Q114" s="64" t="s">
        <v>112</v>
      </c>
      <c r="R114" s="42" t="s">
        <v>197</v>
      </c>
      <c r="S114" s="64" t="s">
        <v>1458</v>
      </c>
      <c r="T114" s="64" t="s">
        <v>1459</v>
      </c>
      <c r="U114" s="90" t="s">
        <v>1460</v>
      </c>
      <c r="V114" s="27"/>
      <c r="W114" s="27"/>
      <c r="X114" s="27"/>
      <c r="Y114" s="27"/>
      <c r="Z114" s="27"/>
      <c r="AA114" s="27"/>
      <c r="AB114" s="27"/>
      <c r="AC114" s="27"/>
      <c r="AD114" s="27"/>
      <c r="AE114" s="27"/>
      <c r="AF114" s="27"/>
      <c r="AG114" s="27"/>
      <c r="AH114" s="27"/>
      <c r="AI114" s="27"/>
      <c r="AJ114" s="27"/>
      <c r="AK114" s="27"/>
      <c r="AL114" s="27"/>
      <c r="AM114" s="27"/>
      <c r="AN114" s="27"/>
    </row>
    <row r="115" ht="16.5" customHeight="1">
      <c r="A115" s="100" t="s">
        <v>1461</v>
      </c>
      <c r="B115" s="18" t="s">
        <v>218</v>
      </c>
      <c r="C115" s="52" t="s">
        <v>1462</v>
      </c>
      <c r="D115" s="40" t="s">
        <v>153</v>
      </c>
      <c r="E115" s="210" t="s">
        <v>1463</v>
      </c>
      <c r="F115" s="52" t="s">
        <v>1464</v>
      </c>
      <c r="G115" s="52" t="s">
        <v>1465</v>
      </c>
      <c r="H115" s="61" t="s">
        <v>1466</v>
      </c>
      <c r="I115" s="62" t="s">
        <v>907</v>
      </c>
      <c r="J115" s="62">
        <v>1.0</v>
      </c>
      <c r="K115" s="64" t="s">
        <v>1467</v>
      </c>
      <c r="L115" s="64" t="s">
        <v>1467</v>
      </c>
      <c r="M115" s="65">
        <v>104114.0</v>
      </c>
      <c r="N115" s="65">
        <v>104114.0</v>
      </c>
      <c r="O115" s="65">
        <v>104114.0</v>
      </c>
      <c r="P115" s="65" t="s">
        <v>811</v>
      </c>
      <c r="Q115" s="64" t="s">
        <v>112</v>
      </c>
      <c r="R115" s="68" t="s">
        <v>197</v>
      </c>
      <c r="S115" s="40" t="s">
        <v>1468</v>
      </c>
      <c r="T115" s="40" t="s">
        <v>1469</v>
      </c>
      <c r="U115" s="76" t="s">
        <v>153</v>
      </c>
    </row>
    <row r="116" ht="16.5" customHeight="1">
      <c r="A116" s="88" t="s">
        <v>1470</v>
      </c>
      <c r="B116" s="18" t="s">
        <v>194</v>
      </c>
      <c r="C116" s="71" t="s">
        <v>1471</v>
      </c>
      <c r="D116" s="190" t="s">
        <v>1472</v>
      </c>
      <c r="E116" s="120" t="s">
        <v>1473</v>
      </c>
      <c r="F116" s="71" t="s">
        <v>1474</v>
      </c>
      <c r="G116" s="192" t="s">
        <v>1475</v>
      </c>
      <c r="H116" s="192" t="s">
        <v>1476</v>
      </c>
      <c r="I116" s="62" t="s">
        <v>907</v>
      </c>
      <c r="J116" s="62">
        <v>33.0</v>
      </c>
      <c r="K116" s="62" t="s">
        <v>284</v>
      </c>
      <c r="L116" s="62" t="s">
        <v>188</v>
      </c>
      <c r="M116" s="65">
        <v>9133537.0</v>
      </c>
      <c r="N116" s="65">
        <v>276773.848484848</v>
      </c>
      <c r="O116" s="65">
        <v>89006.0</v>
      </c>
      <c r="P116" s="64" t="s">
        <v>811</v>
      </c>
      <c r="Q116" s="64" t="s">
        <v>112</v>
      </c>
      <c r="R116" s="68" t="s">
        <v>197</v>
      </c>
      <c r="S116" s="64" t="s">
        <v>1477</v>
      </c>
      <c r="T116" s="64" t="s">
        <v>1478</v>
      </c>
      <c r="U116" s="90" t="s">
        <v>1479</v>
      </c>
      <c r="V116" s="191"/>
      <c r="W116" s="191"/>
      <c r="X116" s="191"/>
      <c r="Y116" s="191"/>
      <c r="Z116" s="191"/>
      <c r="AA116" s="191"/>
      <c r="AB116" s="122"/>
      <c r="AC116" s="122"/>
      <c r="AD116" s="122"/>
      <c r="AE116" s="122"/>
      <c r="AF116" s="122"/>
      <c r="AG116" s="122"/>
      <c r="AH116" s="122"/>
      <c r="AI116" s="122"/>
      <c r="AJ116" s="122"/>
      <c r="AK116" s="122"/>
      <c r="AL116" s="122"/>
      <c r="AM116" s="122"/>
      <c r="AN116" s="122"/>
    </row>
    <row r="117" ht="16.5" customHeight="1">
      <c r="A117" s="91" t="s">
        <v>1480</v>
      </c>
      <c r="B117" s="73" t="s">
        <v>194</v>
      </c>
      <c r="C117" s="94" t="s">
        <v>1481</v>
      </c>
      <c r="D117" s="232"/>
      <c r="E117" s="40"/>
      <c r="F117" s="94" t="s">
        <v>1482</v>
      </c>
      <c r="G117" s="94" t="s">
        <v>1483</v>
      </c>
      <c r="H117" s="231" t="s">
        <v>1484</v>
      </c>
      <c r="I117" s="78">
        <v>292.0</v>
      </c>
      <c r="J117" s="78">
        <v>1.0</v>
      </c>
      <c r="K117" s="92" t="s">
        <v>365</v>
      </c>
      <c r="L117" s="92" t="s">
        <v>365</v>
      </c>
      <c r="M117" s="79">
        <v>85940.0</v>
      </c>
      <c r="N117" s="79">
        <v>85940.0</v>
      </c>
      <c r="O117" s="79">
        <v>85940.0</v>
      </c>
      <c r="P117" s="215" t="s">
        <v>811</v>
      </c>
      <c r="Q117" s="74" t="s">
        <v>112</v>
      </c>
      <c r="R117" s="74"/>
      <c r="S117" s="73" t="s">
        <v>1485</v>
      </c>
      <c r="T117" s="73"/>
      <c r="U117" s="74" t="s">
        <v>1486</v>
      </c>
    </row>
    <row r="118" ht="16.5" customHeight="1">
      <c r="A118" s="233" t="s">
        <v>1487</v>
      </c>
      <c r="B118" s="14" t="s">
        <v>165</v>
      </c>
      <c r="C118" s="116" t="s">
        <v>1488</v>
      </c>
      <c r="D118" s="203" t="s">
        <v>153</v>
      </c>
      <c r="E118" s="59" t="s">
        <v>1489</v>
      </c>
      <c r="F118" s="71" t="s">
        <v>1490</v>
      </c>
      <c r="G118" s="234" t="s">
        <v>1491</v>
      </c>
      <c r="H118" s="61" t="s">
        <v>1492</v>
      </c>
      <c r="I118" s="62" t="s">
        <v>1493</v>
      </c>
      <c r="J118" s="63" t="s">
        <v>1494</v>
      </c>
      <c r="K118" s="64" t="s">
        <v>1495</v>
      </c>
      <c r="L118" s="64" t="s">
        <v>285</v>
      </c>
      <c r="M118" s="65">
        <v>3.8498238E7</v>
      </c>
      <c r="N118" s="65">
        <v>513309.84</v>
      </c>
      <c r="O118" s="65">
        <v>81784.0</v>
      </c>
      <c r="P118" s="66" t="s">
        <v>811</v>
      </c>
      <c r="Q118" s="64" t="s">
        <v>112</v>
      </c>
      <c r="R118" s="68" t="s">
        <v>118</v>
      </c>
      <c r="S118" s="129" t="s">
        <v>1496</v>
      </c>
      <c r="T118" s="129" t="s">
        <v>1497</v>
      </c>
      <c r="U118" s="69" t="s">
        <v>1498</v>
      </c>
      <c r="V118" s="27"/>
      <c r="W118" s="27"/>
      <c r="X118" s="27"/>
      <c r="Y118" s="27"/>
      <c r="Z118" s="27"/>
      <c r="AA118" s="27"/>
      <c r="AB118" s="27"/>
      <c r="AC118" s="27"/>
      <c r="AD118" s="27"/>
      <c r="AE118" s="27"/>
      <c r="AF118" s="27"/>
      <c r="AG118" s="27"/>
      <c r="AH118" s="27"/>
      <c r="AI118" s="27"/>
      <c r="AJ118" s="27"/>
      <c r="AK118" s="27"/>
      <c r="AL118" s="27"/>
      <c r="AM118" s="27"/>
      <c r="AN118" s="27"/>
    </row>
    <row r="119" ht="16.5" customHeight="1">
      <c r="A119" s="70" t="s">
        <v>1499</v>
      </c>
      <c r="B119" s="77" t="s">
        <v>194</v>
      </c>
      <c r="C119" s="52" t="s">
        <v>1500</v>
      </c>
      <c r="D119" s="40" t="s">
        <v>153</v>
      </c>
      <c r="E119" s="52" t="s">
        <v>1502</v>
      </c>
      <c r="F119" s="52" t="s">
        <v>1504</v>
      </c>
      <c r="G119" s="59" t="s">
        <v>1505</v>
      </c>
      <c r="H119" s="61" t="s">
        <v>1506</v>
      </c>
      <c r="I119" s="62" t="s">
        <v>1493</v>
      </c>
      <c r="J119" s="62">
        <v>32.0</v>
      </c>
      <c r="K119" s="64" t="s">
        <v>852</v>
      </c>
      <c r="L119" s="64" t="s">
        <v>139</v>
      </c>
      <c r="M119" s="65">
        <v>1.6758722E7</v>
      </c>
      <c r="N119" s="65">
        <v>523710.0625</v>
      </c>
      <c r="O119" s="65">
        <v>74496.0</v>
      </c>
      <c r="P119" s="65" t="s">
        <v>811</v>
      </c>
      <c r="Q119" s="64" t="s">
        <v>112</v>
      </c>
      <c r="R119" s="68" t="s">
        <v>118</v>
      </c>
      <c r="S119" s="77" t="s">
        <v>1507</v>
      </c>
      <c r="T119" s="40" t="s">
        <v>1508</v>
      </c>
      <c r="U119" s="115" t="s">
        <v>1509</v>
      </c>
      <c r="V119" s="96"/>
    </row>
    <row r="120" ht="16.5" customHeight="1">
      <c r="A120" s="49" t="s">
        <v>1510</v>
      </c>
      <c r="B120" s="25" t="s">
        <v>1511</v>
      </c>
      <c r="C120" s="55" t="s">
        <v>1512</v>
      </c>
      <c r="D120" s="40" t="s">
        <v>153</v>
      </c>
      <c r="E120" s="52" t="s">
        <v>1513</v>
      </c>
      <c r="F120" s="59" t="s">
        <v>1514</v>
      </c>
      <c r="G120" s="59" t="s">
        <v>1515</v>
      </c>
      <c r="H120" s="61" t="s">
        <v>1516</v>
      </c>
      <c r="I120" s="62" t="s">
        <v>1196</v>
      </c>
      <c r="J120" s="62">
        <v>21.0</v>
      </c>
      <c r="K120" s="64" t="s">
        <v>582</v>
      </c>
      <c r="L120" s="64" t="s">
        <v>139</v>
      </c>
      <c r="M120" s="65">
        <v>5146526.0</v>
      </c>
      <c r="N120" s="65">
        <v>245072.666666666</v>
      </c>
      <c r="O120" s="65">
        <v>71979.0</v>
      </c>
      <c r="P120" s="65" t="s">
        <v>811</v>
      </c>
      <c r="Q120" s="64" t="s">
        <v>112</v>
      </c>
      <c r="R120" s="68" t="s">
        <v>116</v>
      </c>
      <c r="S120" s="25" t="s">
        <v>1518</v>
      </c>
      <c r="T120" s="40" t="s">
        <v>1519</v>
      </c>
      <c r="U120" s="76" t="s">
        <v>153</v>
      </c>
    </row>
    <row r="121" ht="16.5" customHeight="1">
      <c r="A121" s="49" t="s">
        <v>1520</v>
      </c>
      <c r="B121" s="25" t="s">
        <v>194</v>
      </c>
      <c r="C121" s="55" t="s">
        <v>1521</v>
      </c>
      <c r="D121" s="40" t="s">
        <v>153</v>
      </c>
      <c r="E121" s="52" t="s">
        <v>1522</v>
      </c>
      <c r="F121" s="59" t="s">
        <v>1523</v>
      </c>
      <c r="G121" s="55" t="s">
        <v>1524</v>
      </c>
      <c r="H121" s="71" t="s">
        <v>1525</v>
      </c>
      <c r="I121" s="62" t="s">
        <v>1196</v>
      </c>
      <c r="J121" s="62">
        <v>5.0</v>
      </c>
      <c r="K121" s="64" t="s">
        <v>1526</v>
      </c>
      <c r="L121" s="64" t="s">
        <v>853</v>
      </c>
      <c r="M121" s="65">
        <v>470850.0</v>
      </c>
      <c r="N121" s="65">
        <v>94170.0</v>
      </c>
      <c r="O121" s="65">
        <v>70318.0</v>
      </c>
      <c r="P121" s="65" t="s">
        <v>811</v>
      </c>
      <c r="Q121" s="64" t="s">
        <v>112</v>
      </c>
      <c r="R121" s="68" t="s">
        <v>116</v>
      </c>
      <c r="S121" s="18" t="s">
        <v>1527</v>
      </c>
      <c r="T121" s="40" t="s">
        <v>1528</v>
      </c>
      <c r="U121" s="76" t="s">
        <v>1529</v>
      </c>
    </row>
    <row r="122" ht="16.5" customHeight="1">
      <c r="A122" s="70" t="s">
        <v>1530</v>
      </c>
      <c r="B122" s="77" t="s">
        <v>218</v>
      </c>
      <c r="C122" s="52" t="s">
        <v>1531</v>
      </c>
      <c r="D122" s="40" t="s">
        <v>153</v>
      </c>
      <c r="E122" s="40" t="s">
        <v>1532</v>
      </c>
      <c r="F122" s="18" t="s">
        <v>197</v>
      </c>
      <c r="G122" s="52" t="s">
        <v>1533</v>
      </c>
      <c r="H122" s="61" t="s">
        <v>1534</v>
      </c>
      <c r="I122" s="62" t="s">
        <v>907</v>
      </c>
      <c r="J122" s="62">
        <v>14.0</v>
      </c>
      <c r="K122" s="64" t="s">
        <v>789</v>
      </c>
      <c r="L122" s="64" t="s">
        <v>884</v>
      </c>
      <c r="M122" s="65">
        <v>1655515.0</v>
      </c>
      <c r="N122" s="65">
        <v>118251.071428571</v>
      </c>
      <c r="O122" s="65">
        <v>70302.0</v>
      </c>
      <c r="P122" s="65" t="s">
        <v>811</v>
      </c>
      <c r="Q122" s="64" t="s">
        <v>112</v>
      </c>
      <c r="R122" s="68" t="s">
        <v>116</v>
      </c>
      <c r="S122" s="18" t="s">
        <v>1535</v>
      </c>
      <c r="T122" s="18" t="s">
        <v>1536</v>
      </c>
      <c r="U122" s="76" t="s">
        <v>1537</v>
      </c>
    </row>
    <row r="123" ht="16.5" customHeight="1">
      <c r="A123" s="100" t="s">
        <v>1538</v>
      </c>
      <c r="B123" s="18" t="s">
        <v>194</v>
      </c>
      <c r="C123" s="55" t="s">
        <v>1539</v>
      </c>
      <c r="D123" s="18" t="s">
        <v>153</v>
      </c>
      <c r="E123" s="52" t="s">
        <v>1540</v>
      </c>
      <c r="F123" s="162" t="s">
        <v>1541</v>
      </c>
      <c r="G123" s="52" t="s">
        <v>1542</v>
      </c>
      <c r="H123" s="61" t="s">
        <v>1543</v>
      </c>
      <c r="I123" s="62" t="s">
        <v>1090</v>
      </c>
      <c r="J123" s="62">
        <v>84.0</v>
      </c>
      <c r="K123" s="64" t="s">
        <v>1274</v>
      </c>
      <c r="L123" s="62" t="s">
        <v>139</v>
      </c>
      <c r="M123" s="65">
        <v>2.5454911E7</v>
      </c>
      <c r="N123" s="65">
        <v>303034.654761904</v>
      </c>
      <c r="O123" s="65">
        <v>69713.0</v>
      </c>
      <c r="P123" s="65" t="s">
        <v>811</v>
      </c>
      <c r="Q123" s="64" t="s">
        <v>112</v>
      </c>
      <c r="R123" s="68" t="s">
        <v>120</v>
      </c>
      <c r="S123" s="40" t="s">
        <v>1544</v>
      </c>
      <c r="T123" s="40" t="s">
        <v>1545</v>
      </c>
      <c r="U123" s="235" t="s">
        <v>1546</v>
      </c>
      <c r="V123" s="189"/>
    </row>
    <row r="124" ht="16.5" customHeight="1">
      <c r="A124" s="70" t="s">
        <v>1547</v>
      </c>
      <c r="B124" s="77" t="s">
        <v>469</v>
      </c>
      <c r="C124" s="52" t="s">
        <v>1548</v>
      </c>
      <c r="D124" s="40" t="s">
        <v>153</v>
      </c>
      <c r="E124" s="40" t="s">
        <v>1549</v>
      </c>
      <c r="F124" s="52" t="s">
        <v>1550</v>
      </c>
      <c r="G124" s="162" t="s">
        <v>1551</v>
      </c>
      <c r="H124" s="61" t="s">
        <v>1552</v>
      </c>
      <c r="I124" s="62" t="s">
        <v>482</v>
      </c>
      <c r="J124" s="62">
        <v>67.0</v>
      </c>
      <c r="K124" s="64" t="s">
        <v>1553</v>
      </c>
      <c r="L124" s="64" t="s">
        <v>188</v>
      </c>
      <c r="M124" s="65">
        <v>2.3033076E7</v>
      </c>
      <c r="N124" s="65">
        <v>343777.253731343</v>
      </c>
      <c r="O124" s="65">
        <v>67525.0</v>
      </c>
      <c r="P124" s="65" t="s">
        <v>811</v>
      </c>
      <c r="Q124" s="64" t="s">
        <v>112</v>
      </c>
      <c r="R124" s="68" t="s">
        <v>118</v>
      </c>
      <c r="S124" s="18" t="s">
        <v>1554</v>
      </c>
      <c r="T124" s="18" t="s">
        <v>1555</v>
      </c>
      <c r="U124" s="76" t="s">
        <v>1556</v>
      </c>
      <c r="V124" s="27"/>
    </row>
    <row r="125" ht="16.5" customHeight="1">
      <c r="A125" s="99" t="s">
        <v>1557</v>
      </c>
      <c r="B125" s="68" t="s">
        <v>194</v>
      </c>
      <c r="C125" s="101" t="s">
        <v>1558</v>
      </c>
      <c r="D125" s="122"/>
      <c r="E125" s="68" t="s">
        <v>1559</v>
      </c>
      <c r="F125" s="68" t="s">
        <v>1560</v>
      </c>
      <c r="G125" s="101" t="s">
        <v>1561</v>
      </c>
      <c r="H125" s="68"/>
      <c r="I125" s="62" t="s">
        <v>1196</v>
      </c>
      <c r="J125" s="62">
        <v>7.0</v>
      </c>
      <c r="K125" s="64" t="s">
        <v>1562</v>
      </c>
      <c r="L125" s="64" t="s">
        <v>188</v>
      </c>
      <c r="M125" s="65">
        <v>729229.0</v>
      </c>
      <c r="N125" s="65">
        <v>104175.571428571</v>
      </c>
      <c r="O125" s="65">
        <v>61245.0</v>
      </c>
      <c r="P125" s="64" t="s">
        <v>811</v>
      </c>
      <c r="Q125" s="64" t="s">
        <v>112</v>
      </c>
      <c r="R125" s="42" t="s">
        <v>197</v>
      </c>
      <c r="S125" s="122"/>
      <c r="T125" s="68" t="s">
        <v>1563</v>
      </c>
      <c r="U125" s="179" t="s">
        <v>1564</v>
      </c>
      <c r="V125" s="27"/>
      <c r="W125" s="27"/>
      <c r="X125" s="27"/>
      <c r="Y125" s="27"/>
      <c r="Z125" s="27"/>
      <c r="AA125" s="27"/>
      <c r="AB125" s="27"/>
      <c r="AC125" s="27"/>
      <c r="AD125" s="27"/>
      <c r="AE125" s="27"/>
      <c r="AF125" s="27"/>
      <c r="AG125" s="27"/>
      <c r="AH125" s="27"/>
      <c r="AI125" s="27"/>
      <c r="AJ125" s="27"/>
      <c r="AK125" s="27"/>
      <c r="AL125" s="27"/>
      <c r="AM125" s="27"/>
      <c r="AN125" s="27"/>
    </row>
    <row r="126" ht="16.5" customHeight="1">
      <c r="A126" s="105" t="s">
        <v>1565</v>
      </c>
      <c r="B126" s="18" t="s">
        <v>302</v>
      </c>
      <c r="C126" s="71" t="s">
        <v>1566</v>
      </c>
      <c r="D126" s="64"/>
      <c r="E126" s="236" t="s">
        <v>1567</v>
      </c>
      <c r="F126" s="71" t="s">
        <v>1568</v>
      </c>
      <c r="G126" s="120" t="s">
        <v>1569</v>
      </c>
      <c r="H126" s="142" t="s">
        <v>1570</v>
      </c>
      <c r="I126" s="78">
        <v>71.0</v>
      </c>
      <c r="J126" s="62">
        <v>2.0</v>
      </c>
      <c r="K126" s="62" t="s">
        <v>947</v>
      </c>
      <c r="L126" s="62" t="s">
        <v>139</v>
      </c>
      <c r="M126" s="65">
        <v>120674.0</v>
      </c>
      <c r="N126" s="65">
        <v>60337.0</v>
      </c>
      <c r="O126" s="65">
        <v>60337.0</v>
      </c>
      <c r="P126" s="65" t="s">
        <v>811</v>
      </c>
      <c r="Q126" s="64" t="s">
        <v>112</v>
      </c>
      <c r="R126" s="68" t="s">
        <v>197</v>
      </c>
      <c r="S126" s="64" t="s">
        <v>1571</v>
      </c>
      <c r="T126" s="64" t="s">
        <v>153</v>
      </c>
      <c r="U126" s="90" t="s">
        <v>1572</v>
      </c>
      <c r="V126" s="191"/>
      <c r="W126" s="191"/>
    </row>
    <row r="127" ht="16.5" customHeight="1">
      <c r="A127" s="99" t="s">
        <v>1573</v>
      </c>
      <c r="B127" s="64" t="s">
        <v>218</v>
      </c>
      <c r="C127" s="71" t="s">
        <v>1574</v>
      </c>
      <c r="D127" s="64" t="s">
        <v>153</v>
      </c>
      <c r="E127" s="64" t="s">
        <v>1576</v>
      </c>
      <c r="F127" s="71" t="s">
        <v>1577</v>
      </c>
      <c r="G127" s="101" t="s">
        <v>1578</v>
      </c>
      <c r="H127" s="61" t="s">
        <v>1579</v>
      </c>
      <c r="I127" s="62" t="s">
        <v>1375</v>
      </c>
      <c r="J127" s="62">
        <v>58.0</v>
      </c>
      <c r="K127" s="64" t="s">
        <v>1580</v>
      </c>
      <c r="L127" s="64" t="s">
        <v>773</v>
      </c>
      <c r="M127" s="65">
        <v>1.3398915E7</v>
      </c>
      <c r="N127" s="65">
        <v>231015.775862068</v>
      </c>
      <c r="O127" s="65">
        <v>53749.5</v>
      </c>
      <c r="P127" s="65" t="s">
        <v>811</v>
      </c>
      <c r="Q127" s="64" t="s">
        <v>112</v>
      </c>
      <c r="R127" s="68" t="s">
        <v>197</v>
      </c>
      <c r="S127" s="64" t="s">
        <v>1581</v>
      </c>
      <c r="T127" s="64" t="s">
        <v>1582</v>
      </c>
      <c r="U127" s="90" t="s">
        <v>1583</v>
      </c>
      <c r="V127" s="122"/>
      <c r="W127" s="122"/>
      <c r="X127" s="122"/>
      <c r="Y127" s="122"/>
      <c r="Z127" s="27"/>
      <c r="AA127" s="27"/>
      <c r="AB127" s="27"/>
      <c r="AC127" s="27"/>
      <c r="AD127" s="27"/>
      <c r="AE127" s="27"/>
      <c r="AF127" s="27"/>
      <c r="AG127" s="27"/>
      <c r="AH127" s="27"/>
      <c r="AI127" s="27"/>
      <c r="AJ127" s="27"/>
      <c r="AK127" s="27"/>
      <c r="AL127" s="27"/>
      <c r="AM127" s="27"/>
      <c r="AN127" s="27"/>
    </row>
    <row r="128" ht="16.5" customHeight="1">
      <c r="A128" s="82" t="s">
        <v>1584</v>
      </c>
      <c r="B128" s="141" t="s">
        <v>1585</v>
      </c>
      <c r="C128" s="52" t="s">
        <v>1586</v>
      </c>
      <c r="D128" s="18" t="s">
        <v>153</v>
      </c>
      <c r="E128" s="18" t="s">
        <v>1587</v>
      </c>
      <c r="F128" s="162" t="s">
        <v>1588</v>
      </c>
      <c r="G128" s="52" t="s">
        <v>1589</v>
      </c>
      <c r="H128" s="61" t="s">
        <v>1590</v>
      </c>
      <c r="I128" s="62" t="s">
        <v>989</v>
      </c>
      <c r="J128" s="62">
        <v>26.0</v>
      </c>
      <c r="K128" s="64" t="s">
        <v>1591</v>
      </c>
      <c r="L128" s="64" t="s">
        <v>139</v>
      </c>
      <c r="M128" s="65">
        <v>6602761.0</v>
      </c>
      <c r="N128" s="65">
        <v>253952.346153846</v>
      </c>
      <c r="O128" s="65">
        <v>52953.0</v>
      </c>
      <c r="P128" s="65" t="s">
        <v>811</v>
      </c>
      <c r="Q128" s="64" t="s">
        <v>112</v>
      </c>
      <c r="R128" s="68" t="s">
        <v>197</v>
      </c>
      <c r="S128" s="18" t="s">
        <v>1592</v>
      </c>
      <c r="T128" s="18" t="s">
        <v>1593</v>
      </c>
      <c r="U128" s="76" t="s">
        <v>1594</v>
      </c>
    </row>
    <row r="129" ht="16.5" customHeight="1">
      <c r="A129" s="49" t="s">
        <v>1595</v>
      </c>
      <c r="B129" s="25" t="s">
        <v>194</v>
      </c>
      <c r="C129" s="55" t="s">
        <v>1596</v>
      </c>
      <c r="D129" s="40" t="s">
        <v>153</v>
      </c>
      <c r="E129" s="55" t="s">
        <v>1597</v>
      </c>
      <c r="F129" s="139" t="s">
        <v>1598</v>
      </c>
      <c r="G129" s="52" t="s">
        <v>1599</v>
      </c>
      <c r="H129" s="71" t="s">
        <v>1600</v>
      </c>
      <c r="I129" s="62" t="s">
        <v>1090</v>
      </c>
      <c r="J129" s="62">
        <v>61.0</v>
      </c>
      <c r="K129" s="64" t="s">
        <v>789</v>
      </c>
      <c r="L129" s="64" t="s">
        <v>188</v>
      </c>
      <c r="M129" s="65">
        <v>3.7301828E7</v>
      </c>
      <c r="N129" s="65">
        <v>611505.37704918</v>
      </c>
      <c r="O129" s="65">
        <v>52687.0</v>
      </c>
      <c r="P129" s="65" t="s">
        <v>811</v>
      </c>
      <c r="Q129" s="64" t="s">
        <v>112</v>
      </c>
      <c r="R129" s="68" t="s">
        <v>116</v>
      </c>
      <c r="S129" s="40" t="s">
        <v>1601</v>
      </c>
      <c r="T129" s="40" t="s">
        <v>1602</v>
      </c>
      <c r="U129" s="76" t="s">
        <v>1603</v>
      </c>
    </row>
    <row r="130" ht="16.5" customHeight="1">
      <c r="A130" s="70" t="s">
        <v>1604</v>
      </c>
      <c r="B130" s="77" t="s">
        <v>194</v>
      </c>
      <c r="C130" s="55" t="s">
        <v>1605</v>
      </c>
      <c r="D130" s="40" t="s">
        <v>153</v>
      </c>
      <c r="E130" s="52" t="s">
        <v>1606</v>
      </c>
      <c r="F130" s="52" t="s">
        <v>1607</v>
      </c>
      <c r="G130" s="162" t="s">
        <v>1608</v>
      </c>
      <c r="H130" s="61" t="s">
        <v>1609</v>
      </c>
      <c r="I130" s="62" t="s">
        <v>945</v>
      </c>
      <c r="J130" s="62">
        <v>56.0</v>
      </c>
      <c r="K130" s="64" t="s">
        <v>1610</v>
      </c>
      <c r="L130" s="64" t="s">
        <v>188</v>
      </c>
      <c r="M130" s="65">
        <v>7980529.0</v>
      </c>
      <c r="N130" s="65">
        <v>142509.446428571</v>
      </c>
      <c r="O130" s="65">
        <v>51298.0</v>
      </c>
      <c r="P130" s="65" t="s">
        <v>811</v>
      </c>
      <c r="Q130" s="64" t="s">
        <v>112</v>
      </c>
      <c r="R130" s="68" t="s">
        <v>118</v>
      </c>
      <c r="S130" s="18" t="s">
        <v>1611</v>
      </c>
      <c r="T130" s="18" t="s">
        <v>1612</v>
      </c>
      <c r="U130" s="76" t="s">
        <v>1613</v>
      </c>
    </row>
    <row r="131" ht="16.5" customHeight="1">
      <c r="A131" s="188" t="s">
        <v>1614</v>
      </c>
      <c r="B131" s="18" t="s">
        <v>267</v>
      </c>
      <c r="C131" s="101" t="s">
        <v>1615</v>
      </c>
      <c r="D131" s="190" t="s">
        <v>1616</v>
      </c>
      <c r="E131" s="101" t="s">
        <v>1616</v>
      </c>
      <c r="F131" s="71" t="s">
        <v>1617</v>
      </c>
      <c r="G131" s="199" t="s">
        <v>1618</v>
      </c>
      <c r="H131" s="61" t="s">
        <v>1619</v>
      </c>
      <c r="I131" s="62" t="s">
        <v>895</v>
      </c>
      <c r="J131" s="62">
        <v>20.0</v>
      </c>
      <c r="K131" s="66" t="s">
        <v>1620</v>
      </c>
      <c r="L131" s="66" t="s">
        <v>297</v>
      </c>
      <c r="M131" s="65">
        <v>6341193.0</v>
      </c>
      <c r="N131" s="65">
        <v>317059.65</v>
      </c>
      <c r="O131" s="65">
        <v>48405.0</v>
      </c>
      <c r="P131" s="66" t="s">
        <v>811</v>
      </c>
      <c r="Q131" s="64" t="s">
        <v>112</v>
      </c>
      <c r="R131" s="68" t="s">
        <v>197</v>
      </c>
      <c r="S131" s="64" t="s">
        <v>1621</v>
      </c>
      <c r="T131" s="64" t="s">
        <v>1622</v>
      </c>
      <c r="U131" s="90" t="s">
        <v>1623</v>
      </c>
      <c r="V131" s="189"/>
    </row>
    <row r="132" ht="16.5" customHeight="1">
      <c r="A132" s="88" t="s">
        <v>1624</v>
      </c>
      <c r="B132" s="18" t="s">
        <v>218</v>
      </c>
      <c r="C132" s="190" t="s">
        <v>1625</v>
      </c>
      <c r="D132" s="64" t="s">
        <v>153</v>
      </c>
      <c r="E132" s="64" t="s">
        <v>1626</v>
      </c>
      <c r="F132" s="190" t="s">
        <v>1627</v>
      </c>
      <c r="G132" s="192" t="s">
        <v>1628</v>
      </c>
      <c r="H132" s="190" t="s">
        <v>1629</v>
      </c>
      <c r="I132" s="62" t="s">
        <v>907</v>
      </c>
      <c r="J132" s="62">
        <v>15.0</v>
      </c>
      <c r="K132" s="62" t="s">
        <v>1147</v>
      </c>
      <c r="L132" s="62" t="s">
        <v>139</v>
      </c>
      <c r="M132" s="65">
        <v>3078187.0</v>
      </c>
      <c r="N132" s="65">
        <v>205212.466666666</v>
      </c>
      <c r="O132" s="65">
        <v>44348.0</v>
      </c>
      <c r="P132" s="64" t="s">
        <v>811</v>
      </c>
      <c r="Q132" s="64" t="s">
        <v>112</v>
      </c>
      <c r="R132" s="68" t="s">
        <v>197</v>
      </c>
      <c r="S132" s="64" t="s">
        <v>1630</v>
      </c>
      <c r="T132" s="64" t="s">
        <v>1631</v>
      </c>
      <c r="U132" s="90" t="s">
        <v>1632</v>
      </c>
      <c r="V132" s="191"/>
      <c r="W132" s="191"/>
      <c r="X132" s="191"/>
      <c r="Y132" s="191"/>
      <c r="Z132" s="191"/>
      <c r="AA132" s="191"/>
      <c r="AB132" s="191"/>
      <c r="AC132" s="191"/>
      <c r="AD132" s="191"/>
      <c r="AE132" s="191"/>
      <c r="AF132" s="191"/>
      <c r="AG132" s="191"/>
      <c r="AH132" s="191"/>
      <c r="AI132" s="191"/>
      <c r="AJ132" s="191"/>
      <c r="AK132" s="191"/>
      <c r="AL132" s="191"/>
      <c r="AM132" s="191"/>
      <c r="AN132" s="191"/>
    </row>
    <row r="133" ht="16.5" customHeight="1">
      <c r="A133" s="99" t="s">
        <v>1633</v>
      </c>
      <c r="B133" s="18" t="s">
        <v>1634</v>
      </c>
      <c r="C133" s="101" t="s">
        <v>1635</v>
      </c>
      <c r="D133" s="68"/>
      <c r="E133" s="119" t="s">
        <v>1636</v>
      </c>
      <c r="F133" s="68"/>
      <c r="G133" s="192" t="s">
        <v>1637</v>
      </c>
      <c r="H133" s="120" t="s">
        <v>1638</v>
      </c>
      <c r="I133" s="62">
        <v>49.0</v>
      </c>
      <c r="J133" s="62">
        <v>2.0</v>
      </c>
      <c r="K133" s="64" t="s">
        <v>947</v>
      </c>
      <c r="L133" s="64" t="s">
        <v>285</v>
      </c>
      <c r="M133" s="65">
        <v>85241.0</v>
      </c>
      <c r="N133" s="65">
        <v>42620.5</v>
      </c>
      <c r="O133" s="65">
        <v>42620.5</v>
      </c>
      <c r="P133" s="65" t="s">
        <v>811</v>
      </c>
      <c r="Q133" s="64" t="s">
        <v>112</v>
      </c>
      <c r="R133" s="68" t="s">
        <v>197</v>
      </c>
      <c r="S133" s="68"/>
      <c r="T133" s="42"/>
      <c r="U133" s="104"/>
      <c r="V133" s="27"/>
      <c r="W133" s="27"/>
      <c r="X133" s="27"/>
      <c r="Y133" s="27"/>
      <c r="Z133" s="27"/>
      <c r="AA133" s="27"/>
      <c r="AB133" s="27"/>
      <c r="AC133" s="27"/>
      <c r="AD133" s="27"/>
      <c r="AE133" s="27"/>
      <c r="AF133" s="27"/>
      <c r="AG133" s="27"/>
      <c r="AH133" s="27"/>
      <c r="AI133" s="27"/>
      <c r="AJ133" s="27"/>
      <c r="AK133" s="27"/>
      <c r="AL133" s="27"/>
      <c r="AM133" s="27"/>
      <c r="AN133" s="27"/>
    </row>
    <row r="134" ht="16.5" customHeight="1">
      <c r="A134" s="100" t="s">
        <v>1639</v>
      </c>
      <c r="B134" s="237" t="s">
        <v>179</v>
      </c>
      <c r="C134" s="52" t="s">
        <v>1640</v>
      </c>
      <c r="D134" s="238" t="s">
        <v>153</v>
      </c>
      <c r="E134" s="40" t="s">
        <v>1641</v>
      </c>
      <c r="F134" s="52" t="s">
        <v>1642</v>
      </c>
      <c r="G134" s="52" t="s">
        <v>1643</v>
      </c>
      <c r="H134" s="61" t="s">
        <v>1644</v>
      </c>
      <c r="I134" s="239" t="s">
        <v>283</v>
      </c>
      <c r="J134" s="62">
        <v>25.0</v>
      </c>
      <c r="K134" s="64" t="s">
        <v>736</v>
      </c>
      <c r="L134" s="64" t="s">
        <v>188</v>
      </c>
      <c r="M134" s="65">
        <v>6374966.0</v>
      </c>
      <c r="N134" s="65">
        <v>254998.64</v>
      </c>
      <c r="O134" s="65">
        <v>38781.0</v>
      </c>
      <c r="P134" s="65" t="s">
        <v>811</v>
      </c>
      <c r="Q134" s="64" t="s">
        <v>112</v>
      </c>
      <c r="R134" s="68" t="s">
        <v>118</v>
      </c>
      <c r="S134" s="40" t="s">
        <v>1645</v>
      </c>
      <c r="T134" s="40" t="s">
        <v>1646</v>
      </c>
      <c r="U134" s="76" t="s">
        <v>1647</v>
      </c>
      <c r="W134" s="18"/>
      <c r="X134" s="18"/>
      <c r="Y134" s="18"/>
      <c r="Z134" s="18"/>
      <c r="AA134" s="240"/>
      <c r="AB134" s="240"/>
      <c r="AC134" s="240"/>
      <c r="AD134" s="240"/>
      <c r="AE134" s="240"/>
      <c r="AF134" s="240"/>
      <c r="AG134" s="240"/>
      <c r="AH134" s="240"/>
      <c r="AI134" s="240"/>
      <c r="AJ134" s="240"/>
      <c r="AK134" s="240"/>
      <c r="AL134" s="240"/>
      <c r="AM134" s="240"/>
      <c r="AN134" s="240"/>
    </row>
    <row r="135" ht="16.5" customHeight="1">
      <c r="A135" s="45" t="s">
        <v>1648</v>
      </c>
      <c r="B135" s="18" t="s">
        <v>254</v>
      </c>
      <c r="C135" s="55" t="s">
        <v>1649</v>
      </c>
      <c r="D135" s="55" t="s">
        <v>1650</v>
      </c>
      <c r="E135" s="40" t="s">
        <v>1651</v>
      </c>
      <c r="F135" s="59" t="s">
        <v>1652</v>
      </c>
      <c r="G135" s="52" t="s">
        <v>1653</v>
      </c>
      <c r="H135" s="61" t="s">
        <v>1654</v>
      </c>
      <c r="I135" s="62">
        <v>914.0</v>
      </c>
      <c r="J135" s="62">
        <v>11.0</v>
      </c>
      <c r="K135" s="64" t="s">
        <v>364</v>
      </c>
      <c r="L135" s="64" t="s">
        <v>297</v>
      </c>
      <c r="M135" s="65">
        <v>2754690.0</v>
      </c>
      <c r="N135" s="65">
        <v>250426.363636363</v>
      </c>
      <c r="O135" s="65">
        <v>34705.0</v>
      </c>
      <c r="P135" s="65" t="s">
        <v>811</v>
      </c>
      <c r="Q135" s="64" t="s">
        <v>112</v>
      </c>
      <c r="R135" s="68" t="s">
        <v>116</v>
      </c>
      <c r="S135" s="40" t="s">
        <v>1655</v>
      </c>
      <c r="T135" s="40" t="s">
        <v>1656</v>
      </c>
      <c r="U135" s="76" t="s">
        <v>1657</v>
      </c>
    </row>
    <row r="136" ht="16.5" customHeight="1">
      <c r="A136" s="233" t="s">
        <v>1659</v>
      </c>
      <c r="B136" s="18" t="s">
        <v>165</v>
      </c>
      <c r="C136" s="55" t="s">
        <v>1660</v>
      </c>
      <c r="D136" s="40" t="s">
        <v>153</v>
      </c>
      <c r="E136" s="52" t="s">
        <v>1661</v>
      </c>
      <c r="F136" s="162" t="s">
        <v>1663</v>
      </c>
      <c r="G136" s="59" t="s">
        <v>1664</v>
      </c>
      <c r="H136" s="61" t="s">
        <v>1665</v>
      </c>
      <c r="I136" s="62" t="s">
        <v>752</v>
      </c>
      <c r="J136" s="62">
        <v>126.0</v>
      </c>
      <c r="K136" s="64" t="s">
        <v>1666</v>
      </c>
      <c r="L136" s="64" t="s">
        <v>139</v>
      </c>
      <c r="M136" s="65">
        <v>2.8065302E7</v>
      </c>
      <c r="N136" s="65">
        <v>222740.492063492</v>
      </c>
      <c r="O136" s="65">
        <v>31245.5</v>
      </c>
      <c r="P136" s="65" t="s">
        <v>811</v>
      </c>
      <c r="Q136" s="64" t="s">
        <v>112</v>
      </c>
      <c r="R136" s="68" t="s">
        <v>120</v>
      </c>
      <c r="S136" s="25" t="s">
        <v>1667</v>
      </c>
      <c r="T136" s="40" t="s">
        <v>1668</v>
      </c>
      <c r="U136" s="69" t="s">
        <v>153</v>
      </c>
      <c r="V136" s="27"/>
    </row>
    <row r="137" ht="16.5" customHeight="1">
      <c r="A137" s="88" t="s">
        <v>1669</v>
      </c>
      <c r="B137" s="18" t="s">
        <v>179</v>
      </c>
      <c r="C137" s="71" t="s">
        <v>1670</v>
      </c>
      <c r="D137" s="64" t="s">
        <v>153</v>
      </c>
      <c r="E137" s="176" t="s">
        <v>1671</v>
      </c>
      <c r="F137" s="162" t="s">
        <v>1672</v>
      </c>
      <c r="G137" s="120" t="s">
        <v>1673</v>
      </c>
      <c r="H137" s="192" t="s">
        <v>1674</v>
      </c>
      <c r="I137" s="62">
        <v>159.0</v>
      </c>
      <c r="J137" s="62">
        <v>10.0</v>
      </c>
      <c r="K137" s="62" t="s">
        <v>1591</v>
      </c>
      <c r="L137" s="62" t="s">
        <v>285</v>
      </c>
      <c r="M137" s="65">
        <v>894871.0</v>
      </c>
      <c r="N137" s="65">
        <v>89487.1</v>
      </c>
      <c r="O137" s="65">
        <v>27501.5</v>
      </c>
      <c r="P137" s="64" t="s">
        <v>811</v>
      </c>
      <c r="Q137" s="64" t="s">
        <v>112</v>
      </c>
      <c r="R137" s="68" t="s">
        <v>197</v>
      </c>
      <c r="S137" s="64" t="s">
        <v>1675</v>
      </c>
      <c r="T137" s="191" t="s">
        <v>153</v>
      </c>
      <c r="U137" s="90" t="s">
        <v>153</v>
      </c>
      <c r="V137" s="191"/>
      <c r="W137" s="191"/>
      <c r="X137" s="191"/>
      <c r="Y137" s="191"/>
      <c r="Z137" s="191"/>
      <c r="AA137" s="191"/>
      <c r="AB137" s="191"/>
      <c r="AC137" s="191"/>
      <c r="AD137" s="191"/>
      <c r="AE137" s="191"/>
      <c r="AF137" s="191"/>
      <c r="AG137" s="191"/>
      <c r="AH137" s="191"/>
      <c r="AI137" s="191"/>
      <c r="AJ137" s="191"/>
      <c r="AK137" s="191"/>
      <c r="AL137" s="191"/>
      <c r="AM137" s="191"/>
      <c r="AN137" s="191"/>
    </row>
    <row r="138" ht="16.5" customHeight="1">
      <c r="A138" s="49" t="s">
        <v>1676</v>
      </c>
      <c r="B138" s="18" t="s">
        <v>179</v>
      </c>
      <c r="C138" s="52" t="s">
        <v>1677</v>
      </c>
      <c r="D138" s="40" t="s">
        <v>153</v>
      </c>
      <c r="E138" s="52" t="s">
        <v>1678</v>
      </c>
      <c r="F138" s="59" t="s">
        <v>1679</v>
      </c>
      <c r="G138" s="59" t="s">
        <v>1680</v>
      </c>
      <c r="H138" s="61" t="s">
        <v>1682</v>
      </c>
      <c r="I138" s="62" t="s">
        <v>1196</v>
      </c>
      <c r="J138" s="62">
        <v>18.0</v>
      </c>
      <c r="K138" s="64" t="s">
        <v>1683</v>
      </c>
      <c r="L138" s="64" t="s">
        <v>908</v>
      </c>
      <c r="M138" s="65">
        <v>5064384.0</v>
      </c>
      <c r="N138" s="65">
        <v>281354.666666666</v>
      </c>
      <c r="O138" s="65">
        <v>26939.5</v>
      </c>
      <c r="P138" s="65" t="s">
        <v>811</v>
      </c>
      <c r="Q138" s="64" t="s">
        <v>112</v>
      </c>
      <c r="R138" s="68" t="s">
        <v>118</v>
      </c>
      <c r="S138" s="77" t="s">
        <v>1684</v>
      </c>
      <c r="T138" s="40" t="s">
        <v>1685</v>
      </c>
      <c r="U138" s="76" t="s">
        <v>153</v>
      </c>
    </row>
    <row r="139" ht="16.5" customHeight="1">
      <c r="A139" s="100" t="s">
        <v>1686</v>
      </c>
      <c r="B139" s="18" t="s">
        <v>218</v>
      </c>
      <c r="C139" s="55" t="s">
        <v>1687</v>
      </c>
      <c r="D139" s="40" t="s">
        <v>153</v>
      </c>
      <c r="E139" s="52" t="s">
        <v>1688</v>
      </c>
      <c r="F139" s="18" t="s">
        <v>197</v>
      </c>
      <c r="G139" s="55" t="s">
        <v>1689</v>
      </c>
      <c r="H139" s="61" t="s">
        <v>1690</v>
      </c>
      <c r="I139" s="62" t="s">
        <v>1375</v>
      </c>
      <c r="J139" s="62">
        <v>52.0</v>
      </c>
      <c r="K139" s="64" t="s">
        <v>1691</v>
      </c>
      <c r="L139" s="64" t="s">
        <v>139</v>
      </c>
      <c r="M139" s="65">
        <v>1.8933631E7</v>
      </c>
      <c r="N139" s="65">
        <v>364108.288461538</v>
      </c>
      <c r="O139" s="65">
        <v>25927.5</v>
      </c>
      <c r="P139" s="65" t="s">
        <v>811</v>
      </c>
      <c r="Q139" s="64" t="s">
        <v>112</v>
      </c>
      <c r="R139" s="68" t="s">
        <v>197</v>
      </c>
      <c r="S139" s="40" t="s">
        <v>1693</v>
      </c>
      <c r="T139" s="40" t="s">
        <v>1694</v>
      </c>
      <c r="U139" s="76" t="s">
        <v>1695</v>
      </c>
      <c r="V139" s="27"/>
    </row>
    <row r="140" ht="16.5" customHeight="1">
      <c r="A140" s="99" t="s">
        <v>1696</v>
      </c>
      <c r="B140" s="119" t="s">
        <v>302</v>
      </c>
      <c r="C140" s="173" t="s">
        <v>1697</v>
      </c>
      <c r="D140" s="119" t="s">
        <v>153</v>
      </c>
      <c r="E140" s="173" t="s">
        <v>1698</v>
      </c>
      <c r="F140" s="64" t="s">
        <v>197</v>
      </c>
      <c r="G140" s="205" t="s">
        <v>1699</v>
      </c>
      <c r="H140" s="61" t="s">
        <v>1700</v>
      </c>
      <c r="I140" s="62" t="s">
        <v>989</v>
      </c>
      <c r="J140" s="62">
        <v>29.0</v>
      </c>
      <c r="K140" s="64" t="s">
        <v>1701</v>
      </c>
      <c r="L140" s="64" t="s">
        <v>139</v>
      </c>
      <c r="M140" s="65">
        <v>2163916.0</v>
      </c>
      <c r="N140" s="65">
        <v>74617.7931034482</v>
      </c>
      <c r="O140" s="65">
        <v>25358.0</v>
      </c>
      <c r="P140" s="65" t="s">
        <v>811</v>
      </c>
      <c r="Q140" s="64" t="s">
        <v>112</v>
      </c>
      <c r="R140" s="68" t="s">
        <v>118</v>
      </c>
      <c r="S140" s="102" t="s">
        <v>1702</v>
      </c>
      <c r="T140" s="119" t="s">
        <v>1703</v>
      </c>
      <c r="U140" s="90" t="s">
        <v>1704</v>
      </c>
      <c r="V140" s="27"/>
      <c r="W140" s="27"/>
      <c r="X140" s="27"/>
      <c r="Y140" s="27"/>
      <c r="AA140" s="27"/>
      <c r="AB140" s="27"/>
      <c r="AC140" s="27"/>
      <c r="AD140" s="27"/>
      <c r="AE140" s="27"/>
      <c r="AF140" s="27"/>
      <c r="AG140" s="27"/>
      <c r="AH140" s="27"/>
      <c r="AI140" s="27"/>
      <c r="AJ140" s="27"/>
      <c r="AK140" s="27"/>
      <c r="AL140" s="27"/>
      <c r="AM140" s="27"/>
      <c r="AN140" s="27"/>
    </row>
    <row r="141" ht="16.5" customHeight="1">
      <c r="A141" s="100" t="s">
        <v>1705</v>
      </c>
      <c r="B141" s="73" t="s">
        <v>1706</v>
      </c>
      <c r="C141" s="52" t="s">
        <v>1707</v>
      </c>
      <c r="D141" s="71" t="s">
        <v>1708</v>
      </c>
      <c r="E141" s="40" t="s">
        <v>1709</v>
      </c>
      <c r="F141" s="52" t="s">
        <v>1710</v>
      </c>
      <c r="G141" s="52" t="s">
        <v>1711</v>
      </c>
      <c r="H141" s="61" t="s">
        <v>1712</v>
      </c>
      <c r="I141" s="62" t="s">
        <v>386</v>
      </c>
      <c r="J141" s="62">
        <v>22.0</v>
      </c>
      <c r="K141" s="64" t="s">
        <v>1713</v>
      </c>
      <c r="L141" s="64" t="s">
        <v>188</v>
      </c>
      <c r="M141" s="65">
        <v>1052871.0</v>
      </c>
      <c r="N141" s="65">
        <v>47857.7727272727</v>
      </c>
      <c r="O141" s="65">
        <v>22927.0</v>
      </c>
      <c r="P141" s="65" t="s">
        <v>811</v>
      </c>
      <c r="Q141" s="64" t="s">
        <v>112</v>
      </c>
      <c r="R141" s="119" t="s">
        <v>197</v>
      </c>
      <c r="S141" s="40" t="s">
        <v>1714</v>
      </c>
      <c r="T141" s="241" t="s">
        <v>1715</v>
      </c>
      <c r="U141" s="90" t="s">
        <v>1716</v>
      </c>
    </row>
    <row r="142" ht="16.5" customHeight="1">
      <c r="A142" s="88" t="s">
        <v>1717</v>
      </c>
      <c r="B142" s="18" t="s">
        <v>1416</v>
      </c>
      <c r="C142" s="71" t="s">
        <v>1718</v>
      </c>
      <c r="D142" s="64" t="s">
        <v>153</v>
      </c>
      <c r="E142" s="64" t="s">
        <v>1719</v>
      </c>
      <c r="F142" s="190" t="s">
        <v>1720</v>
      </c>
      <c r="G142" s="242" t="s">
        <v>1721</v>
      </c>
      <c r="H142" s="190" t="s">
        <v>1722</v>
      </c>
      <c r="I142" s="78">
        <v>248.0</v>
      </c>
      <c r="J142" s="78">
        <v>2.0</v>
      </c>
      <c r="K142" s="92" t="s">
        <v>1723</v>
      </c>
      <c r="L142" s="92" t="s">
        <v>188</v>
      </c>
      <c r="M142" s="65">
        <v>40484.0</v>
      </c>
      <c r="N142" s="65">
        <v>20242.0</v>
      </c>
      <c r="O142" s="65">
        <v>20242.0</v>
      </c>
      <c r="P142" s="92" t="s">
        <v>811</v>
      </c>
      <c r="Q142" s="64" t="s">
        <v>112</v>
      </c>
      <c r="R142" s="68" t="s">
        <v>197</v>
      </c>
      <c r="S142" s="64" t="s">
        <v>1724</v>
      </c>
      <c r="T142" s="64" t="s">
        <v>1725</v>
      </c>
      <c r="U142" s="90" t="s">
        <v>1726</v>
      </c>
      <c r="V142" s="191"/>
      <c r="W142" s="191"/>
      <c r="X142" s="191"/>
      <c r="Y142" s="191"/>
      <c r="Z142" s="191"/>
      <c r="AA142" s="191"/>
      <c r="AB142" s="191"/>
      <c r="AC142" s="191"/>
      <c r="AD142" s="191"/>
      <c r="AE142" s="191"/>
      <c r="AF142" s="191"/>
      <c r="AG142" s="191"/>
      <c r="AH142" s="191"/>
      <c r="AI142" s="191"/>
      <c r="AJ142" s="191"/>
      <c r="AK142" s="191"/>
      <c r="AL142" s="191"/>
      <c r="AM142" s="191"/>
      <c r="AN142" s="191"/>
    </row>
    <row r="143" ht="16.5" customHeight="1">
      <c r="A143" s="88" t="s">
        <v>1727</v>
      </c>
      <c r="B143" s="18" t="s">
        <v>218</v>
      </c>
      <c r="C143" s="61" t="s">
        <v>1728</v>
      </c>
      <c r="D143" s="64" t="s">
        <v>153</v>
      </c>
      <c r="E143" s="64" t="s">
        <v>1729</v>
      </c>
      <c r="F143" s="71" t="s">
        <v>1730</v>
      </c>
      <c r="G143" s="209" t="s">
        <v>1731</v>
      </c>
      <c r="H143" s="61" t="s">
        <v>1732</v>
      </c>
      <c r="I143" s="62" t="s">
        <v>863</v>
      </c>
      <c r="J143" s="62">
        <v>24.0</v>
      </c>
      <c r="K143" s="64" t="s">
        <v>1733</v>
      </c>
      <c r="L143" s="64" t="s">
        <v>139</v>
      </c>
      <c r="M143" s="65">
        <v>6720827.0</v>
      </c>
      <c r="N143" s="65">
        <v>280034.458333333</v>
      </c>
      <c r="O143" s="65">
        <v>19353.5</v>
      </c>
      <c r="P143" s="66" t="s">
        <v>811</v>
      </c>
      <c r="Q143" s="64" t="s">
        <v>112</v>
      </c>
      <c r="R143" s="68" t="s">
        <v>197</v>
      </c>
      <c r="S143" s="64" t="s">
        <v>1734</v>
      </c>
      <c r="T143" s="64" t="s">
        <v>1735</v>
      </c>
      <c r="U143" s="92" t="s">
        <v>153</v>
      </c>
      <c r="V143" s="122"/>
      <c r="W143" s="122"/>
      <c r="X143" s="122"/>
      <c r="Y143" s="122"/>
      <c r="Z143" s="122"/>
      <c r="AA143" s="122"/>
      <c r="AB143" s="122"/>
      <c r="AC143" s="122"/>
      <c r="AD143" s="122"/>
      <c r="AE143" s="122"/>
      <c r="AF143" s="122"/>
      <c r="AG143" s="122"/>
      <c r="AH143" s="122"/>
      <c r="AI143" s="122"/>
      <c r="AJ143" s="122"/>
      <c r="AK143" s="122"/>
      <c r="AL143" s="122"/>
      <c r="AM143" s="122"/>
      <c r="AN143" s="122"/>
    </row>
    <row r="144" ht="16.5" customHeight="1">
      <c r="A144" s="218" t="s">
        <v>1736</v>
      </c>
      <c r="B144" s="220" t="s">
        <v>179</v>
      </c>
      <c r="C144" s="120" t="s">
        <v>1737</v>
      </c>
      <c r="D144" s="220" t="s">
        <v>153</v>
      </c>
      <c r="E144" s="120" t="s">
        <v>1738</v>
      </c>
      <c r="F144" s="243" t="s">
        <v>1739</v>
      </c>
      <c r="G144" s="120" t="s">
        <v>1740</v>
      </c>
      <c r="H144" s="61" t="s">
        <v>1741</v>
      </c>
      <c r="I144" s="222" t="s">
        <v>1742</v>
      </c>
      <c r="J144" s="62">
        <v>179.0</v>
      </c>
      <c r="K144" s="83" t="s">
        <v>1296</v>
      </c>
      <c r="L144" s="83" t="s">
        <v>188</v>
      </c>
      <c r="M144" s="65">
        <v>3.9414516E7</v>
      </c>
      <c r="N144" s="65">
        <v>220192.826815642</v>
      </c>
      <c r="O144" s="65">
        <v>18091.0</v>
      </c>
      <c r="P144" s="64" t="s">
        <v>811</v>
      </c>
      <c r="Q144" s="183" t="s">
        <v>112</v>
      </c>
      <c r="R144" s="122" t="s">
        <v>116</v>
      </c>
      <c r="S144" s="102" t="s">
        <v>1743</v>
      </c>
      <c r="T144" s="102" t="s">
        <v>1744</v>
      </c>
      <c r="U144" s="224" t="s">
        <v>1745</v>
      </c>
      <c r="AB144" s="122"/>
      <c r="AC144" s="122"/>
      <c r="AD144" s="122"/>
      <c r="AE144" s="122"/>
      <c r="AF144" s="122"/>
      <c r="AG144" s="122"/>
      <c r="AH144" s="122"/>
      <c r="AI144" s="122"/>
      <c r="AJ144" s="122"/>
      <c r="AK144" s="122"/>
      <c r="AL144" s="122"/>
      <c r="AM144" s="122"/>
      <c r="AN144" s="122"/>
    </row>
    <row r="145" ht="16.5" customHeight="1">
      <c r="A145" s="70" t="s">
        <v>1746</v>
      </c>
      <c r="B145" s="77" t="s">
        <v>778</v>
      </c>
      <c r="C145" s="52" t="s">
        <v>1747</v>
      </c>
      <c r="D145" s="40" t="s">
        <v>153</v>
      </c>
      <c r="E145" s="40" t="s">
        <v>1748</v>
      </c>
      <c r="F145" s="86" t="s">
        <v>197</v>
      </c>
      <c r="G145" s="193" t="s">
        <v>1749</v>
      </c>
      <c r="H145" s="71" t="s">
        <v>1750</v>
      </c>
      <c r="I145" s="62">
        <v>876.0</v>
      </c>
      <c r="J145" s="62">
        <v>23.0</v>
      </c>
      <c r="K145" s="64" t="s">
        <v>1495</v>
      </c>
      <c r="L145" s="64" t="s">
        <v>203</v>
      </c>
      <c r="M145" s="65">
        <v>613928.0</v>
      </c>
      <c r="N145" s="65">
        <v>26692.5217391304</v>
      </c>
      <c r="O145" s="65">
        <v>14725.0</v>
      </c>
      <c r="P145" s="65" t="s">
        <v>811</v>
      </c>
      <c r="Q145" s="64" t="s">
        <v>112</v>
      </c>
      <c r="R145" s="68" t="s">
        <v>116</v>
      </c>
      <c r="S145" s="25" t="s">
        <v>1751</v>
      </c>
      <c r="T145" s="40" t="s">
        <v>1752</v>
      </c>
      <c r="U145" s="69" t="s">
        <v>153</v>
      </c>
      <c r="V145" s="27"/>
    </row>
    <row r="146" ht="16.5" customHeight="1">
      <c r="A146" s="100" t="s">
        <v>1753</v>
      </c>
      <c r="B146" s="18" t="s">
        <v>218</v>
      </c>
      <c r="C146" s="162" t="s">
        <v>1754</v>
      </c>
      <c r="D146" s="18" t="s">
        <v>153</v>
      </c>
      <c r="E146" s="18" t="s">
        <v>1755</v>
      </c>
      <c r="F146" s="18" t="s">
        <v>197</v>
      </c>
      <c r="G146" s="52" t="s">
        <v>1756</v>
      </c>
      <c r="H146" s="61" t="s">
        <v>1757</v>
      </c>
      <c r="I146" s="62" t="s">
        <v>1759</v>
      </c>
      <c r="J146" s="62">
        <v>118.0</v>
      </c>
      <c r="K146" s="64" t="s">
        <v>1591</v>
      </c>
      <c r="L146" s="64" t="s">
        <v>139</v>
      </c>
      <c r="M146" s="65">
        <v>1.6615376E7</v>
      </c>
      <c r="N146" s="65">
        <v>140808.27118644</v>
      </c>
      <c r="O146" s="65">
        <v>14346.5</v>
      </c>
      <c r="P146" s="65" t="s">
        <v>811</v>
      </c>
      <c r="Q146" s="64" t="s">
        <v>112</v>
      </c>
      <c r="R146" s="68" t="s">
        <v>197</v>
      </c>
      <c r="S146" s="18" t="s">
        <v>1760</v>
      </c>
      <c r="T146" s="18" t="s">
        <v>1761</v>
      </c>
      <c r="U146" s="76" t="s">
        <v>1762</v>
      </c>
    </row>
    <row r="147" ht="16.5" customHeight="1">
      <c r="A147" s="100" t="s">
        <v>1763</v>
      </c>
      <c r="B147" s="18" t="s">
        <v>1764</v>
      </c>
      <c r="C147" s="162" t="s">
        <v>1765</v>
      </c>
      <c r="D147" s="22"/>
      <c r="E147" s="210" t="s">
        <v>1766</v>
      </c>
      <c r="F147" s="181" t="s">
        <v>197</v>
      </c>
      <c r="G147" s="52" t="s">
        <v>1767</v>
      </c>
      <c r="H147" s="52" t="s">
        <v>1768</v>
      </c>
      <c r="I147" s="62" t="s">
        <v>386</v>
      </c>
      <c r="J147" s="62">
        <v>13.0</v>
      </c>
      <c r="K147" s="62" t="s">
        <v>1769</v>
      </c>
      <c r="L147" s="62" t="s">
        <v>297</v>
      </c>
      <c r="M147" s="182">
        <v>342234.0</v>
      </c>
      <c r="N147" s="182">
        <v>26325.6923076923</v>
      </c>
      <c r="O147" s="182">
        <v>11270.0</v>
      </c>
      <c r="P147" s="65" t="s">
        <v>811</v>
      </c>
      <c r="Q147" s="183" t="s">
        <v>112</v>
      </c>
      <c r="R147" s="74" t="s">
        <v>120</v>
      </c>
      <c r="S147" s="18" t="s">
        <v>1770</v>
      </c>
      <c r="T147" s="18"/>
      <c r="U147" s="76" t="s">
        <v>1771</v>
      </c>
    </row>
    <row r="148" ht="16.5" customHeight="1">
      <c r="A148" s="49" t="s">
        <v>1772</v>
      </c>
      <c r="B148" s="203" t="s">
        <v>218</v>
      </c>
      <c r="C148" s="116" t="s">
        <v>1773</v>
      </c>
      <c r="D148" s="203" t="s">
        <v>153</v>
      </c>
      <c r="E148" s="203" t="s">
        <v>1774</v>
      </c>
      <c r="F148" s="116" t="s">
        <v>1775</v>
      </c>
      <c r="G148" s="116" t="s">
        <v>1776</v>
      </c>
      <c r="H148" s="61" t="s">
        <v>1777</v>
      </c>
      <c r="I148" s="62" t="s">
        <v>907</v>
      </c>
      <c r="J148" s="62">
        <v>70.0</v>
      </c>
      <c r="K148" s="64" t="s">
        <v>608</v>
      </c>
      <c r="L148" s="64" t="s">
        <v>773</v>
      </c>
      <c r="M148" s="65">
        <v>5677522.0</v>
      </c>
      <c r="N148" s="65">
        <v>81107.4571428571</v>
      </c>
      <c r="O148" s="65">
        <v>11076.5</v>
      </c>
      <c r="P148" s="65" t="s">
        <v>811</v>
      </c>
      <c r="Q148" s="183" t="s">
        <v>112</v>
      </c>
      <c r="R148" s="68" t="s">
        <v>118</v>
      </c>
      <c r="S148" s="129" t="s">
        <v>1778</v>
      </c>
      <c r="T148" s="131" t="s">
        <v>1779</v>
      </c>
      <c r="U148" s="244" t="s">
        <v>153</v>
      </c>
      <c r="V148" s="27"/>
      <c r="W148" s="27"/>
      <c r="X148" s="27"/>
      <c r="Y148" s="27"/>
      <c r="Z148" s="27"/>
      <c r="AA148" s="27"/>
      <c r="AB148" s="27"/>
      <c r="AC148" s="27"/>
      <c r="AD148" s="27"/>
      <c r="AE148" s="27"/>
      <c r="AF148" s="27"/>
      <c r="AG148" s="27"/>
      <c r="AH148" s="27"/>
      <c r="AI148" s="27"/>
      <c r="AJ148" s="27"/>
      <c r="AK148" s="27"/>
      <c r="AL148" s="27"/>
      <c r="AM148" s="27"/>
      <c r="AN148" s="27"/>
    </row>
    <row r="149" ht="16.5" customHeight="1">
      <c r="A149" s="82" t="s">
        <v>1780</v>
      </c>
      <c r="B149" s="40" t="s">
        <v>1781</v>
      </c>
      <c r="C149" s="52" t="s">
        <v>1782</v>
      </c>
      <c r="D149" s="71" t="s">
        <v>1783</v>
      </c>
      <c r="E149" s="40" t="s">
        <v>1784</v>
      </c>
      <c r="F149" s="52" t="s">
        <v>1785</v>
      </c>
      <c r="G149" s="55" t="s">
        <v>1786</v>
      </c>
      <c r="H149" s="61" t="s">
        <v>1787</v>
      </c>
      <c r="I149" s="62" t="s">
        <v>1742</v>
      </c>
      <c r="J149" s="62">
        <v>29.0</v>
      </c>
      <c r="K149" s="64" t="s">
        <v>296</v>
      </c>
      <c r="L149" s="64" t="s">
        <v>249</v>
      </c>
      <c r="M149" s="65">
        <v>8738298.0</v>
      </c>
      <c r="N149" s="65">
        <v>301320.620689655</v>
      </c>
      <c r="O149" s="65">
        <v>11009.0</v>
      </c>
      <c r="P149" s="65" t="s">
        <v>811</v>
      </c>
      <c r="Q149" s="64" t="s">
        <v>112</v>
      </c>
      <c r="R149" s="68" t="s">
        <v>118</v>
      </c>
      <c r="S149" s="40" t="s">
        <v>1788</v>
      </c>
      <c r="T149" s="40" t="s">
        <v>1789</v>
      </c>
      <c r="U149" s="74" t="s">
        <v>1790</v>
      </c>
    </row>
    <row r="150" ht="16.5" customHeight="1">
      <c r="A150" s="105" t="s">
        <v>1791</v>
      </c>
      <c r="B150" s="18" t="s">
        <v>179</v>
      </c>
      <c r="C150" s="71" t="s">
        <v>1792</v>
      </c>
      <c r="D150" s="64" t="s">
        <v>153</v>
      </c>
      <c r="E150" s="102" t="s">
        <v>1793</v>
      </c>
      <c r="F150" s="71" t="s">
        <v>1794</v>
      </c>
      <c r="G150" s="71" t="s">
        <v>1795</v>
      </c>
      <c r="H150" s="167" t="s">
        <v>1796</v>
      </c>
      <c r="I150" s="78">
        <v>37.0</v>
      </c>
      <c r="J150" s="78">
        <v>5.0</v>
      </c>
      <c r="K150" s="62" t="s">
        <v>884</v>
      </c>
      <c r="L150" s="245" t="s">
        <v>285</v>
      </c>
      <c r="M150" s="79">
        <v>243545.0</v>
      </c>
      <c r="N150" s="79">
        <v>48709.0</v>
      </c>
      <c r="O150" s="80">
        <v>10534.0</v>
      </c>
      <c r="P150" s="65" t="s">
        <v>811</v>
      </c>
      <c r="Q150" s="64" t="s">
        <v>112</v>
      </c>
      <c r="R150" s="68" t="s">
        <v>197</v>
      </c>
      <c r="S150" s="64" t="s">
        <v>1797</v>
      </c>
      <c r="T150" s="92" t="s">
        <v>1798</v>
      </c>
      <c r="U150" s="90" t="s">
        <v>1799</v>
      </c>
      <c r="V150" s="191"/>
      <c r="W150" s="191"/>
    </row>
    <row r="151" ht="16.5" customHeight="1">
      <c r="A151" s="100" t="s">
        <v>1800</v>
      </c>
      <c r="B151" s="18" t="s">
        <v>1416</v>
      </c>
      <c r="C151" s="52" t="s">
        <v>1801</v>
      </c>
      <c r="D151" s="40"/>
      <c r="E151" s="40" t="s">
        <v>1802</v>
      </c>
      <c r="F151" s="86" t="s">
        <v>1803</v>
      </c>
      <c r="G151" s="52" t="s">
        <v>1804</v>
      </c>
      <c r="H151" s="71" t="s">
        <v>1805</v>
      </c>
      <c r="I151" s="62">
        <v>229.0</v>
      </c>
      <c r="J151" s="62">
        <v>11.0</v>
      </c>
      <c r="K151" s="62" t="s">
        <v>1391</v>
      </c>
      <c r="L151" s="62" t="s">
        <v>139</v>
      </c>
      <c r="M151" s="80">
        <v>573492.0</v>
      </c>
      <c r="N151" s="80">
        <v>52135.6363636363</v>
      </c>
      <c r="O151" s="80">
        <v>9991.0</v>
      </c>
      <c r="P151" s="65" t="s">
        <v>811</v>
      </c>
      <c r="Q151" s="64" t="s">
        <v>112</v>
      </c>
      <c r="R151" s="68" t="s">
        <v>116</v>
      </c>
      <c r="S151" s="40" t="s">
        <v>1806</v>
      </c>
      <c r="T151" s="40" t="s">
        <v>1807</v>
      </c>
      <c r="U151" s="76" t="s">
        <v>1808</v>
      </c>
    </row>
    <row r="152" ht="16.5" customHeight="1">
      <c r="A152" s="100" t="s">
        <v>1809</v>
      </c>
      <c r="B152" s="18" t="s">
        <v>218</v>
      </c>
      <c r="C152" s="199" t="s">
        <v>1810</v>
      </c>
      <c r="D152" s="22"/>
      <c r="E152" s="22"/>
      <c r="F152" s="18" t="s">
        <v>1811</v>
      </c>
      <c r="G152" s="199" t="s">
        <v>1812</v>
      </c>
      <c r="H152" s="199" t="s">
        <v>1813</v>
      </c>
      <c r="I152" s="128">
        <v>85.0</v>
      </c>
      <c r="J152" s="62">
        <v>6.0</v>
      </c>
      <c r="K152" s="127" t="s">
        <v>1814</v>
      </c>
      <c r="L152" s="246" t="s">
        <v>203</v>
      </c>
      <c r="M152" s="80">
        <v>194022.0</v>
      </c>
      <c r="N152" s="80">
        <v>32337.0</v>
      </c>
      <c r="O152" s="80">
        <v>9473.5</v>
      </c>
      <c r="P152" s="64" t="s">
        <v>811</v>
      </c>
      <c r="Q152" s="64" t="s">
        <v>112</v>
      </c>
      <c r="R152" s="68" t="s">
        <v>116</v>
      </c>
      <c r="S152" s="18" t="s">
        <v>1815</v>
      </c>
      <c r="T152" s="18" t="s">
        <v>1816</v>
      </c>
      <c r="U152" s="76" t="s">
        <v>1817</v>
      </c>
      <c r="V152" s="14"/>
      <c r="W152" s="14"/>
      <c r="X152" s="14"/>
      <c r="Y152" s="14"/>
      <c r="Z152" s="14"/>
      <c r="AA152" s="14"/>
      <c r="AB152" s="14"/>
      <c r="AC152" s="14"/>
      <c r="AD152" s="14"/>
      <c r="AE152" s="14"/>
      <c r="AF152" s="14"/>
      <c r="AG152" s="14"/>
      <c r="AH152" s="14"/>
      <c r="AI152" s="14"/>
      <c r="AJ152" s="14"/>
      <c r="AK152" s="14"/>
      <c r="AL152" s="14"/>
      <c r="AM152" s="14"/>
      <c r="AN152" s="14"/>
    </row>
    <row r="153" ht="16.5" customHeight="1">
      <c r="A153" s="70" t="s">
        <v>1818</v>
      </c>
      <c r="B153" s="40" t="s">
        <v>194</v>
      </c>
      <c r="C153" s="52" t="s">
        <v>1819</v>
      </c>
      <c r="D153" s="40" t="s">
        <v>153</v>
      </c>
      <c r="E153" s="86" t="s">
        <v>1820</v>
      </c>
      <c r="F153" s="59" t="s">
        <v>1821</v>
      </c>
      <c r="G153" s="55" t="s">
        <v>1822</v>
      </c>
      <c r="H153" s="61" t="s">
        <v>1823</v>
      </c>
      <c r="I153" s="62" t="s">
        <v>989</v>
      </c>
      <c r="J153" s="62">
        <v>17.0</v>
      </c>
      <c r="K153" s="64" t="s">
        <v>1591</v>
      </c>
      <c r="L153" s="64" t="s">
        <v>1824</v>
      </c>
      <c r="M153" s="65">
        <v>2557679.0</v>
      </c>
      <c r="N153" s="65">
        <v>150451.705882352</v>
      </c>
      <c r="O153" s="65">
        <v>8803.0</v>
      </c>
      <c r="P153" s="65" t="s">
        <v>811</v>
      </c>
      <c r="Q153" s="64" t="s">
        <v>112</v>
      </c>
      <c r="R153" s="68" t="s">
        <v>118</v>
      </c>
      <c r="S153" s="40" t="s">
        <v>1825</v>
      </c>
      <c r="T153" s="40" t="s">
        <v>1826</v>
      </c>
      <c r="U153" s="76" t="s">
        <v>1827</v>
      </c>
    </row>
    <row r="154" ht="16.5" customHeight="1">
      <c r="A154" s="70" t="s">
        <v>1828</v>
      </c>
      <c r="B154" s="40" t="s">
        <v>267</v>
      </c>
      <c r="C154" s="52" t="s">
        <v>1829</v>
      </c>
      <c r="D154" s="40" t="s">
        <v>153</v>
      </c>
      <c r="E154" s="52" t="s">
        <v>1830</v>
      </c>
      <c r="F154" s="247" t="s">
        <v>1831</v>
      </c>
      <c r="G154" s="52" t="s">
        <v>1832</v>
      </c>
      <c r="H154" s="61" t="s">
        <v>1833</v>
      </c>
      <c r="I154" s="62">
        <v>313.0</v>
      </c>
      <c r="J154" s="62">
        <v>12.0</v>
      </c>
      <c r="K154" s="64" t="s">
        <v>978</v>
      </c>
      <c r="L154" s="64" t="s">
        <v>139</v>
      </c>
      <c r="M154" s="65">
        <v>102363.0</v>
      </c>
      <c r="N154" s="65">
        <v>8530.25</v>
      </c>
      <c r="O154" s="65">
        <v>7523.5</v>
      </c>
      <c r="P154" s="65" t="s">
        <v>811</v>
      </c>
      <c r="Q154" s="64" t="s">
        <v>112</v>
      </c>
      <c r="R154" s="68" t="s">
        <v>197</v>
      </c>
      <c r="S154" s="40" t="s">
        <v>1834</v>
      </c>
      <c r="T154" s="40" t="s">
        <v>1835</v>
      </c>
      <c r="U154" s="76" t="s">
        <v>1836</v>
      </c>
    </row>
    <row r="155" ht="16.5" customHeight="1">
      <c r="A155" s="88" t="s">
        <v>1837</v>
      </c>
      <c r="B155" s="18" t="s">
        <v>1416</v>
      </c>
      <c r="C155" s="190" t="s">
        <v>1838</v>
      </c>
      <c r="D155" s="201" t="s">
        <v>153</v>
      </c>
      <c r="E155" s="64" t="s">
        <v>1839</v>
      </c>
      <c r="F155" s="64" t="s">
        <v>197</v>
      </c>
      <c r="G155" s="190" t="s">
        <v>1840</v>
      </c>
      <c r="H155" s="190" t="s">
        <v>1841</v>
      </c>
      <c r="I155" s="62">
        <v>24.0</v>
      </c>
      <c r="J155" s="62">
        <v>2.0</v>
      </c>
      <c r="K155" s="64" t="s">
        <v>1242</v>
      </c>
      <c r="L155" s="64" t="s">
        <v>1842</v>
      </c>
      <c r="M155" s="65">
        <v>12461.0</v>
      </c>
      <c r="N155" s="65">
        <v>6230.5</v>
      </c>
      <c r="O155" s="65">
        <v>6230.5</v>
      </c>
      <c r="P155" s="64" t="s">
        <v>811</v>
      </c>
      <c r="Q155" s="64" t="s">
        <v>112</v>
      </c>
      <c r="R155" s="68" t="s">
        <v>197</v>
      </c>
      <c r="S155" s="64" t="s">
        <v>1843</v>
      </c>
      <c r="T155" s="64" t="s">
        <v>1844</v>
      </c>
      <c r="U155" s="90" t="s">
        <v>1845</v>
      </c>
      <c r="V155" s="122"/>
      <c r="W155" s="122"/>
      <c r="X155" s="122"/>
      <c r="Y155" s="191"/>
      <c r="Z155" s="191"/>
      <c r="AA155" s="191"/>
      <c r="AB155" s="191"/>
      <c r="AC155" s="191"/>
      <c r="AD155" s="191"/>
      <c r="AE155" s="191"/>
      <c r="AF155" s="191"/>
      <c r="AG155" s="191"/>
      <c r="AH155" s="191"/>
      <c r="AI155" s="191"/>
      <c r="AJ155" s="191"/>
      <c r="AK155" s="191"/>
      <c r="AL155" s="191"/>
      <c r="AM155" s="191"/>
      <c r="AN155" s="191"/>
    </row>
    <row r="156" ht="16.5" customHeight="1">
      <c r="A156" s="105" t="s">
        <v>1846</v>
      </c>
      <c r="B156" s="18" t="s">
        <v>194</v>
      </c>
      <c r="C156" s="199" t="s">
        <v>1847</v>
      </c>
      <c r="D156" s="18" t="s">
        <v>153</v>
      </c>
      <c r="E156" s="55" t="s">
        <v>1848</v>
      </c>
      <c r="F156" s="162" t="s">
        <v>1849</v>
      </c>
      <c r="G156" s="162" t="s">
        <v>1850</v>
      </c>
      <c r="H156" s="199" t="s">
        <v>1851</v>
      </c>
      <c r="I156" s="62">
        <v>27.0</v>
      </c>
      <c r="J156" s="62">
        <v>4.0</v>
      </c>
      <c r="K156" s="62" t="s">
        <v>1852</v>
      </c>
      <c r="L156" s="62" t="s">
        <v>285</v>
      </c>
      <c r="M156" s="65">
        <v>27414.0</v>
      </c>
      <c r="N156" s="65">
        <v>6853.5</v>
      </c>
      <c r="O156" s="65">
        <v>4424.5</v>
      </c>
      <c r="P156" s="64" t="s">
        <v>811</v>
      </c>
      <c r="Q156" s="183" t="s">
        <v>112</v>
      </c>
      <c r="R156" s="122" t="s">
        <v>197</v>
      </c>
      <c r="S156" s="18" t="s">
        <v>1853</v>
      </c>
      <c r="T156" s="22"/>
      <c r="U156" s="76" t="s">
        <v>1854</v>
      </c>
    </row>
    <row r="157" ht="16.5" customHeight="1">
      <c r="A157" s="82" t="s">
        <v>1855</v>
      </c>
      <c r="B157" s="40" t="s">
        <v>1856</v>
      </c>
      <c r="C157" s="55" t="s">
        <v>1857</v>
      </c>
      <c r="D157" s="86" t="s">
        <v>153</v>
      </c>
      <c r="E157" s="55" t="s">
        <v>1858</v>
      </c>
      <c r="F157" s="40" t="s">
        <v>197</v>
      </c>
      <c r="G157" s="55" t="s">
        <v>1859</v>
      </c>
      <c r="H157" s="61" t="s">
        <v>1861</v>
      </c>
      <c r="I157" s="117">
        <v>775.0</v>
      </c>
      <c r="J157" s="117">
        <v>23.0</v>
      </c>
      <c r="K157" s="197" t="s">
        <v>1862</v>
      </c>
      <c r="L157" s="197" t="s">
        <v>139</v>
      </c>
      <c r="M157" s="65">
        <v>4763301.0</v>
      </c>
      <c r="N157" s="65">
        <v>207100.04347826</v>
      </c>
      <c r="O157" s="65">
        <v>4099.0</v>
      </c>
      <c r="P157" s="65" t="s">
        <v>811</v>
      </c>
      <c r="Q157" s="64" t="s">
        <v>112</v>
      </c>
      <c r="R157" s="68" t="s">
        <v>116</v>
      </c>
      <c r="S157" s="40" t="s">
        <v>1863</v>
      </c>
      <c r="T157" s="40" t="s">
        <v>1864</v>
      </c>
      <c r="U157" s="76" t="s">
        <v>1865</v>
      </c>
    </row>
    <row r="158" ht="16.5" customHeight="1">
      <c r="A158" s="100" t="s">
        <v>1866</v>
      </c>
      <c r="B158" s="18" t="s">
        <v>1764</v>
      </c>
      <c r="C158" s="162" t="s">
        <v>1867</v>
      </c>
      <c r="D158" s="22"/>
      <c r="E158" s="210"/>
      <c r="F158" s="181" t="s">
        <v>197</v>
      </c>
      <c r="G158" s="52" t="s">
        <v>1868</v>
      </c>
      <c r="H158" s="52" t="s">
        <v>1869</v>
      </c>
      <c r="I158" s="62" t="s">
        <v>989</v>
      </c>
      <c r="J158" s="62">
        <v>43.0</v>
      </c>
      <c r="K158" s="62" t="s">
        <v>562</v>
      </c>
      <c r="L158" s="62" t="s">
        <v>188</v>
      </c>
      <c r="M158" s="182">
        <v>751386.0</v>
      </c>
      <c r="N158" s="182">
        <v>17474.0930232558</v>
      </c>
      <c r="O158" s="182">
        <v>3111.0</v>
      </c>
      <c r="P158" s="65" t="s">
        <v>811</v>
      </c>
      <c r="Q158" s="183" t="s">
        <v>112</v>
      </c>
      <c r="R158" s="68" t="s">
        <v>197</v>
      </c>
      <c r="S158" s="18" t="s">
        <v>1870</v>
      </c>
      <c r="T158" s="18"/>
      <c r="U158" s="76" t="s">
        <v>1871</v>
      </c>
    </row>
    <row r="159" ht="16.5" customHeight="1">
      <c r="A159" s="188" t="s">
        <v>1872</v>
      </c>
      <c r="B159" s="18" t="s">
        <v>1416</v>
      </c>
      <c r="C159" s="52" t="s">
        <v>1873</v>
      </c>
      <c r="D159" s="18" t="s">
        <v>153</v>
      </c>
      <c r="E159" s="199" t="s">
        <v>1874</v>
      </c>
      <c r="F159" s="162" t="s">
        <v>1875</v>
      </c>
      <c r="G159" s="55" t="s">
        <v>1876</v>
      </c>
      <c r="H159" s="71" t="s">
        <v>1877</v>
      </c>
      <c r="I159" s="62" t="s">
        <v>989</v>
      </c>
      <c r="J159" s="62">
        <v>64.0</v>
      </c>
      <c r="K159" s="64" t="s">
        <v>935</v>
      </c>
      <c r="L159" s="64" t="s">
        <v>285</v>
      </c>
      <c r="M159" s="65">
        <v>1015290.0</v>
      </c>
      <c r="N159" s="65">
        <v>15863.90625</v>
      </c>
      <c r="O159" s="65">
        <v>1883.5</v>
      </c>
      <c r="P159" s="65" t="s">
        <v>811</v>
      </c>
      <c r="Q159" s="64" t="s">
        <v>112</v>
      </c>
      <c r="R159" s="68" t="s">
        <v>197</v>
      </c>
      <c r="S159" s="18" t="s">
        <v>1878</v>
      </c>
      <c r="T159" s="18" t="s">
        <v>1879</v>
      </c>
      <c r="U159" s="76" t="s">
        <v>1880</v>
      </c>
    </row>
    <row r="160" ht="16.5" customHeight="1">
      <c r="A160" s="88" t="s">
        <v>1881</v>
      </c>
      <c r="B160" s="18" t="s">
        <v>218</v>
      </c>
      <c r="C160" s="71" t="s">
        <v>1882</v>
      </c>
      <c r="D160" s="64" t="s">
        <v>153</v>
      </c>
      <c r="E160" s="64" t="s">
        <v>1883</v>
      </c>
      <c r="F160" s="190" t="s">
        <v>1884</v>
      </c>
      <c r="G160" s="192" t="s">
        <v>1885</v>
      </c>
      <c r="H160" s="190" t="s">
        <v>1886</v>
      </c>
      <c r="I160" s="62">
        <v>660.0</v>
      </c>
      <c r="J160" s="62">
        <v>16.0</v>
      </c>
      <c r="K160" s="64" t="s">
        <v>1147</v>
      </c>
      <c r="L160" s="64" t="s">
        <v>139</v>
      </c>
      <c r="M160" s="65">
        <v>217307.0</v>
      </c>
      <c r="N160" s="65">
        <v>13581.6875</v>
      </c>
      <c r="O160" s="65">
        <v>1431.5</v>
      </c>
      <c r="P160" s="64" t="s">
        <v>811</v>
      </c>
      <c r="Q160" s="64" t="s">
        <v>112</v>
      </c>
      <c r="R160" s="68" t="s">
        <v>197</v>
      </c>
      <c r="S160" s="64" t="s">
        <v>1887</v>
      </c>
      <c r="T160" s="64" t="s">
        <v>1888</v>
      </c>
      <c r="U160" s="90" t="s">
        <v>1889</v>
      </c>
      <c r="V160" s="191"/>
      <c r="W160" s="191"/>
      <c r="X160" s="191"/>
      <c r="Y160" s="191"/>
      <c r="Z160" s="191"/>
      <c r="AA160" s="191"/>
      <c r="AB160" s="191"/>
      <c r="AC160" s="191"/>
      <c r="AD160" s="191"/>
      <c r="AE160" s="191"/>
      <c r="AF160" s="191"/>
      <c r="AG160" s="191"/>
      <c r="AH160" s="191"/>
      <c r="AI160" s="191"/>
      <c r="AJ160" s="191"/>
      <c r="AK160" s="191"/>
      <c r="AL160" s="191"/>
      <c r="AM160" s="191"/>
      <c r="AN160" s="191"/>
    </row>
    <row r="161" ht="16.5" customHeight="1">
      <c r="A161" s="100" t="s">
        <v>1890</v>
      </c>
      <c r="B161" s="18" t="s">
        <v>179</v>
      </c>
      <c r="C161" s="52" t="s">
        <v>1891</v>
      </c>
      <c r="D161" s="40" t="s">
        <v>153</v>
      </c>
      <c r="E161" s="210" t="s">
        <v>1892</v>
      </c>
      <c r="F161" s="52" t="s">
        <v>1893</v>
      </c>
      <c r="G161" s="52" t="s">
        <v>1894</v>
      </c>
      <c r="H161" s="61" t="s">
        <v>1895</v>
      </c>
      <c r="I161" s="62">
        <v>46.0</v>
      </c>
      <c r="J161" s="62">
        <v>5.0</v>
      </c>
      <c r="K161" s="64" t="s">
        <v>935</v>
      </c>
      <c r="L161" s="64" t="s">
        <v>908</v>
      </c>
      <c r="M161" s="65">
        <v>19048.0</v>
      </c>
      <c r="N161" s="65">
        <v>3809.6</v>
      </c>
      <c r="O161" s="65">
        <v>188.0</v>
      </c>
      <c r="P161" s="65" t="s">
        <v>811</v>
      </c>
      <c r="Q161" s="64" t="s">
        <v>112</v>
      </c>
      <c r="R161" s="68" t="s">
        <v>197</v>
      </c>
      <c r="S161" s="40" t="s">
        <v>1896</v>
      </c>
      <c r="T161" s="40" t="s">
        <v>1897</v>
      </c>
      <c r="U161" s="76" t="s">
        <v>1898</v>
      </c>
    </row>
    <row r="162" ht="16.5" customHeight="1">
      <c r="A162" s="100" t="s">
        <v>1899</v>
      </c>
      <c r="B162" s="18" t="s">
        <v>179</v>
      </c>
      <c r="C162" s="52" t="s">
        <v>1900</v>
      </c>
      <c r="D162" s="52" t="s">
        <v>1901</v>
      </c>
      <c r="E162" s="210" t="s">
        <v>1902</v>
      </c>
      <c r="F162" s="52" t="s">
        <v>1903</v>
      </c>
      <c r="G162" s="52" t="s">
        <v>1904</v>
      </c>
      <c r="H162" s="61" t="s">
        <v>1905</v>
      </c>
      <c r="I162" s="62">
        <v>364.0</v>
      </c>
      <c r="J162" s="62">
        <v>14.0</v>
      </c>
      <c r="K162" s="64" t="s">
        <v>1814</v>
      </c>
      <c r="L162" s="64" t="s">
        <v>285</v>
      </c>
      <c r="M162" s="65">
        <v>1469586.0</v>
      </c>
      <c r="N162" s="65">
        <v>104970.428571428</v>
      </c>
      <c r="O162" s="65">
        <v>249.0</v>
      </c>
      <c r="P162" s="65" t="s">
        <v>811</v>
      </c>
      <c r="Q162" s="64" t="s">
        <v>112</v>
      </c>
      <c r="R162" s="68" t="s">
        <v>197</v>
      </c>
      <c r="S162" s="40" t="s">
        <v>1906</v>
      </c>
      <c r="T162" s="40" t="s">
        <v>1907</v>
      </c>
      <c r="U162" s="76" t="s">
        <v>1908</v>
      </c>
    </row>
    <row r="163" ht="16.5" customHeight="1">
      <c r="A163" s="105" t="s">
        <v>1909</v>
      </c>
      <c r="B163" s="18" t="s">
        <v>179</v>
      </c>
      <c r="C163" s="71" t="s">
        <v>1910</v>
      </c>
      <c r="D163" s="64" t="s">
        <v>153</v>
      </c>
      <c r="E163" s="120" t="s">
        <v>1911</v>
      </c>
      <c r="F163" s="71" t="s">
        <v>1912</v>
      </c>
      <c r="G163" s="120" t="s">
        <v>1913</v>
      </c>
      <c r="H163" s="192" t="s">
        <v>1914</v>
      </c>
      <c r="I163" s="62">
        <v>7.0</v>
      </c>
      <c r="J163" s="62">
        <v>1.0</v>
      </c>
      <c r="K163" s="62" t="s">
        <v>444</v>
      </c>
      <c r="L163" s="62" t="s">
        <v>444</v>
      </c>
      <c r="M163" s="65">
        <v>3704.0</v>
      </c>
      <c r="N163" s="65">
        <v>3704.0</v>
      </c>
      <c r="O163" s="65">
        <v>3704.0</v>
      </c>
      <c r="P163" s="64" t="s">
        <v>1915</v>
      </c>
      <c r="Q163" s="64" t="s">
        <v>112</v>
      </c>
      <c r="R163" s="68" t="s">
        <v>197</v>
      </c>
      <c r="S163" s="64" t="s">
        <v>1916</v>
      </c>
      <c r="T163" s="191" t="s">
        <v>153</v>
      </c>
      <c r="U163" s="90" t="s">
        <v>1917</v>
      </c>
      <c r="V163" s="191"/>
      <c r="W163" s="191"/>
    </row>
    <row r="164" ht="16.5" customHeight="1">
      <c r="A164" s="88" t="s">
        <v>1918</v>
      </c>
      <c r="B164" s="18" t="s">
        <v>1919</v>
      </c>
      <c r="C164" s="71" t="s">
        <v>1920</v>
      </c>
      <c r="D164" s="64" t="s">
        <v>153</v>
      </c>
      <c r="E164" s="190" t="s">
        <v>1921</v>
      </c>
      <c r="F164" s="83" t="s">
        <v>1922</v>
      </c>
      <c r="G164" s="71" t="s">
        <v>1923</v>
      </c>
      <c r="H164" s="190" t="s">
        <v>1924</v>
      </c>
      <c r="I164" s="62" t="s">
        <v>153</v>
      </c>
      <c r="J164" s="62">
        <v>1.0</v>
      </c>
      <c r="K164" s="62" t="s">
        <v>249</v>
      </c>
      <c r="L164" s="62" t="s">
        <v>249</v>
      </c>
      <c r="M164" s="65">
        <v>4768.0</v>
      </c>
      <c r="N164" s="65">
        <v>4768.0</v>
      </c>
      <c r="O164" s="65">
        <v>4768.0</v>
      </c>
      <c r="P164" s="64" t="s">
        <v>1915</v>
      </c>
      <c r="Q164" s="64" t="s">
        <v>112</v>
      </c>
      <c r="R164" s="68" t="s">
        <v>197</v>
      </c>
      <c r="S164" s="64" t="s">
        <v>1925</v>
      </c>
      <c r="T164" s="64" t="s">
        <v>1926</v>
      </c>
      <c r="U164" s="90" t="s">
        <v>1927</v>
      </c>
      <c r="V164" s="191"/>
      <c r="W164" s="191"/>
      <c r="X164" s="191"/>
      <c r="Y164" s="191"/>
      <c r="Z164" s="191"/>
      <c r="AA164" s="191"/>
      <c r="AB164" s="191"/>
      <c r="AC164" s="191"/>
      <c r="AD164" s="191"/>
      <c r="AE164" s="191"/>
      <c r="AF164" s="191"/>
      <c r="AG164" s="191"/>
      <c r="AH164" s="191"/>
      <c r="AI164" s="191"/>
      <c r="AJ164" s="191"/>
      <c r="AK164" s="191"/>
      <c r="AL164" s="191"/>
      <c r="AM164" s="191"/>
      <c r="AN164" s="191"/>
    </row>
    <row r="165" ht="16.5" customHeight="1">
      <c r="A165" s="100" t="s">
        <v>1928</v>
      </c>
      <c r="B165" s="18" t="s">
        <v>1416</v>
      </c>
      <c r="C165" s="52" t="s">
        <v>1929</v>
      </c>
      <c r="D165" s="18" t="s">
        <v>153</v>
      </c>
      <c r="E165" s="162" t="s">
        <v>1930</v>
      </c>
      <c r="F165" s="71" t="s">
        <v>1931</v>
      </c>
      <c r="G165" s="52" t="s">
        <v>1932</v>
      </c>
      <c r="H165" s="61" t="s">
        <v>1933</v>
      </c>
      <c r="I165" s="62">
        <v>518.0</v>
      </c>
      <c r="J165" s="62">
        <v>3.0</v>
      </c>
      <c r="K165" s="64" t="s">
        <v>1123</v>
      </c>
      <c r="L165" s="64" t="s">
        <v>1934</v>
      </c>
      <c r="M165" s="65">
        <v>248.0</v>
      </c>
      <c r="N165" s="65">
        <v>82.6666666666666</v>
      </c>
      <c r="O165" s="65">
        <v>4.0</v>
      </c>
      <c r="P165" s="65" t="s">
        <v>1915</v>
      </c>
      <c r="Q165" s="183" t="s">
        <v>112</v>
      </c>
      <c r="R165" s="68" t="s">
        <v>197</v>
      </c>
      <c r="S165" s="18" t="s">
        <v>1935</v>
      </c>
      <c r="T165" s="18" t="s">
        <v>1936</v>
      </c>
      <c r="U165" s="74" t="s">
        <v>1937</v>
      </c>
    </row>
    <row r="166" ht="16.5" customHeight="1">
      <c r="A166" s="248" t="s">
        <v>1938</v>
      </c>
      <c r="B166" s="73" t="s">
        <v>1939</v>
      </c>
      <c r="C166" s="249" t="s">
        <v>1940</v>
      </c>
      <c r="D166" s="250" t="s">
        <v>153</v>
      </c>
      <c r="E166" s="251"/>
      <c r="F166" s="229" t="s">
        <v>1941</v>
      </c>
      <c r="G166" s="229" t="s">
        <v>1942</v>
      </c>
      <c r="H166" s="229" t="s">
        <v>1943</v>
      </c>
      <c r="I166" s="252"/>
      <c r="J166" s="253"/>
      <c r="K166" s="254"/>
      <c r="L166" s="255"/>
      <c r="M166" s="255"/>
      <c r="N166" s="255"/>
      <c r="O166" s="256"/>
      <c r="P166" s="250" t="s">
        <v>1915</v>
      </c>
      <c r="Q166" s="74" t="s">
        <v>112</v>
      </c>
      <c r="R166" s="250"/>
      <c r="S166" s="22"/>
      <c r="T166" s="257"/>
      <c r="U166" s="74" t="s">
        <v>1944</v>
      </c>
      <c r="V166" s="258"/>
      <c r="W166" s="258"/>
      <c r="X166" s="258"/>
      <c r="Y166" s="258"/>
      <c r="Z166" s="258"/>
      <c r="AA166" s="258"/>
      <c r="AB166" s="258"/>
      <c r="AC166" s="258"/>
      <c r="AD166" s="258"/>
      <c r="AE166" s="258"/>
      <c r="AF166" s="258"/>
      <c r="AG166" s="258"/>
      <c r="AH166" s="258"/>
      <c r="AI166" s="258"/>
      <c r="AJ166" s="258"/>
      <c r="AK166" s="258"/>
      <c r="AL166" s="258"/>
      <c r="AM166" s="258"/>
      <c r="AN166" s="258"/>
    </row>
    <row r="167" ht="16.5" customHeight="1">
      <c r="A167" s="217" t="s">
        <v>1945</v>
      </c>
      <c r="B167" s="18" t="s">
        <v>357</v>
      </c>
      <c r="C167" s="199" t="s">
        <v>1946</v>
      </c>
      <c r="D167" s="22"/>
      <c r="E167" s="259" t="s">
        <v>1947</v>
      </c>
      <c r="F167" s="18" t="s">
        <v>1948</v>
      </c>
      <c r="G167" s="18" t="s">
        <v>1949</v>
      </c>
      <c r="H167" s="18" t="s">
        <v>1949</v>
      </c>
      <c r="I167" s="62"/>
      <c r="J167" s="62">
        <v>5.0</v>
      </c>
      <c r="K167" s="62" t="s">
        <v>1950</v>
      </c>
      <c r="L167" s="62" t="s">
        <v>285</v>
      </c>
      <c r="M167" s="65">
        <v>298440.0</v>
      </c>
      <c r="N167" s="65">
        <v>59688.0</v>
      </c>
      <c r="O167" s="65">
        <v>3117.0</v>
      </c>
      <c r="P167" s="64" t="s">
        <v>811</v>
      </c>
      <c r="Q167" s="64" t="s">
        <v>112</v>
      </c>
      <c r="R167" s="68" t="s">
        <v>197</v>
      </c>
      <c r="S167" s="22"/>
      <c r="T167" s="18" t="s">
        <v>1951</v>
      </c>
      <c r="U167" s="216" t="s">
        <v>1952</v>
      </c>
      <c r="V167" s="14"/>
      <c r="W167" s="14"/>
      <c r="X167" s="14"/>
      <c r="Y167" s="14"/>
      <c r="Z167" s="14"/>
      <c r="AA167" s="14"/>
      <c r="AB167" s="14"/>
      <c r="AC167" s="14"/>
      <c r="AD167" s="14"/>
      <c r="AE167" s="14"/>
      <c r="AF167" s="14"/>
      <c r="AG167" s="14"/>
      <c r="AH167" s="14"/>
      <c r="AI167" s="14"/>
      <c r="AJ167" s="14"/>
      <c r="AK167" s="14"/>
      <c r="AL167" s="14"/>
      <c r="AM167" s="14"/>
      <c r="AN167" s="14"/>
    </row>
    <row r="168" ht="16.5" customHeight="1">
      <c r="A168" s="88" t="s">
        <v>1953</v>
      </c>
      <c r="B168" s="18" t="s">
        <v>1764</v>
      </c>
      <c r="C168" s="162" t="s">
        <v>1954</v>
      </c>
      <c r="D168" s="71" t="s">
        <v>1955</v>
      </c>
      <c r="E168" s="210" t="s">
        <v>1956</v>
      </c>
      <c r="F168" s="199" t="s">
        <v>1957</v>
      </c>
      <c r="G168" s="86" t="s">
        <v>1949</v>
      </c>
      <c r="H168" s="86" t="s">
        <v>1949</v>
      </c>
      <c r="I168" s="62" t="s">
        <v>153</v>
      </c>
      <c r="J168" s="62">
        <v>1.0</v>
      </c>
      <c r="K168" s="62" t="s">
        <v>1296</v>
      </c>
      <c r="L168" s="62" t="s">
        <v>1296</v>
      </c>
      <c r="M168" s="65">
        <v>448.0</v>
      </c>
      <c r="N168" s="65">
        <v>448.0</v>
      </c>
      <c r="O168" s="65">
        <v>448.0</v>
      </c>
      <c r="P168" s="64" t="s">
        <v>1915</v>
      </c>
      <c r="Q168" s="183" t="s">
        <v>112</v>
      </c>
      <c r="R168" s="68" t="s">
        <v>197</v>
      </c>
      <c r="S168" s="22"/>
      <c r="T168" s="18" t="s">
        <v>1958</v>
      </c>
      <c r="U168" s="76" t="s">
        <v>1959</v>
      </c>
    </row>
    <row r="169" ht="16.5" customHeight="1">
      <c r="A169" s="260" t="s">
        <v>1043</v>
      </c>
      <c r="B169" s="74" t="s">
        <v>1960</v>
      </c>
      <c r="C169" s="212" t="s">
        <v>1045</v>
      </c>
      <c r="D169" s="213"/>
      <c r="E169" s="261"/>
      <c r="F169" s="84" t="s">
        <v>1053</v>
      </c>
      <c r="G169" s="74" t="s">
        <v>153</v>
      </c>
      <c r="H169" s="74" t="s">
        <v>153</v>
      </c>
      <c r="I169" s="262" t="s">
        <v>153</v>
      </c>
      <c r="J169" s="92" t="s">
        <v>153</v>
      </c>
      <c r="K169" s="92" t="s">
        <v>153</v>
      </c>
      <c r="L169" s="263" t="s">
        <v>153</v>
      </c>
      <c r="M169" s="79"/>
      <c r="N169" s="79"/>
      <c r="O169" s="79"/>
      <c r="P169" s="92" t="s">
        <v>811</v>
      </c>
      <c r="Q169" s="74" t="s">
        <v>112</v>
      </c>
      <c r="R169" s="74" t="s">
        <v>116</v>
      </c>
      <c r="S169" s="22"/>
      <c r="T169" s="74" t="s">
        <v>153</v>
      </c>
      <c r="U169" s="264" t="s">
        <v>1055</v>
      </c>
      <c r="V169" s="265"/>
      <c r="W169" s="265"/>
      <c r="X169" s="265"/>
      <c r="Y169" s="265"/>
      <c r="Z169" s="265"/>
      <c r="AA169" s="265"/>
      <c r="AB169" s="265"/>
      <c r="AC169" s="265"/>
      <c r="AD169" s="265"/>
      <c r="AE169" s="265"/>
      <c r="AF169" s="265"/>
      <c r="AG169" s="265"/>
      <c r="AH169" s="265"/>
      <c r="AI169" s="265"/>
      <c r="AJ169" s="265"/>
      <c r="AK169" s="265"/>
      <c r="AL169" s="265"/>
      <c r="AM169" s="265"/>
      <c r="AN169" s="265"/>
    </row>
    <row r="170" ht="16.5" customHeight="1">
      <c r="A170" s="88" t="s">
        <v>1961</v>
      </c>
      <c r="B170" s="64" t="s">
        <v>1962</v>
      </c>
      <c r="C170" s="71" t="s">
        <v>1963</v>
      </c>
      <c r="D170" s="83" t="s">
        <v>153</v>
      </c>
      <c r="E170" s="61" t="s">
        <v>1964</v>
      </c>
      <c r="F170" s="71" t="s">
        <v>1965</v>
      </c>
      <c r="G170" s="147"/>
      <c r="H170" s="220"/>
      <c r="I170" s="266"/>
      <c r="J170" s="122"/>
      <c r="K170" s="64" t="s">
        <v>789</v>
      </c>
      <c r="L170" s="64" t="s">
        <v>1285</v>
      </c>
      <c r="M170" s="182"/>
      <c r="N170" s="182"/>
      <c r="O170" s="182"/>
      <c r="P170" s="64" t="s">
        <v>1915</v>
      </c>
      <c r="Q170" s="183" t="s">
        <v>112</v>
      </c>
      <c r="R170" s="27"/>
      <c r="S170" s="22"/>
      <c r="T170" s="27"/>
      <c r="U170" s="90" t="s">
        <v>1966</v>
      </c>
      <c r="V170" s="27"/>
      <c r="W170" s="27"/>
      <c r="X170" s="27"/>
      <c r="Y170" s="27"/>
      <c r="Z170" s="27"/>
      <c r="AA170" s="27"/>
      <c r="AB170" s="27"/>
      <c r="AC170" s="27"/>
      <c r="AD170" s="27"/>
      <c r="AE170" s="27"/>
      <c r="AF170" s="27"/>
      <c r="AG170" s="27"/>
      <c r="AH170" s="27"/>
      <c r="AI170" s="27"/>
      <c r="AJ170" s="27"/>
      <c r="AK170" s="27"/>
      <c r="AL170" s="27"/>
      <c r="AM170" s="27"/>
      <c r="AN170" s="27"/>
    </row>
    <row r="171" ht="16.5" customHeight="1">
      <c r="A171" s="100" t="s">
        <v>1967</v>
      </c>
      <c r="B171" s="18" t="s">
        <v>60</v>
      </c>
      <c r="C171" s="162" t="s">
        <v>1968</v>
      </c>
      <c r="D171" s="22"/>
      <c r="E171" s="40" t="s">
        <v>1969</v>
      </c>
      <c r="F171" s="18" t="s">
        <v>1970</v>
      </c>
      <c r="G171" s="22"/>
      <c r="H171" s="22"/>
      <c r="I171" s="266"/>
      <c r="J171" s="62">
        <v>4.0</v>
      </c>
      <c r="K171" s="267">
        <v>46143.0</v>
      </c>
      <c r="L171" s="226">
        <v>46357.0</v>
      </c>
      <c r="M171" s="44"/>
      <c r="N171" s="44"/>
      <c r="O171" s="44"/>
      <c r="P171" s="64" t="s">
        <v>1915</v>
      </c>
      <c r="Q171" s="64" t="s">
        <v>112</v>
      </c>
      <c r="R171" s="122" t="s">
        <v>197</v>
      </c>
      <c r="S171" s="22"/>
      <c r="T171" s="18" t="s">
        <v>1971</v>
      </c>
      <c r="U171" s="76" t="s">
        <v>1972</v>
      </c>
    </row>
    <row r="172" ht="16.5" customHeight="1">
      <c r="A172" s="217" t="s">
        <v>1973</v>
      </c>
      <c r="B172" s="40" t="s">
        <v>254</v>
      </c>
      <c r="C172" s="162" t="s">
        <v>1974</v>
      </c>
      <c r="D172" s="162" t="s">
        <v>1975</v>
      </c>
      <c r="E172" s="40"/>
      <c r="F172" s="40"/>
      <c r="G172" s="86"/>
      <c r="H172" s="40"/>
      <c r="I172" s="268"/>
      <c r="J172" s="269"/>
      <c r="K172" s="270"/>
      <c r="L172" s="271"/>
      <c r="M172" s="65"/>
      <c r="N172" s="65"/>
      <c r="O172" s="65"/>
      <c r="P172" s="62" t="s">
        <v>1915</v>
      </c>
      <c r="Q172" s="183" t="s">
        <v>112</v>
      </c>
      <c r="R172" s="18" t="s">
        <v>197</v>
      </c>
      <c r="S172" s="22"/>
      <c r="T172" s="18"/>
      <c r="U172" s="118" t="s">
        <v>1976</v>
      </c>
    </row>
    <row r="173" ht="16.5" customHeight="1">
      <c r="A173" s="189"/>
      <c r="B173" s="22"/>
      <c r="C173" s="22"/>
      <c r="D173" s="22"/>
      <c r="E173" s="22"/>
      <c r="F173" s="22"/>
      <c r="G173" s="22"/>
      <c r="H173" s="22"/>
      <c r="I173" s="266"/>
      <c r="J173" s="272"/>
      <c r="K173" s="272"/>
      <c r="L173" s="272"/>
      <c r="M173" s="273"/>
      <c r="N173" s="273"/>
      <c r="O173" s="273"/>
      <c r="P173" s="27"/>
      <c r="Q173" s="27"/>
      <c r="R173" s="27"/>
      <c r="S173" s="22"/>
      <c r="T173" s="22"/>
      <c r="U173" s="28"/>
    </row>
    <row r="174" ht="16.5" customHeight="1">
      <c r="A174" s="274" t="s">
        <v>1977</v>
      </c>
      <c r="B174" s="275" t="s">
        <v>1978</v>
      </c>
      <c r="C174" s="276"/>
      <c r="D174" s="277"/>
      <c r="E174" s="277"/>
      <c r="F174" s="277"/>
      <c r="G174" s="277"/>
      <c r="H174" s="277"/>
      <c r="I174" s="278"/>
      <c r="J174" s="278"/>
      <c r="K174" s="278"/>
      <c r="L174" s="278"/>
      <c r="M174" s="279"/>
      <c r="N174" s="279"/>
      <c r="O174" s="279"/>
      <c r="P174" s="280"/>
      <c r="Q174" s="281"/>
      <c r="R174" s="281"/>
      <c r="S174" s="282"/>
      <c r="T174" s="277"/>
      <c r="U174" s="282"/>
    </row>
    <row r="175" ht="16.5" customHeight="1">
      <c r="A175" s="39"/>
      <c r="B175" s="40"/>
      <c r="C175" s="41"/>
      <c r="D175" s="41"/>
      <c r="E175" s="41"/>
      <c r="F175" s="41"/>
      <c r="G175" s="41"/>
      <c r="H175" s="42"/>
      <c r="I175" s="43"/>
      <c r="J175" s="43"/>
      <c r="K175" s="43"/>
      <c r="L175" s="43"/>
      <c r="M175" s="44"/>
      <c r="N175" s="44"/>
      <c r="O175" s="44"/>
      <c r="P175" s="42"/>
      <c r="Q175" s="27"/>
      <c r="R175" s="27"/>
      <c r="S175" s="41"/>
      <c r="T175" s="41"/>
      <c r="U175" s="28"/>
    </row>
    <row r="176" ht="16.5" customHeight="1">
      <c r="A176" s="82"/>
      <c r="B176" s="73"/>
      <c r="C176" s="86"/>
      <c r="D176" s="173"/>
      <c r="E176" s="173"/>
      <c r="F176" s="173"/>
      <c r="G176" s="247"/>
      <c r="H176" s="251"/>
      <c r="I176" s="230"/>
      <c r="J176" s="230"/>
      <c r="K176" s="230"/>
      <c r="L176" s="230"/>
      <c r="M176" s="65"/>
      <c r="N176" s="65"/>
      <c r="O176" s="65"/>
      <c r="P176" s="230"/>
      <c r="Q176" s="40"/>
      <c r="R176" s="25"/>
      <c r="S176" s="40"/>
      <c r="T176" s="40"/>
      <c r="U176" s="76"/>
    </row>
    <row r="177" ht="16.5" customHeight="1">
      <c r="A177" s="82"/>
      <c r="B177" s="73"/>
      <c r="C177" s="86"/>
      <c r="D177" s="173"/>
      <c r="E177" s="173"/>
      <c r="F177" s="173"/>
      <c r="G177" s="247"/>
      <c r="H177" s="251"/>
      <c r="I177" s="230"/>
      <c r="J177" s="230"/>
      <c r="K177" s="230"/>
      <c r="L177" s="230"/>
      <c r="M177" s="65"/>
      <c r="N177" s="65"/>
      <c r="O177" s="65"/>
      <c r="P177" s="230"/>
      <c r="Q177" s="40"/>
      <c r="R177" s="25"/>
      <c r="S177" s="40"/>
      <c r="T177" s="40"/>
      <c r="U177" s="76"/>
    </row>
    <row r="178" ht="16.5" customHeight="1">
      <c r="A178" s="82"/>
      <c r="B178" s="73"/>
      <c r="C178" s="86"/>
      <c r="D178" s="173"/>
      <c r="E178" s="173"/>
      <c r="F178" s="173"/>
      <c r="G178" s="247"/>
      <c r="H178" s="251"/>
      <c r="I178" s="230"/>
      <c r="J178" s="230"/>
      <c r="K178" s="230"/>
      <c r="L178" s="230"/>
      <c r="M178" s="65"/>
      <c r="N178" s="65"/>
      <c r="O178" s="65"/>
      <c r="P178" s="230"/>
      <c r="Q178" s="40"/>
      <c r="R178" s="25"/>
      <c r="S178" s="40"/>
      <c r="T178" s="40"/>
      <c r="U178" s="76"/>
    </row>
    <row r="179" ht="16.5" customHeight="1">
      <c r="A179" s="82"/>
      <c r="B179" s="73"/>
      <c r="C179" s="86"/>
      <c r="D179" s="173"/>
      <c r="E179" s="173"/>
      <c r="F179" s="173"/>
      <c r="G179" s="247"/>
      <c r="H179" s="251"/>
      <c r="I179" s="230"/>
      <c r="J179" s="230"/>
      <c r="K179" s="230"/>
      <c r="L179" s="230"/>
      <c r="M179" s="65"/>
      <c r="N179" s="65"/>
      <c r="O179" s="65"/>
      <c r="P179" s="230"/>
      <c r="Q179" s="40"/>
      <c r="R179" s="25"/>
      <c r="S179" s="40"/>
      <c r="T179" s="40"/>
      <c r="U179" s="76"/>
    </row>
    <row r="180" ht="16.5" customHeight="1">
      <c r="A180" s="82"/>
      <c r="B180" s="73"/>
      <c r="C180" s="86"/>
      <c r="D180" s="173"/>
      <c r="E180" s="173"/>
      <c r="F180" s="173"/>
      <c r="G180" s="247"/>
      <c r="H180" s="251"/>
      <c r="I180" s="230"/>
      <c r="J180" s="230"/>
      <c r="K180" s="230"/>
      <c r="L180" s="230"/>
      <c r="M180" s="65"/>
      <c r="N180" s="65"/>
      <c r="O180" s="65"/>
      <c r="P180" s="230"/>
      <c r="Q180" s="40"/>
      <c r="R180" s="25"/>
      <c r="S180" s="40"/>
      <c r="T180" s="40"/>
      <c r="U180" s="76"/>
    </row>
    <row r="181" ht="16.5" customHeight="1">
      <c r="A181" s="82"/>
      <c r="B181" s="73"/>
      <c r="C181" s="86"/>
      <c r="D181" s="173"/>
      <c r="E181" s="173"/>
      <c r="F181" s="173"/>
      <c r="G181" s="247"/>
      <c r="H181" s="251"/>
      <c r="I181" s="230"/>
      <c r="J181" s="230"/>
      <c r="K181" s="230"/>
      <c r="L181" s="230"/>
      <c r="M181" s="65"/>
      <c r="N181" s="65"/>
      <c r="O181" s="65"/>
      <c r="P181" s="230"/>
      <c r="Q181" s="40"/>
      <c r="R181" s="25"/>
      <c r="S181" s="40"/>
      <c r="T181" s="40"/>
      <c r="U181" s="76"/>
    </row>
    <row r="182" ht="16.5" customHeight="1">
      <c r="A182" s="82"/>
      <c r="B182" s="73"/>
      <c r="C182" s="86"/>
      <c r="D182" s="173"/>
      <c r="E182" s="173"/>
      <c r="F182" s="173"/>
      <c r="G182" s="247"/>
      <c r="H182" s="251"/>
      <c r="I182" s="230"/>
      <c r="J182" s="230"/>
      <c r="K182" s="230"/>
      <c r="L182" s="230"/>
      <c r="M182" s="65"/>
      <c r="N182" s="65"/>
      <c r="O182" s="65"/>
      <c r="P182" s="230"/>
      <c r="Q182" s="40"/>
      <c r="R182" s="25"/>
      <c r="S182" s="40"/>
      <c r="T182" s="40"/>
      <c r="U182" s="76"/>
    </row>
    <row r="183" ht="16.5" customHeight="1">
      <c r="A183" s="82"/>
      <c r="B183" s="73"/>
      <c r="C183" s="86"/>
      <c r="D183" s="173"/>
      <c r="E183" s="173"/>
      <c r="F183" s="173"/>
      <c r="G183" s="247"/>
      <c r="H183" s="251"/>
      <c r="I183" s="230"/>
      <c r="J183" s="230"/>
      <c r="K183" s="230"/>
      <c r="L183" s="230"/>
      <c r="M183" s="65"/>
      <c r="N183" s="65"/>
      <c r="O183" s="65"/>
      <c r="P183" s="230"/>
      <c r="Q183" s="40"/>
      <c r="R183" s="25"/>
      <c r="S183" s="40"/>
      <c r="T183" s="40"/>
      <c r="U183" s="76"/>
    </row>
    <row r="184" ht="16.5" customHeight="1">
      <c r="A184" s="82"/>
      <c r="B184" s="73"/>
      <c r="C184" s="86"/>
      <c r="D184" s="173"/>
      <c r="E184" s="173"/>
      <c r="F184" s="173"/>
      <c r="G184" s="247"/>
      <c r="H184" s="251"/>
      <c r="I184" s="230"/>
      <c r="J184" s="230"/>
      <c r="K184" s="230"/>
      <c r="L184" s="230"/>
      <c r="M184" s="65"/>
      <c r="N184" s="65"/>
      <c r="O184" s="65"/>
      <c r="P184" s="230"/>
      <c r="Q184" s="40"/>
      <c r="R184" s="25"/>
      <c r="S184" s="40"/>
      <c r="T184" s="40"/>
      <c r="U184" s="76"/>
    </row>
    <row r="185" ht="16.5" customHeight="1">
      <c r="A185" s="82"/>
      <c r="B185" s="73"/>
      <c r="C185" s="86"/>
      <c r="D185" s="173"/>
      <c r="E185" s="173"/>
      <c r="F185" s="173"/>
      <c r="G185" s="247"/>
      <c r="H185" s="251"/>
      <c r="I185" s="230"/>
      <c r="J185" s="230"/>
      <c r="K185" s="230"/>
      <c r="L185" s="230"/>
      <c r="M185" s="65"/>
      <c r="N185" s="65"/>
      <c r="O185" s="65"/>
      <c r="P185" s="230"/>
      <c r="Q185" s="40"/>
      <c r="R185" s="25"/>
      <c r="S185" s="40"/>
      <c r="T185" s="40"/>
      <c r="U185" s="76"/>
    </row>
    <row r="186" ht="16.5" customHeight="1">
      <c r="A186" s="39"/>
      <c r="B186" s="40"/>
      <c r="C186" s="41"/>
      <c r="D186" s="41"/>
      <c r="E186" s="41"/>
      <c r="F186" s="41"/>
      <c r="G186" s="41"/>
      <c r="H186" s="42"/>
      <c r="I186" s="43"/>
      <c r="J186" s="43"/>
      <c r="K186" s="43"/>
      <c r="L186" s="43"/>
      <c r="M186" s="44"/>
      <c r="N186" s="44"/>
      <c r="O186" s="44"/>
      <c r="P186" s="42"/>
      <c r="Q186" s="27"/>
      <c r="R186" s="27"/>
      <c r="S186" s="41"/>
      <c r="T186" s="41"/>
      <c r="U186" s="28"/>
    </row>
    <row r="187" ht="16.5" customHeight="1">
      <c r="A187" s="283" t="s">
        <v>1979</v>
      </c>
      <c r="B187" s="284"/>
      <c r="C187" s="285"/>
      <c r="D187" s="284"/>
      <c r="E187" s="284"/>
      <c r="F187" s="284"/>
      <c r="G187" s="284"/>
      <c r="H187" s="284"/>
      <c r="I187" s="286"/>
      <c r="J187" s="286"/>
      <c r="K187" s="286"/>
      <c r="L187" s="286"/>
      <c r="M187" s="287"/>
      <c r="N187" s="287"/>
      <c r="O187" s="287"/>
      <c r="P187" s="288"/>
      <c r="Q187" s="289"/>
      <c r="R187" s="289"/>
      <c r="S187" s="284"/>
      <c r="T187" s="284"/>
      <c r="U187" s="290"/>
    </row>
    <row r="188" ht="16.5" customHeight="1">
      <c r="A188" s="189"/>
      <c r="B188" s="22"/>
      <c r="C188" s="22"/>
      <c r="D188" s="22"/>
      <c r="E188" s="22"/>
      <c r="F188" s="22"/>
      <c r="G188" s="22"/>
      <c r="H188" s="22"/>
      <c r="I188" s="266"/>
      <c r="J188" s="272"/>
      <c r="K188" s="272"/>
      <c r="L188" s="272"/>
      <c r="M188" s="273"/>
      <c r="N188" s="273"/>
      <c r="O188" s="273"/>
      <c r="P188" s="27"/>
      <c r="Q188" s="27"/>
      <c r="R188" s="27"/>
      <c r="S188" s="22"/>
      <c r="T188" s="22"/>
      <c r="U188" s="28"/>
    </row>
    <row r="189" ht="16.5" customHeight="1">
      <c r="A189" s="88" t="s">
        <v>1980</v>
      </c>
      <c r="B189" s="83" t="s">
        <v>1981</v>
      </c>
      <c r="C189" s="84" t="s">
        <v>1982</v>
      </c>
      <c r="D189" s="14"/>
      <c r="E189" s="83" t="s">
        <v>1983</v>
      </c>
      <c r="F189" s="84" t="s">
        <v>1984</v>
      </c>
      <c r="G189" s="142" t="s">
        <v>1985</v>
      </c>
      <c r="H189" s="142" t="s">
        <v>1986</v>
      </c>
      <c r="I189" s="106">
        <v>766.0</v>
      </c>
      <c r="J189" s="106">
        <v>17.0</v>
      </c>
      <c r="K189" s="291">
        <v>43709.0</v>
      </c>
      <c r="L189" s="64" t="s">
        <v>1285</v>
      </c>
      <c r="M189" s="292" t="s">
        <v>153</v>
      </c>
      <c r="N189" s="292" t="s">
        <v>153</v>
      </c>
      <c r="O189" s="292" t="s">
        <v>153</v>
      </c>
      <c r="P189" s="68" t="s">
        <v>811</v>
      </c>
      <c r="Q189" s="68" t="s">
        <v>1987</v>
      </c>
      <c r="R189" s="68" t="s">
        <v>197</v>
      </c>
      <c r="S189" s="83" t="s">
        <v>1988</v>
      </c>
      <c r="T189" s="83" t="s">
        <v>1989</v>
      </c>
      <c r="U189" s="146" t="s">
        <v>153</v>
      </c>
    </row>
    <row r="190" ht="16.5" customHeight="1">
      <c r="A190" s="105" t="s">
        <v>1990</v>
      </c>
      <c r="B190" s="14"/>
      <c r="C190" s="84" t="s">
        <v>1991</v>
      </c>
      <c r="D190" s="14"/>
      <c r="E190" s="141" t="s">
        <v>1992</v>
      </c>
      <c r="F190" s="261" t="s">
        <v>1993</v>
      </c>
      <c r="G190" s="142" t="s">
        <v>1994</v>
      </c>
      <c r="H190" s="142" t="s">
        <v>1995</v>
      </c>
      <c r="I190" s="106">
        <v>334.0</v>
      </c>
      <c r="J190" s="106"/>
      <c r="K190" s="291"/>
      <c r="L190" s="293"/>
      <c r="M190" s="292"/>
      <c r="N190" s="292"/>
      <c r="O190" s="292"/>
      <c r="P190" s="68" t="s">
        <v>811</v>
      </c>
      <c r="Q190" s="68" t="s">
        <v>1996</v>
      </c>
      <c r="R190" s="42"/>
      <c r="S190" s="83" t="s">
        <v>1997</v>
      </c>
      <c r="T190" s="83" t="s">
        <v>1998</v>
      </c>
      <c r="U190" s="146" t="s">
        <v>1999</v>
      </c>
    </row>
    <row r="191" ht="16.5" customHeight="1">
      <c r="A191" s="82" t="s">
        <v>2000</v>
      </c>
      <c r="B191" s="40" t="s">
        <v>760</v>
      </c>
      <c r="C191" s="52" t="s">
        <v>2001</v>
      </c>
      <c r="D191" s="52" t="s">
        <v>2002</v>
      </c>
      <c r="E191" s="40" t="s">
        <v>2003</v>
      </c>
      <c r="F191" s="52" t="s">
        <v>2004</v>
      </c>
      <c r="G191" s="59" t="s">
        <v>2005</v>
      </c>
      <c r="H191" s="61" t="s">
        <v>2006</v>
      </c>
      <c r="I191" s="72">
        <v>17.0</v>
      </c>
      <c r="J191" s="72">
        <v>11.0</v>
      </c>
      <c r="K191" s="294" t="s">
        <v>2007</v>
      </c>
      <c r="L191" s="294" t="s">
        <v>1467</v>
      </c>
      <c r="M191" s="228">
        <v>249562.0</v>
      </c>
      <c r="N191" s="228">
        <v>15172.0</v>
      </c>
      <c r="O191" s="228">
        <v>3721.0</v>
      </c>
      <c r="P191" s="295" t="s">
        <v>811</v>
      </c>
      <c r="Q191" s="68" t="s">
        <v>112</v>
      </c>
      <c r="R191" s="68" t="s">
        <v>116</v>
      </c>
      <c r="S191" s="25" t="s">
        <v>2008</v>
      </c>
      <c r="T191" s="40" t="s">
        <v>2009</v>
      </c>
      <c r="U191" s="69" t="s">
        <v>2010</v>
      </c>
    </row>
    <row r="192" ht="16.5" customHeight="1">
      <c r="A192" s="100" t="s">
        <v>2011</v>
      </c>
      <c r="B192" s="18" t="s">
        <v>302</v>
      </c>
      <c r="C192" s="199" t="s">
        <v>2012</v>
      </c>
      <c r="D192" s="22"/>
      <c r="E192" s="149" t="s">
        <v>2013</v>
      </c>
      <c r="F192" s="162" t="s">
        <v>2014</v>
      </c>
      <c r="G192" s="22"/>
      <c r="H192" s="22"/>
      <c r="I192" s="266"/>
      <c r="J192" s="266"/>
      <c r="K192" s="266"/>
      <c r="L192" s="266"/>
      <c r="M192" s="44"/>
      <c r="N192" s="44"/>
      <c r="O192" s="44"/>
      <c r="P192" s="68" t="s">
        <v>2015</v>
      </c>
      <c r="Q192" s="122"/>
      <c r="R192" s="122"/>
      <c r="S192" s="22"/>
      <c r="T192" s="18" t="s">
        <v>2016</v>
      </c>
      <c r="U192" s="76" t="s">
        <v>2017</v>
      </c>
    </row>
    <row r="193" ht="16.5" customHeight="1">
      <c r="A193" s="100" t="s">
        <v>2018</v>
      </c>
      <c r="B193" s="18" t="s">
        <v>194</v>
      </c>
      <c r="C193" s="162" t="s">
        <v>2019</v>
      </c>
      <c r="D193" s="22"/>
      <c r="E193" s="22"/>
      <c r="F193" s="162" t="s">
        <v>2020</v>
      </c>
      <c r="G193" s="22"/>
      <c r="H193" s="22"/>
      <c r="I193" s="266"/>
      <c r="J193" s="266"/>
      <c r="K193" s="272"/>
      <c r="L193" s="272"/>
      <c r="M193" s="273"/>
      <c r="N193" s="273"/>
      <c r="O193" s="273"/>
      <c r="P193" s="68" t="s">
        <v>2015</v>
      </c>
      <c r="Q193" s="27"/>
      <c r="R193" s="27"/>
      <c r="S193" s="22"/>
      <c r="T193" s="22"/>
      <c r="U193" s="28"/>
    </row>
    <row r="194" ht="16.5" customHeight="1">
      <c r="A194" s="100" t="s">
        <v>2021</v>
      </c>
      <c r="B194" s="18" t="s">
        <v>194</v>
      </c>
      <c r="C194" s="199" t="s">
        <v>2022</v>
      </c>
      <c r="D194" s="22"/>
      <c r="E194" s="52" t="s">
        <v>2023</v>
      </c>
      <c r="F194" s="162" t="s">
        <v>2024</v>
      </c>
      <c r="G194" s="22"/>
      <c r="H194" s="22"/>
      <c r="I194" s="43"/>
      <c r="J194" s="266"/>
      <c r="K194" s="272"/>
      <c r="L194" s="272"/>
      <c r="M194" s="273"/>
      <c r="N194" s="273"/>
      <c r="O194" s="273"/>
      <c r="P194" s="68" t="s">
        <v>2015</v>
      </c>
      <c r="Q194" s="27"/>
      <c r="R194" s="27"/>
      <c r="S194" s="22"/>
      <c r="T194" s="22"/>
      <c r="U194" s="28"/>
    </row>
    <row r="195" ht="16.5" customHeight="1">
      <c r="A195" s="100" t="s">
        <v>2026</v>
      </c>
      <c r="B195" s="18" t="s">
        <v>194</v>
      </c>
      <c r="C195" s="162" t="s">
        <v>2027</v>
      </c>
      <c r="D195" s="22"/>
      <c r="E195" s="18" t="s">
        <v>2028</v>
      </c>
      <c r="F195" s="162" t="s">
        <v>2029</v>
      </c>
      <c r="G195" s="22"/>
      <c r="H195" s="22"/>
      <c r="I195" s="266"/>
      <c r="J195" s="43"/>
      <c r="K195" s="296"/>
      <c r="L195" s="296"/>
      <c r="M195" s="273"/>
      <c r="N195" s="273"/>
      <c r="O195" s="273"/>
      <c r="P195" s="68" t="s">
        <v>2030</v>
      </c>
      <c r="Q195" s="68" t="s">
        <v>2031</v>
      </c>
      <c r="R195" s="27"/>
      <c r="S195" s="22"/>
      <c r="T195" s="22"/>
      <c r="U195" s="28"/>
    </row>
    <row r="196" ht="16.5" customHeight="1">
      <c r="A196" s="91" t="s">
        <v>2032</v>
      </c>
      <c r="B196" s="73" t="s">
        <v>2033</v>
      </c>
      <c r="C196" s="94" t="s">
        <v>2034</v>
      </c>
      <c r="E196" s="94" t="s">
        <v>2035</v>
      </c>
      <c r="F196" s="94" t="s">
        <v>2036</v>
      </c>
      <c r="G196" s="94" t="s">
        <v>2037</v>
      </c>
      <c r="H196" s="93" t="s">
        <v>2038</v>
      </c>
      <c r="I196" s="78" t="s">
        <v>863</v>
      </c>
      <c r="J196" s="92">
        <v>85.0</v>
      </c>
      <c r="K196" s="297">
        <v>41122.0</v>
      </c>
      <c r="L196" s="297">
        <v>45992.0</v>
      </c>
      <c r="M196" s="79" t="s">
        <v>2039</v>
      </c>
      <c r="N196" s="79" t="s">
        <v>2040</v>
      </c>
      <c r="O196" s="79" t="s">
        <v>2041</v>
      </c>
      <c r="P196" s="298" t="s">
        <v>811</v>
      </c>
      <c r="Q196" s="74" t="s">
        <v>812</v>
      </c>
      <c r="R196" s="74" t="s">
        <v>197</v>
      </c>
      <c r="S196" s="73" t="s">
        <v>2042</v>
      </c>
      <c r="T196" s="73" t="s">
        <v>2043</v>
      </c>
      <c r="U196" s="92" t="s">
        <v>2044</v>
      </c>
      <c r="V196" s="265"/>
      <c r="W196" s="265"/>
      <c r="X196" s="265"/>
      <c r="Y196" s="265"/>
      <c r="Z196" s="265"/>
      <c r="AA196" s="265"/>
      <c r="AB196" s="265"/>
      <c r="AC196" s="265"/>
      <c r="AD196" s="265"/>
      <c r="AE196" s="265"/>
      <c r="AF196" s="265"/>
      <c r="AG196" s="265"/>
      <c r="AH196" s="265"/>
      <c r="AI196" s="265"/>
      <c r="AJ196" s="265"/>
      <c r="AK196" s="265"/>
      <c r="AL196" s="265"/>
      <c r="AM196" s="265"/>
      <c r="AN196" s="265"/>
    </row>
    <row r="197" ht="16.5" customHeight="1">
      <c r="A197" s="100" t="s">
        <v>2045</v>
      </c>
      <c r="B197" s="22"/>
      <c r="C197" s="162" t="s">
        <v>2046</v>
      </c>
      <c r="D197" s="22"/>
      <c r="E197" s="22"/>
      <c r="F197" s="18" t="s">
        <v>2047</v>
      </c>
      <c r="G197" s="22"/>
      <c r="H197" s="22"/>
      <c r="I197" s="266"/>
      <c r="J197" s="266"/>
      <c r="K197" s="272"/>
      <c r="L197" s="272"/>
      <c r="M197" s="273"/>
      <c r="N197" s="273"/>
      <c r="O197" s="273"/>
      <c r="P197" s="68" t="s">
        <v>2015</v>
      </c>
      <c r="Q197" s="68" t="s">
        <v>2048</v>
      </c>
      <c r="R197" s="68" t="s">
        <v>118</v>
      </c>
      <c r="S197" s="22"/>
      <c r="T197" s="18" t="s">
        <v>2049</v>
      </c>
      <c r="U197" s="28"/>
    </row>
    <row r="198" ht="16.5" customHeight="1">
      <c r="A198" s="100" t="s">
        <v>2050</v>
      </c>
      <c r="B198" s="18" t="s">
        <v>194</v>
      </c>
      <c r="C198" s="199" t="s">
        <v>2051</v>
      </c>
      <c r="D198" s="22"/>
      <c r="E198" s="22"/>
      <c r="F198" s="22"/>
      <c r="G198" s="22"/>
      <c r="H198" s="22"/>
      <c r="I198" s="266"/>
      <c r="J198" s="266"/>
      <c r="K198" s="272"/>
      <c r="L198" s="272"/>
      <c r="M198" s="273"/>
      <c r="N198" s="273"/>
      <c r="O198" s="273"/>
      <c r="P198" s="27"/>
      <c r="Q198" s="27"/>
      <c r="R198" s="27"/>
      <c r="S198" s="22"/>
      <c r="T198" s="18" t="s">
        <v>2052</v>
      </c>
      <c r="U198" s="74" t="s">
        <v>2053</v>
      </c>
    </row>
    <row r="199" ht="16.5" customHeight="1">
      <c r="A199" s="100" t="s">
        <v>2054</v>
      </c>
      <c r="B199" s="18" t="s">
        <v>194</v>
      </c>
      <c r="C199" s="18" t="s">
        <v>2055</v>
      </c>
      <c r="D199" s="22"/>
      <c r="E199" s="18" t="s">
        <v>2056</v>
      </c>
      <c r="F199" s="18" t="s">
        <v>2056</v>
      </c>
      <c r="G199" s="18" t="s">
        <v>2057</v>
      </c>
      <c r="H199" s="18" t="s">
        <v>2058</v>
      </c>
      <c r="I199" s="266"/>
      <c r="J199" s="266"/>
      <c r="K199" s="62" t="s">
        <v>2059</v>
      </c>
      <c r="L199" s="272"/>
      <c r="M199" s="273"/>
      <c r="N199" s="273"/>
      <c r="O199" s="273"/>
      <c r="P199" s="68" t="s">
        <v>811</v>
      </c>
      <c r="Q199" s="68" t="s">
        <v>2060</v>
      </c>
      <c r="R199" s="27"/>
      <c r="S199" s="22"/>
      <c r="T199" s="18" t="s">
        <v>2059</v>
      </c>
      <c r="U199" s="76" t="s">
        <v>2061</v>
      </c>
    </row>
    <row r="200" ht="16.5" customHeight="1">
      <c r="A200" s="100" t="s">
        <v>2062</v>
      </c>
      <c r="B200" s="18" t="s">
        <v>1764</v>
      </c>
      <c r="C200" s="199" t="s">
        <v>2063</v>
      </c>
      <c r="D200" s="22"/>
      <c r="E200" s="18" t="s">
        <v>2064</v>
      </c>
      <c r="F200" s="162" t="s">
        <v>2065</v>
      </c>
      <c r="G200" s="55" t="s">
        <v>2066</v>
      </c>
      <c r="H200" s="55" t="s">
        <v>2067</v>
      </c>
      <c r="I200" s="266"/>
      <c r="J200" s="62">
        <v>11.0</v>
      </c>
      <c r="K200" s="272"/>
      <c r="L200" s="272"/>
      <c r="M200" s="273"/>
      <c r="N200" s="273"/>
      <c r="O200" s="273"/>
      <c r="P200" s="68" t="s">
        <v>811</v>
      </c>
      <c r="Q200" s="68" t="s">
        <v>2060</v>
      </c>
      <c r="R200" s="27"/>
      <c r="S200" s="18" t="s">
        <v>2068</v>
      </c>
      <c r="T200" s="18" t="s">
        <v>2069</v>
      </c>
      <c r="U200" s="76" t="s">
        <v>2070</v>
      </c>
    </row>
    <row r="201" ht="16.5" customHeight="1">
      <c r="A201" s="170" t="s">
        <v>2071</v>
      </c>
      <c r="B201" s="141" t="s">
        <v>179</v>
      </c>
      <c r="C201" s="173" t="s">
        <v>2072</v>
      </c>
      <c r="D201" s="42"/>
      <c r="E201" s="173" t="s">
        <v>2073</v>
      </c>
      <c r="F201" s="27"/>
      <c r="G201" s="299" t="s">
        <v>2074</v>
      </c>
      <c r="H201" s="27"/>
      <c r="I201" s="121">
        <v>315.0</v>
      </c>
      <c r="J201" s="62">
        <v>10.0</v>
      </c>
      <c r="K201" s="27"/>
      <c r="L201" s="27"/>
      <c r="M201" s="300"/>
      <c r="N201" s="300"/>
      <c r="O201" s="300"/>
      <c r="P201" s="83" t="s">
        <v>2075</v>
      </c>
      <c r="Q201" s="83" t="s">
        <v>2076</v>
      </c>
      <c r="R201" s="27"/>
      <c r="S201" s="22"/>
      <c r="T201" s="27"/>
      <c r="U201" s="179" t="s">
        <v>2077</v>
      </c>
      <c r="V201" s="27"/>
      <c r="W201" s="27"/>
      <c r="X201" s="27"/>
      <c r="Y201" s="27"/>
      <c r="Z201" s="27"/>
      <c r="AA201" s="27"/>
      <c r="AB201" s="27"/>
      <c r="AC201" s="27"/>
      <c r="AD201" s="27"/>
      <c r="AE201" s="27"/>
      <c r="AF201" s="27"/>
      <c r="AG201" s="27"/>
      <c r="AH201" s="27"/>
      <c r="AI201" s="27"/>
      <c r="AJ201" s="27"/>
      <c r="AK201" s="27"/>
      <c r="AL201" s="27"/>
      <c r="AM201" s="27"/>
      <c r="AN201" s="27"/>
    </row>
    <row r="202" ht="16.5" customHeight="1">
      <c r="A202" s="170" t="s">
        <v>2078</v>
      </c>
      <c r="B202" s="141" t="s">
        <v>179</v>
      </c>
      <c r="C202" s="173" t="s">
        <v>2079</v>
      </c>
      <c r="D202" s="42"/>
      <c r="E202" s="173" t="s">
        <v>2080</v>
      </c>
      <c r="F202" s="122" t="s">
        <v>2081</v>
      </c>
      <c r="G202" s="27"/>
      <c r="H202" s="27"/>
      <c r="I202" s="27"/>
      <c r="J202" s="27"/>
      <c r="K202" s="27"/>
      <c r="L202" s="27"/>
      <c r="M202" s="300"/>
      <c r="N202" s="300"/>
      <c r="O202" s="300"/>
      <c r="P202" s="27" t="s">
        <v>811</v>
      </c>
      <c r="Q202" s="27"/>
      <c r="R202" s="27"/>
      <c r="S202" s="22"/>
      <c r="T202" s="27"/>
      <c r="U202" s="179" t="s">
        <v>2082</v>
      </c>
      <c r="V202" s="27"/>
      <c r="W202" s="27"/>
      <c r="X202" s="27"/>
      <c r="Y202" s="27"/>
      <c r="Z202" s="27"/>
      <c r="AA202" s="27"/>
      <c r="AB202" s="27"/>
      <c r="AC202" s="27"/>
      <c r="AD202" s="27"/>
      <c r="AE202" s="27"/>
      <c r="AF202" s="27"/>
      <c r="AG202" s="27"/>
      <c r="AH202" s="27"/>
      <c r="AI202" s="27"/>
      <c r="AJ202" s="27"/>
      <c r="AK202" s="27"/>
      <c r="AL202" s="27"/>
      <c r="AM202" s="27"/>
      <c r="AN202" s="27"/>
    </row>
    <row r="203" ht="16.5" customHeight="1">
      <c r="A203" s="70" t="s">
        <v>2083</v>
      </c>
      <c r="B203" s="141" t="s">
        <v>194</v>
      </c>
      <c r="C203" s="163" t="s">
        <v>2084</v>
      </c>
      <c r="D203" s="301"/>
      <c r="E203" s="156" t="s">
        <v>2085</v>
      </c>
      <c r="F203" s="302" t="s">
        <v>2086</v>
      </c>
      <c r="G203" s="303"/>
      <c r="H203" s="153"/>
      <c r="J203" s="85"/>
      <c r="M203" s="304"/>
      <c r="N203" s="304"/>
      <c r="O203" s="304"/>
      <c r="P203" s="42" t="s">
        <v>811</v>
      </c>
      <c r="Q203" s="27"/>
      <c r="R203" s="27"/>
      <c r="S203" s="22"/>
      <c r="U203" s="146" t="s">
        <v>2087</v>
      </c>
    </row>
    <row r="204" ht="16.5" customHeight="1">
      <c r="A204" s="189"/>
      <c r="B204" s="22"/>
      <c r="C204" s="22"/>
      <c r="D204" s="22"/>
      <c r="E204" s="22"/>
      <c r="F204" s="22"/>
      <c r="G204" s="22"/>
      <c r="H204" s="22"/>
      <c r="I204" s="266"/>
      <c r="J204" s="272"/>
      <c r="K204" s="272"/>
      <c r="L204" s="272"/>
      <c r="M204" s="273"/>
      <c r="N204" s="273"/>
      <c r="O204" s="273"/>
      <c r="P204" s="27"/>
      <c r="Q204" s="27"/>
      <c r="R204" s="27"/>
      <c r="S204" s="22"/>
      <c r="T204" s="22"/>
      <c r="U204" s="28"/>
    </row>
    <row r="205" ht="16.5" customHeight="1">
      <c r="A205" s="168" t="s">
        <v>697</v>
      </c>
      <c r="B205" s="169"/>
      <c r="C205" s="171"/>
      <c r="D205" s="169"/>
      <c r="E205" s="169"/>
      <c r="F205" s="169"/>
      <c r="G205" s="169"/>
      <c r="H205" s="169"/>
      <c r="I205" s="172"/>
      <c r="J205" s="172"/>
      <c r="K205" s="172"/>
      <c r="L205" s="172"/>
      <c r="M205" s="305"/>
      <c r="N205" s="305"/>
      <c r="O205" s="305"/>
      <c r="P205" s="306"/>
      <c r="Q205" s="307"/>
      <c r="R205" s="307"/>
      <c r="S205" s="169"/>
      <c r="T205" s="169"/>
      <c r="U205" s="308"/>
    </row>
    <row r="206" ht="16.5" customHeight="1">
      <c r="A206" s="189"/>
      <c r="B206" s="22"/>
      <c r="C206" s="22"/>
      <c r="D206" s="22"/>
      <c r="E206" s="22"/>
      <c r="F206" s="22"/>
      <c r="G206" s="22"/>
      <c r="H206" s="22"/>
      <c r="I206" s="266"/>
      <c r="J206" s="272"/>
      <c r="K206" s="272"/>
      <c r="L206" s="272"/>
      <c r="M206" s="273"/>
      <c r="N206" s="273"/>
      <c r="O206" s="273"/>
      <c r="P206" s="27"/>
      <c r="Q206" s="27"/>
      <c r="R206" s="27"/>
      <c r="S206" s="22"/>
      <c r="T206" s="22"/>
      <c r="U206" s="28"/>
    </row>
    <row r="207" ht="16.5" customHeight="1">
      <c r="A207" s="100" t="s">
        <v>2088</v>
      </c>
      <c r="B207" s="18" t="s">
        <v>179</v>
      </c>
      <c r="C207" s="55" t="s">
        <v>2089</v>
      </c>
      <c r="D207" s="40" t="s">
        <v>153</v>
      </c>
      <c r="E207" s="55" t="s">
        <v>2090</v>
      </c>
      <c r="F207" s="309" t="s">
        <v>197</v>
      </c>
      <c r="G207" s="193" t="s">
        <v>2091</v>
      </c>
      <c r="H207" s="61" t="s">
        <v>2092</v>
      </c>
      <c r="I207" s="43" t="s">
        <v>1111</v>
      </c>
      <c r="J207" s="68" t="s">
        <v>201</v>
      </c>
      <c r="K207" s="64" t="s">
        <v>2093</v>
      </c>
      <c r="L207" s="64" t="s">
        <v>2094</v>
      </c>
      <c r="M207" s="44">
        <v>1.6710859E8</v>
      </c>
      <c r="N207" s="44">
        <v>1.19363278571428E7</v>
      </c>
      <c r="O207" s="44">
        <v>3918048.0</v>
      </c>
      <c r="P207" s="295" t="s">
        <v>189</v>
      </c>
      <c r="Q207" s="68" t="s">
        <v>107</v>
      </c>
      <c r="R207" s="68" t="s">
        <v>120</v>
      </c>
      <c r="S207" s="25" t="s">
        <v>2095</v>
      </c>
      <c r="T207" s="40" t="s">
        <v>2096</v>
      </c>
      <c r="U207" s="69" t="s">
        <v>2097</v>
      </c>
      <c r="V207" s="27"/>
    </row>
    <row r="208" ht="16.5" customHeight="1">
      <c r="A208" s="49" t="s">
        <v>2098</v>
      </c>
      <c r="B208" s="25" t="s">
        <v>179</v>
      </c>
      <c r="C208" s="52" t="s">
        <v>2099</v>
      </c>
      <c r="D208" s="55" t="s">
        <v>2100</v>
      </c>
      <c r="E208" s="52" t="s">
        <v>2101</v>
      </c>
      <c r="F208" s="59" t="s">
        <v>2102</v>
      </c>
      <c r="G208" s="59" t="s">
        <v>2105</v>
      </c>
      <c r="H208" s="61" t="s">
        <v>2108</v>
      </c>
      <c r="I208" s="43" t="s">
        <v>2109</v>
      </c>
      <c r="J208" s="314" t="s">
        <v>2110</v>
      </c>
      <c r="K208" s="64" t="s">
        <v>424</v>
      </c>
      <c r="L208" s="64" t="s">
        <v>831</v>
      </c>
      <c r="M208" s="44">
        <v>1.31601313E8</v>
      </c>
      <c r="N208" s="44">
        <v>3290032.825</v>
      </c>
      <c r="O208" s="44">
        <v>561068.0</v>
      </c>
      <c r="P208" s="314" t="s">
        <v>189</v>
      </c>
      <c r="Q208" s="68" t="s">
        <v>2111</v>
      </c>
      <c r="R208" s="68" t="s">
        <v>116</v>
      </c>
      <c r="S208" s="25" t="s">
        <v>2112</v>
      </c>
      <c r="T208" s="40" t="s">
        <v>2114</v>
      </c>
      <c r="U208" s="316" t="s">
        <v>2115</v>
      </c>
      <c r="V208" s="27"/>
    </row>
    <row r="209" ht="16.5" customHeight="1">
      <c r="A209" s="317" t="s">
        <v>2118</v>
      </c>
      <c r="B209" s="40" t="s">
        <v>179</v>
      </c>
      <c r="C209" s="52" t="s">
        <v>2119</v>
      </c>
      <c r="D209" s="40" t="s">
        <v>153</v>
      </c>
      <c r="E209" s="40" t="s">
        <v>2121</v>
      </c>
      <c r="F209" s="52" t="s">
        <v>2123</v>
      </c>
      <c r="G209" s="55" t="s">
        <v>2125</v>
      </c>
      <c r="H209" s="71" t="s">
        <v>2128</v>
      </c>
      <c r="I209" s="62" t="s">
        <v>2130</v>
      </c>
      <c r="J209" s="314" t="s">
        <v>2131</v>
      </c>
      <c r="K209" s="64" t="s">
        <v>284</v>
      </c>
      <c r="L209" s="64" t="s">
        <v>1723</v>
      </c>
      <c r="M209" s="44">
        <v>1.2732034E8</v>
      </c>
      <c r="N209" s="44">
        <v>1.15745763636363E7</v>
      </c>
      <c r="O209" s="44">
        <v>1843713.0</v>
      </c>
      <c r="P209" s="314" t="s">
        <v>189</v>
      </c>
      <c r="Q209" s="122" t="s">
        <v>2111</v>
      </c>
      <c r="R209" s="68" t="s">
        <v>118</v>
      </c>
      <c r="S209" s="40" t="s">
        <v>2133</v>
      </c>
      <c r="T209" s="40" t="s">
        <v>2136</v>
      </c>
      <c r="U209" s="76" t="s">
        <v>2137</v>
      </c>
    </row>
    <row r="210" ht="16.5" customHeight="1">
      <c r="A210" s="49" t="s">
        <v>2139</v>
      </c>
      <c r="B210" s="220" t="s">
        <v>194</v>
      </c>
      <c r="C210" s="219" t="s">
        <v>2140</v>
      </c>
      <c r="D210" s="220" t="s">
        <v>153</v>
      </c>
      <c r="E210" s="220" t="s">
        <v>2142</v>
      </c>
      <c r="F210" s="219" t="s">
        <v>327</v>
      </c>
      <c r="G210" s="219" t="s">
        <v>2145</v>
      </c>
      <c r="H210" s="192" t="s">
        <v>2147</v>
      </c>
      <c r="I210" s="319" t="s">
        <v>2150</v>
      </c>
      <c r="J210" s="106">
        <v>6.0</v>
      </c>
      <c r="K210" s="320">
        <v>44044.0</v>
      </c>
      <c r="L210" s="320">
        <v>45017.0</v>
      </c>
      <c r="M210" s="228">
        <v>2.68E7</v>
      </c>
      <c r="N210" s="228">
        <v>4400000.0</v>
      </c>
      <c r="O210" s="228">
        <v>2200000.0</v>
      </c>
      <c r="P210" s="68" t="s">
        <v>811</v>
      </c>
      <c r="Q210" s="122" t="s">
        <v>107</v>
      </c>
      <c r="R210" s="122" t="s">
        <v>118</v>
      </c>
      <c r="S210" s="102" t="s">
        <v>2151</v>
      </c>
      <c r="T210" s="220" t="s">
        <v>2152</v>
      </c>
      <c r="U210" s="206" t="s">
        <v>2153</v>
      </c>
      <c r="V210" s="27"/>
      <c r="W210" s="27"/>
      <c r="X210" s="27"/>
      <c r="Y210" s="27"/>
      <c r="Z210" s="27"/>
      <c r="AA210" s="27"/>
      <c r="AB210" s="27"/>
      <c r="AC210" s="27"/>
      <c r="AD210" s="27"/>
      <c r="AE210" s="27"/>
    </row>
    <row r="211" ht="16.5" customHeight="1">
      <c r="A211" s="170" t="s">
        <v>2154</v>
      </c>
      <c r="B211" s="220" t="s">
        <v>179</v>
      </c>
      <c r="C211" s="219" t="s">
        <v>2157</v>
      </c>
      <c r="D211" s="219" t="s">
        <v>2158</v>
      </c>
      <c r="E211" s="220" t="s">
        <v>2161</v>
      </c>
      <c r="F211" s="219" t="s">
        <v>849</v>
      </c>
      <c r="G211" s="219" t="s">
        <v>2162</v>
      </c>
      <c r="H211" s="167" t="s">
        <v>2167</v>
      </c>
      <c r="I211" s="319" t="s">
        <v>2168</v>
      </c>
      <c r="J211" s="106">
        <v>25.0</v>
      </c>
      <c r="K211" s="320">
        <v>42125.0</v>
      </c>
      <c r="L211" s="320">
        <v>45413.0</v>
      </c>
      <c r="M211" s="228">
        <v>2.25E7</v>
      </c>
      <c r="N211" s="228">
        <v>901500.0</v>
      </c>
      <c r="O211" s="228">
        <v>158600.0</v>
      </c>
      <c r="P211" s="68" t="s">
        <v>811</v>
      </c>
      <c r="Q211" s="122" t="s">
        <v>2170</v>
      </c>
      <c r="R211" s="122" t="s">
        <v>116</v>
      </c>
      <c r="S211" s="102" t="s">
        <v>2174</v>
      </c>
      <c r="T211" s="220" t="s">
        <v>2175</v>
      </c>
      <c r="U211" s="206" t="s">
        <v>2176</v>
      </c>
      <c r="V211" s="27"/>
      <c r="W211" s="27"/>
      <c r="X211" s="27"/>
      <c r="Y211" s="27"/>
      <c r="Z211" s="27"/>
      <c r="AA211" s="27"/>
      <c r="AB211" s="27"/>
      <c r="AC211" s="27"/>
      <c r="AD211" s="27"/>
      <c r="AE211" s="27"/>
      <c r="AF211" s="27"/>
    </row>
    <row r="212" ht="16.5" customHeight="1">
      <c r="A212" s="82" t="s">
        <v>2177</v>
      </c>
      <c r="B212" s="40" t="s">
        <v>194</v>
      </c>
      <c r="C212" s="52" t="s">
        <v>2178</v>
      </c>
      <c r="D212" s="52" t="s">
        <v>2182</v>
      </c>
      <c r="E212" s="55" t="s">
        <v>2186</v>
      </c>
      <c r="F212" s="86" t="s">
        <v>197</v>
      </c>
      <c r="G212" s="199" t="s">
        <v>2187</v>
      </c>
      <c r="H212" s="61" t="s">
        <v>2191</v>
      </c>
      <c r="I212" s="43" t="s">
        <v>386</v>
      </c>
      <c r="J212" s="68" t="s">
        <v>2197</v>
      </c>
      <c r="K212" s="64" t="s">
        <v>967</v>
      </c>
      <c r="L212" s="64" t="s">
        <v>1058</v>
      </c>
      <c r="M212" s="44">
        <v>1.6661821E7</v>
      </c>
      <c r="N212" s="44">
        <v>724427.0</v>
      </c>
      <c r="O212" s="44">
        <v>87510.0</v>
      </c>
      <c r="P212" s="295" t="s">
        <v>811</v>
      </c>
      <c r="Q212" s="68" t="s">
        <v>110</v>
      </c>
      <c r="R212" s="68" t="s">
        <v>118</v>
      </c>
      <c r="S212" s="18" t="s">
        <v>2198</v>
      </c>
      <c r="T212" s="18" t="s">
        <v>2199</v>
      </c>
      <c r="U212" s="90" t="s">
        <v>2200</v>
      </c>
    </row>
    <row r="213" ht="16.5" customHeight="1">
      <c r="A213" s="49" t="s">
        <v>2202</v>
      </c>
      <c r="B213" s="220" t="s">
        <v>218</v>
      </c>
      <c r="C213" s="219" t="s">
        <v>2203</v>
      </c>
      <c r="D213" s="220" t="s">
        <v>153</v>
      </c>
      <c r="E213" s="219" t="s">
        <v>2204</v>
      </c>
      <c r="F213" s="220" t="s">
        <v>197</v>
      </c>
      <c r="G213" s="219" t="s">
        <v>2205</v>
      </c>
      <c r="H213" s="149" t="s">
        <v>2206</v>
      </c>
      <c r="I213" s="319" t="s">
        <v>989</v>
      </c>
      <c r="J213" s="106">
        <v>4.0</v>
      </c>
      <c r="K213" s="320">
        <v>43709.0</v>
      </c>
      <c r="L213" s="320">
        <v>44927.0</v>
      </c>
      <c r="M213" s="228">
        <v>1400000.0</v>
      </c>
      <c r="N213" s="228">
        <v>359200.0</v>
      </c>
      <c r="O213" s="228">
        <v>183100.0</v>
      </c>
      <c r="P213" s="68" t="s">
        <v>811</v>
      </c>
      <c r="Q213" s="122" t="s">
        <v>2170</v>
      </c>
      <c r="R213" s="122" t="s">
        <v>116</v>
      </c>
      <c r="S213" s="102" t="s">
        <v>2207</v>
      </c>
      <c r="T213" s="220" t="s">
        <v>2208</v>
      </c>
      <c r="U213" s="206" t="s">
        <v>153</v>
      </c>
      <c r="V213" s="27"/>
      <c r="W213" s="27"/>
      <c r="X213" s="27"/>
      <c r="Y213" s="27"/>
      <c r="Z213" s="27"/>
      <c r="AA213" s="27"/>
      <c r="AB213" s="27"/>
      <c r="AC213" s="27"/>
      <c r="AD213" s="27"/>
      <c r="AE213" s="27"/>
      <c r="AF213" s="27"/>
    </row>
    <row r="214" ht="16.5" customHeight="1">
      <c r="A214" s="82" t="s">
        <v>2209</v>
      </c>
      <c r="B214" s="40" t="s">
        <v>254</v>
      </c>
      <c r="C214" s="52" t="s">
        <v>2210</v>
      </c>
      <c r="D214" s="40" t="s">
        <v>153</v>
      </c>
      <c r="E214" s="52" t="s">
        <v>2212</v>
      </c>
      <c r="F214" s="52" t="s">
        <v>2213</v>
      </c>
      <c r="G214" s="52" t="s">
        <v>2214</v>
      </c>
      <c r="H214" s="71" t="s">
        <v>2215</v>
      </c>
      <c r="I214" s="62" t="s">
        <v>863</v>
      </c>
      <c r="J214" s="62">
        <v>5.0</v>
      </c>
      <c r="K214" s="64" t="s">
        <v>284</v>
      </c>
      <c r="L214" s="64" t="s">
        <v>875</v>
      </c>
      <c r="M214" s="228">
        <v>1.5450647E7</v>
      </c>
      <c r="N214" s="228">
        <v>3090129.4</v>
      </c>
      <c r="O214" s="228">
        <v>1881477.0</v>
      </c>
      <c r="P214" s="295" t="s">
        <v>811</v>
      </c>
      <c r="Q214" s="68" t="s">
        <v>112</v>
      </c>
      <c r="R214" s="68" t="s">
        <v>116</v>
      </c>
      <c r="S214" s="40" t="s">
        <v>2216</v>
      </c>
      <c r="T214" s="40" t="s">
        <v>2217</v>
      </c>
      <c r="U214" s="76" t="s">
        <v>2218</v>
      </c>
    </row>
    <row r="215" ht="16.5" customHeight="1">
      <c r="A215" s="70" t="s">
        <v>2219</v>
      </c>
      <c r="B215" s="40"/>
      <c r="C215" s="55" t="s">
        <v>2220</v>
      </c>
      <c r="D215" s="40" t="s">
        <v>153</v>
      </c>
      <c r="E215" s="52" t="s">
        <v>2221</v>
      </c>
      <c r="F215" s="59" t="s">
        <v>2222</v>
      </c>
      <c r="G215" s="199" t="s">
        <v>2223</v>
      </c>
      <c r="H215" s="61" t="s">
        <v>2224</v>
      </c>
      <c r="I215" s="62" t="s">
        <v>283</v>
      </c>
      <c r="J215" s="62">
        <v>5.0</v>
      </c>
      <c r="K215" s="64" t="s">
        <v>2225</v>
      </c>
      <c r="L215" s="64" t="s">
        <v>831</v>
      </c>
      <c r="M215" s="228">
        <v>1.1583987E7</v>
      </c>
      <c r="N215" s="228">
        <v>2316797.4</v>
      </c>
      <c r="O215" s="228">
        <v>234961.0</v>
      </c>
      <c r="P215" s="295" t="s">
        <v>811</v>
      </c>
      <c r="Q215" s="68" t="s">
        <v>2170</v>
      </c>
      <c r="R215" s="68" t="s">
        <v>118</v>
      </c>
      <c r="S215" s="40" t="s">
        <v>2226</v>
      </c>
      <c r="T215" s="40" t="s">
        <v>2227</v>
      </c>
      <c r="U215" s="76" t="s">
        <v>2228</v>
      </c>
    </row>
    <row r="216" ht="16.5" customHeight="1">
      <c r="A216" s="88" t="s">
        <v>2229</v>
      </c>
      <c r="B216" s="18" t="s">
        <v>179</v>
      </c>
      <c r="C216" s="71" t="s">
        <v>2230</v>
      </c>
      <c r="D216" s="64" t="s">
        <v>153</v>
      </c>
      <c r="E216" s="64" t="s">
        <v>2231</v>
      </c>
      <c r="F216" s="71" t="s">
        <v>2232</v>
      </c>
      <c r="G216" s="190" t="s">
        <v>2233</v>
      </c>
      <c r="H216" s="190" t="s">
        <v>2234</v>
      </c>
      <c r="I216" s="62" t="s">
        <v>1196</v>
      </c>
      <c r="J216" s="62">
        <v>1.0</v>
      </c>
      <c r="K216" s="62" t="s">
        <v>2235</v>
      </c>
      <c r="L216" s="62" t="s">
        <v>1814</v>
      </c>
      <c r="M216" s="228">
        <v>3652.0</v>
      </c>
      <c r="N216" s="228">
        <v>3652.0</v>
      </c>
      <c r="O216" s="228">
        <v>3652.0</v>
      </c>
      <c r="P216" s="68" t="s">
        <v>1915</v>
      </c>
      <c r="Q216" s="68" t="s">
        <v>112</v>
      </c>
      <c r="R216" s="68" t="s">
        <v>197</v>
      </c>
      <c r="S216" s="64" t="s">
        <v>2236</v>
      </c>
      <c r="T216" s="64" t="s">
        <v>2237</v>
      </c>
      <c r="U216" s="90" t="s">
        <v>153</v>
      </c>
      <c r="V216" s="191"/>
      <c r="W216" s="191"/>
      <c r="X216" s="191"/>
      <c r="Y216" s="191"/>
      <c r="Z216" s="191"/>
      <c r="AA216" s="191"/>
      <c r="AB216" s="191"/>
      <c r="AC216" s="191"/>
      <c r="AD216" s="191"/>
      <c r="AE216" s="191"/>
      <c r="AF216" s="191"/>
      <c r="AG216" s="191"/>
      <c r="AH216" s="191"/>
      <c r="AI216" s="191"/>
      <c r="AJ216" s="191"/>
      <c r="AK216" s="191"/>
      <c r="AL216" s="191"/>
      <c r="AM216" s="191"/>
      <c r="AN216" s="191"/>
    </row>
    <row r="217" ht="16.5" customHeight="1">
      <c r="A217" s="49" t="s">
        <v>2238</v>
      </c>
      <c r="B217" s="25" t="s">
        <v>194</v>
      </c>
      <c r="C217" s="52" t="s">
        <v>2239</v>
      </c>
      <c r="D217" s="40" t="s">
        <v>153</v>
      </c>
      <c r="E217" s="52" t="s">
        <v>2239</v>
      </c>
      <c r="F217" s="59" t="s">
        <v>2241</v>
      </c>
      <c r="G217" s="52" t="s">
        <v>2242</v>
      </c>
      <c r="H217" s="71" t="s">
        <v>2244</v>
      </c>
      <c r="I217" s="62">
        <v>476.0</v>
      </c>
      <c r="J217" s="68" t="s">
        <v>2245</v>
      </c>
      <c r="K217" s="64" t="s">
        <v>1666</v>
      </c>
      <c r="L217" s="64" t="s">
        <v>1683</v>
      </c>
      <c r="M217" s="295">
        <v>5370909.0</v>
      </c>
      <c r="N217" s="295">
        <v>1074181.8</v>
      </c>
      <c r="O217" s="295">
        <v>391209.0</v>
      </c>
      <c r="P217" s="295" t="s">
        <v>811</v>
      </c>
      <c r="Q217" s="68" t="s">
        <v>112</v>
      </c>
      <c r="R217" s="68" t="s">
        <v>116</v>
      </c>
      <c r="S217" s="77" t="s">
        <v>2246</v>
      </c>
      <c r="T217" s="40" t="s">
        <v>2247</v>
      </c>
      <c r="U217" s="76" t="s">
        <v>153</v>
      </c>
    </row>
    <row r="218" ht="16.5" customHeight="1">
      <c r="A218" s="100" t="s">
        <v>2248</v>
      </c>
      <c r="B218" s="18" t="s">
        <v>194</v>
      </c>
      <c r="C218" s="55" t="s">
        <v>2249</v>
      </c>
      <c r="D218" s="55" t="s">
        <v>2250</v>
      </c>
      <c r="E218" s="40" t="s">
        <v>2251</v>
      </c>
      <c r="F218" s="18" t="s">
        <v>197</v>
      </c>
      <c r="G218" s="55" t="s">
        <v>2252</v>
      </c>
      <c r="H218" s="61" t="s">
        <v>2253</v>
      </c>
      <c r="I218" s="143" t="s">
        <v>895</v>
      </c>
      <c r="J218" s="322" t="s">
        <v>2254</v>
      </c>
      <c r="K218" s="144" t="s">
        <v>1296</v>
      </c>
      <c r="L218" s="144" t="s">
        <v>2255</v>
      </c>
      <c r="M218" s="295">
        <v>3.6254274E7</v>
      </c>
      <c r="N218" s="295">
        <v>1.8127137E7</v>
      </c>
      <c r="O218" s="295">
        <v>1.8127137E7</v>
      </c>
      <c r="P218" s="295" t="s">
        <v>811</v>
      </c>
      <c r="Q218" s="68" t="s">
        <v>110</v>
      </c>
      <c r="R218" s="68" t="s">
        <v>120</v>
      </c>
      <c r="S218" s="40" t="s">
        <v>2256</v>
      </c>
      <c r="T218" s="40" t="s">
        <v>2257</v>
      </c>
      <c r="U218" s="76" t="s">
        <v>2258</v>
      </c>
    </row>
    <row r="219" ht="16.5" customHeight="1">
      <c r="A219" s="45" t="s">
        <v>2259</v>
      </c>
      <c r="B219" s="25"/>
      <c r="C219" s="59" t="s">
        <v>2260</v>
      </c>
      <c r="D219" s="247" t="s">
        <v>153</v>
      </c>
      <c r="E219" s="247" t="s">
        <v>2261</v>
      </c>
      <c r="F219" s="59" t="s">
        <v>2262</v>
      </c>
      <c r="G219" s="323" t="s">
        <v>2263</v>
      </c>
      <c r="H219" s="61" t="s">
        <v>2264</v>
      </c>
      <c r="I219" s="62" t="s">
        <v>1742</v>
      </c>
      <c r="J219" s="314" t="s">
        <v>1091</v>
      </c>
      <c r="K219" s="64" t="s">
        <v>2265</v>
      </c>
      <c r="L219" s="64" t="s">
        <v>884</v>
      </c>
      <c r="M219" s="295">
        <v>1.26531971039348E8</v>
      </c>
      <c r="N219" s="295">
        <v>7908248.18995927</v>
      </c>
      <c r="O219" s="295">
        <v>494547.201526811</v>
      </c>
      <c r="P219" s="314" t="s">
        <v>189</v>
      </c>
      <c r="Q219" s="68" t="s">
        <v>2111</v>
      </c>
      <c r="R219" s="68" t="s">
        <v>116</v>
      </c>
      <c r="S219" s="18" t="s">
        <v>2266</v>
      </c>
      <c r="T219" s="18" t="s">
        <v>2267</v>
      </c>
      <c r="U219" s="76" t="s">
        <v>2268</v>
      </c>
    </row>
    <row r="220" ht="16.5" customHeight="1">
      <c r="A220" s="45" t="s">
        <v>2269</v>
      </c>
      <c r="B220" s="324" t="s">
        <v>165</v>
      </c>
      <c r="C220" s="59" t="s">
        <v>2270</v>
      </c>
      <c r="D220" s="116" t="s">
        <v>2271</v>
      </c>
      <c r="E220" s="59" t="s">
        <v>2272</v>
      </c>
      <c r="F220" s="325" t="s">
        <v>2273</v>
      </c>
      <c r="G220" s="325" t="s">
        <v>2274</v>
      </c>
      <c r="H220" s="61" t="s">
        <v>2275</v>
      </c>
      <c r="I220" s="62" t="s">
        <v>283</v>
      </c>
      <c r="J220" s="68" t="s">
        <v>2276</v>
      </c>
      <c r="K220" s="64" t="s">
        <v>1495</v>
      </c>
      <c r="L220" s="64" t="s">
        <v>1467</v>
      </c>
      <c r="M220" s="295">
        <v>5323150.0</v>
      </c>
      <c r="N220" s="295">
        <v>129832.926829268</v>
      </c>
      <c r="O220" s="295">
        <v>23270.0</v>
      </c>
      <c r="P220" s="295" t="s">
        <v>811</v>
      </c>
      <c r="Q220" s="122" t="s">
        <v>112</v>
      </c>
      <c r="R220" s="68" t="s">
        <v>116</v>
      </c>
      <c r="S220" s="129" t="s">
        <v>2277</v>
      </c>
      <c r="T220" s="129" t="s">
        <v>2278</v>
      </c>
      <c r="U220" s="69" t="s">
        <v>2279</v>
      </c>
      <c r="V220" s="27"/>
      <c r="W220" s="27"/>
      <c r="X220" s="27"/>
      <c r="Y220" s="27"/>
      <c r="Z220" s="27"/>
      <c r="AA220" s="27"/>
      <c r="AB220" s="27"/>
      <c r="AC220" s="27"/>
      <c r="AD220" s="27"/>
      <c r="AE220" s="27"/>
      <c r="AF220" s="27"/>
      <c r="AG220" s="27"/>
      <c r="AH220" s="27"/>
      <c r="AI220" s="27"/>
      <c r="AJ220" s="27"/>
      <c r="AK220" s="27"/>
      <c r="AL220" s="27"/>
      <c r="AM220" s="27"/>
      <c r="AN220" s="27"/>
    </row>
    <row r="221" ht="16.5" customHeight="1">
      <c r="A221" s="70" t="s">
        <v>2280</v>
      </c>
      <c r="B221" s="40" t="s">
        <v>194</v>
      </c>
      <c r="C221" s="52" t="s">
        <v>2281</v>
      </c>
      <c r="D221" s="40" t="s">
        <v>153</v>
      </c>
      <c r="E221" s="52" t="s">
        <v>2282</v>
      </c>
      <c r="F221" s="247" t="s">
        <v>197</v>
      </c>
      <c r="G221" s="52" t="s">
        <v>2283</v>
      </c>
      <c r="H221" s="61" t="s">
        <v>2284</v>
      </c>
      <c r="I221" s="117" t="s">
        <v>1196</v>
      </c>
      <c r="J221" s="326" t="s">
        <v>2285</v>
      </c>
      <c r="K221" s="197" t="s">
        <v>2286</v>
      </c>
      <c r="L221" s="197" t="s">
        <v>320</v>
      </c>
      <c r="M221" s="65">
        <v>1.0117808E7</v>
      </c>
      <c r="N221" s="65">
        <v>1011780.8</v>
      </c>
      <c r="O221" s="65">
        <v>93062.0</v>
      </c>
      <c r="P221" s="295" t="s">
        <v>811</v>
      </c>
      <c r="Q221" s="68" t="s">
        <v>2170</v>
      </c>
      <c r="R221" s="68" t="s">
        <v>116</v>
      </c>
      <c r="S221" s="40" t="s">
        <v>2287</v>
      </c>
      <c r="T221" s="40" t="s">
        <v>2288</v>
      </c>
      <c r="U221" s="76" t="s">
        <v>2289</v>
      </c>
    </row>
    <row r="222" ht="16.5" customHeight="1">
      <c r="A222" s="70" t="s">
        <v>2290</v>
      </c>
      <c r="B222" s="40" t="s">
        <v>194</v>
      </c>
      <c r="C222" s="55" t="s">
        <v>2291</v>
      </c>
      <c r="D222" s="52" t="s">
        <v>2292</v>
      </c>
      <c r="E222" s="52" t="s">
        <v>2293</v>
      </c>
      <c r="F222" s="59" t="s">
        <v>2294</v>
      </c>
      <c r="G222" s="52" t="s">
        <v>2295</v>
      </c>
      <c r="H222" s="61" t="s">
        <v>2296</v>
      </c>
      <c r="I222" s="62">
        <v>126.0</v>
      </c>
      <c r="J222" s="68" t="s">
        <v>2297</v>
      </c>
      <c r="K222" s="64" t="s">
        <v>671</v>
      </c>
      <c r="L222" s="64" t="s">
        <v>2094</v>
      </c>
      <c r="M222" s="65">
        <v>835305.0</v>
      </c>
      <c r="N222" s="65">
        <v>139217.5</v>
      </c>
      <c r="O222" s="65">
        <v>67993.5</v>
      </c>
      <c r="P222" s="295" t="s">
        <v>811</v>
      </c>
      <c r="Q222" s="68" t="s">
        <v>112</v>
      </c>
      <c r="R222" s="68" t="s">
        <v>116</v>
      </c>
      <c r="S222" s="40" t="s">
        <v>2298</v>
      </c>
      <c r="T222" s="40" t="s">
        <v>2299</v>
      </c>
      <c r="U222" s="76" t="s">
        <v>2300</v>
      </c>
    </row>
    <row r="223" ht="16.5" customHeight="1">
      <c r="A223" s="82" t="s">
        <v>2301</v>
      </c>
      <c r="B223" s="40" t="s">
        <v>243</v>
      </c>
      <c r="C223" s="52" t="s">
        <v>2302</v>
      </c>
      <c r="D223" s="40" t="s">
        <v>153</v>
      </c>
      <c r="E223" s="52" t="s">
        <v>2303</v>
      </c>
      <c r="F223" s="52" t="s">
        <v>2304</v>
      </c>
      <c r="G223" s="52" t="s">
        <v>2305</v>
      </c>
      <c r="H223" s="61" t="s">
        <v>2306</v>
      </c>
      <c r="I223" s="62">
        <v>856.0</v>
      </c>
      <c r="J223" s="68" t="s">
        <v>2307</v>
      </c>
      <c r="K223" s="64" t="s">
        <v>2308</v>
      </c>
      <c r="L223" s="64" t="s">
        <v>1207</v>
      </c>
      <c r="M223" s="65">
        <v>2067366.0</v>
      </c>
      <c r="N223" s="65">
        <v>516841.5</v>
      </c>
      <c r="O223" s="65">
        <v>504770.0</v>
      </c>
      <c r="P223" s="295" t="s">
        <v>811</v>
      </c>
      <c r="Q223" s="68" t="s">
        <v>2170</v>
      </c>
      <c r="R223" s="68" t="s">
        <v>118</v>
      </c>
      <c r="S223" s="40" t="s">
        <v>2309</v>
      </c>
      <c r="T223" s="40" t="s">
        <v>2310</v>
      </c>
      <c r="U223" s="76" t="s">
        <v>2311</v>
      </c>
    </row>
    <row r="224" ht="16.5" customHeight="1">
      <c r="A224" s="99" t="s">
        <v>2312</v>
      </c>
      <c r="B224" s="68" t="s">
        <v>194</v>
      </c>
      <c r="C224" s="101" t="s">
        <v>2313</v>
      </c>
      <c r="D224" s="68" t="s">
        <v>153</v>
      </c>
      <c r="E224" s="68" t="s">
        <v>2314</v>
      </c>
      <c r="F224" s="327" t="s">
        <v>2315</v>
      </c>
      <c r="G224" s="101" t="s">
        <v>2316</v>
      </c>
      <c r="H224" s="101" t="s">
        <v>2317</v>
      </c>
      <c r="I224" s="62">
        <v>33.0</v>
      </c>
      <c r="J224" s="62">
        <v>4.0</v>
      </c>
      <c r="K224" s="62" t="s">
        <v>2094</v>
      </c>
      <c r="L224" s="64" t="s">
        <v>947</v>
      </c>
      <c r="M224" s="65">
        <v>143271.0</v>
      </c>
      <c r="N224" s="65">
        <v>35817.75</v>
      </c>
      <c r="O224" s="65">
        <v>12844.0</v>
      </c>
      <c r="P224" s="295" t="s">
        <v>811</v>
      </c>
      <c r="Q224" s="68" t="s">
        <v>112</v>
      </c>
      <c r="R224" s="42" t="s">
        <v>197</v>
      </c>
      <c r="S224" s="64" t="s">
        <v>2318</v>
      </c>
      <c r="T224" s="68" t="s">
        <v>2319</v>
      </c>
      <c r="U224" s="179" t="s">
        <v>2320</v>
      </c>
      <c r="V224" s="27"/>
      <c r="W224" s="27"/>
      <c r="X224" s="27"/>
      <c r="Y224" s="27"/>
      <c r="Z224" s="27"/>
      <c r="AA224" s="27"/>
      <c r="AB224" s="27"/>
      <c r="AC224" s="27"/>
      <c r="AD224" s="27"/>
      <c r="AE224" s="27"/>
      <c r="AF224" s="27"/>
      <c r="AG224" s="27"/>
      <c r="AH224" s="27"/>
      <c r="AI224" s="27"/>
      <c r="AJ224" s="27"/>
      <c r="AK224" s="27"/>
      <c r="AL224" s="27"/>
      <c r="AM224" s="27"/>
      <c r="AN224" s="27"/>
    </row>
    <row r="225" ht="16.5" customHeight="1">
      <c r="A225" s="70" t="s">
        <v>2321</v>
      </c>
      <c r="B225" s="64" t="s">
        <v>952</v>
      </c>
      <c r="C225" s="98" t="s">
        <v>2322</v>
      </c>
      <c r="D225" s="301" t="s">
        <v>153</v>
      </c>
      <c r="E225" s="98" t="s">
        <v>2323</v>
      </c>
      <c r="G225" s="153"/>
      <c r="H225" s="153"/>
      <c r="M225" s="304"/>
      <c r="N225" s="304"/>
      <c r="O225" s="304"/>
      <c r="P225" s="295" t="s">
        <v>811</v>
      </c>
      <c r="Q225" s="122" t="s">
        <v>112</v>
      </c>
      <c r="R225" s="68" t="s">
        <v>116</v>
      </c>
      <c r="S225" s="22"/>
      <c r="U225" s="146" t="s">
        <v>2324</v>
      </c>
    </row>
    <row r="226" ht="16.5" customHeight="1">
      <c r="A226" s="88" t="s">
        <v>2325</v>
      </c>
      <c r="B226" s="89" t="s">
        <v>194</v>
      </c>
      <c r="C226" s="71" t="s">
        <v>2326</v>
      </c>
      <c r="D226" s="64" t="s">
        <v>153</v>
      </c>
      <c r="E226" s="190" t="s">
        <v>2327</v>
      </c>
      <c r="F226" s="71" t="s">
        <v>2328</v>
      </c>
      <c r="G226" s="192" t="s">
        <v>2329</v>
      </c>
      <c r="H226" s="190" t="s">
        <v>2330</v>
      </c>
      <c r="I226" s="62">
        <v>348.0</v>
      </c>
      <c r="J226" s="68" t="s">
        <v>2331</v>
      </c>
      <c r="K226" s="62" t="s">
        <v>1262</v>
      </c>
      <c r="L226" s="62" t="s">
        <v>908</v>
      </c>
      <c r="M226" s="65">
        <v>2276052.0</v>
      </c>
      <c r="N226" s="65">
        <v>142253.25</v>
      </c>
      <c r="O226" s="65">
        <v>2598.5</v>
      </c>
      <c r="P226" s="68" t="s">
        <v>811</v>
      </c>
      <c r="Q226" s="129" t="s">
        <v>112</v>
      </c>
      <c r="R226" s="129" t="s">
        <v>118</v>
      </c>
      <c r="S226" s="64" t="s">
        <v>2332</v>
      </c>
      <c r="T226" s="64" t="s">
        <v>2333</v>
      </c>
      <c r="U226" s="90" t="s">
        <v>153</v>
      </c>
      <c r="V226" s="191"/>
      <c r="W226" s="191"/>
      <c r="X226" s="191"/>
      <c r="Y226" s="191"/>
      <c r="Z226" s="191"/>
      <c r="AA226" s="191"/>
      <c r="AB226" s="191"/>
      <c r="AC226" s="191"/>
      <c r="AD226" s="191"/>
      <c r="AE226" s="191"/>
      <c r="AF226" s="191"/>
      <c r="AG226" s="191"/>
      <c r="AH226" s="191"/>
      <c r="AI226" s="191"/>
      <c r="AJ226" s="191"/>
      <c r="AK226" s="191"/>
      <c r="AL226" s="191"/>
      <c r="AM226" s="191"/>
      <c r="AN226" s="191"/>
    </row>
    <row r="227" ht="16.5" customHeight="1">
      <c r="A227" s="100" t="s">
        <v>2334</v>
      </c>
      <c r="B227" s="18" t="s">
        <v>194</v>
      </c>
      <c r="C227" s="199" t="s">
        <v>2335</v>
      </c>
      <c r="D227" s="22"/>
      <c r="E227" s="41"/>
      <c r="F227" s="162" t="s">
        <v>2336</v>
      </c>
      <c r="G227" s="22"/>
      <c r="H227" s="22"/>
      <c r="I227" s="266"/>
      <c r="J227" s="272"/>
      <c r="K227" s="272"/>
      <c r="L227" s="272"/>
      <c r="M227" s="273"/>
      <c r="N227" s="273"/>
      <c r="O227" s="273"/>
      <c r="P227" s="27"/>
      <c r="Q227" s="27"/>
      <c r="R227" s="27"/>
      <c r="S227" s="22"/>
      <c r="T227" s="22"/>
      <c r="U227" s="76" t="s">
        <v>2337</v>
      </c>
    </row>
    <row r="228" ht="16.5" customHeight="1">
      <c r="A228" s="100" t="s">
        <v>2338</v>
      </c>
      <c r="B228" s="18" t="s">
        <v>179</v>
      </c>
      <c r="C228" s="52" t="s">
        <v>2339</v>
      </c>
      <c r="D228" s="40" t="s">
        <v>153</v>
      </c>
      <c r="E228" s="52" t="s">
        <v>2340</v>
      </c>
      <c r="F228" s="18" t="s">
        <v>197</v>
      </c>
      <c r="G228" s="52" t="s">
        <v>2341</v>
      </c>
      <c r="H228" s="61" t="s">
        <v>2342</v>
      </c>
      <c r="I228" s="62" t="s">
        <v>907</v>
      </c>
      <c r="J228" s="62">
        <v>22.0</v>
      </c>
      <c r="K228" s="64" t="s">
        <v>582</v>
      </c>
      <c r="L228" s="64" t="s">
        <v>1242</v>
      </c>
      <c r="M228" s="65">
        <v>1431035.0</v>
      </c>
      <c r="N228" s="65">
        <v>65047.0454545454</v>
      </c>
      <c r="O228" s="65">
        <v>16422.5</v>
      </c>
      <c r="P228" s="295" t="s">
        <v>811</v>
      </c>
      <c r="Q228" s="68" t="s">
        <v>112</v>
      </c>
      <c r="R228" s="68" t="s">
        <v>116</v>
      </c>
      <c r="S228" s="18" t="s">
        <v>2343</v>
      </c>
      <c r="T228" s="18" t="s">
        <v>2344</v>
      </c>
      <c r="U228" s="76" t="s">
        <v>2345</v>
      </c>
    </row>
    <row r="229" ht="16.5" customHeight="1">
      <c r="A229" s="217" t="s">
        <v>2346</v>
      </c>
      <c r="B229" s="40" t="s">
        <v>1416</v>
      </c>
      <c r="C229" s="212" t="s">
        <v>2347</v>
      </c>
      <c r="D229" s="22"/>
      <c r="E229" s="40"/>
      <c r="F229" s="40"/>
      <c r="G229" s="86"/>
      <c r="H229" s="40"/>
      <c r="I229" s="268"/>
      <c r="J229" s="269"/>
      <c r="K229" s="270"/>
      <c r="L229" s="271"/>
      <c r="M229" s="65"/>
      <c r="N229" s="65"/>
      <c r="O229" s="65"/>
      <c r="P229" s="62"/>
      <c r="Q229" s="18"/>
      <c r="R229" s="18"/>
      <c r="S229" s="22"/>
      <c r="T229" s="18"/>
      <c r="U229" s="118"/>
    </row>
    <row r="230" ht="16.5" customHeight="1">
      <c r="A230" s="99" t="s">
        <v>2348</v>
      </c>
      <c r="B230" s="328" t="s">
        <v>165</v>
      </c>
      <c r="C230" s="173" t="s">
        <v>2349</v>
      </c>
      <c r="D230" s="121" t="s">
        <v>153</v>
      </c>
      <c r="E230" s="119" t="s">
        <v>2350</v>
      </c>
      <c r="F230" s="173" t="s">
        <v>2351</v>
      </c>
      <c r="G230" s="205" t="s">
        <v>2352</v>
      </c>
      <c r="H230" s="61" t="s">
        <v>2353</v>
      </c>
      <c r="I230" s="127" t="s">
        <v>1196</v>
      </c>
      <c r="J230" s="62">
        <v>6.0</v>
      </c>
      <c r="K230" s="64" t="s">
        <v>1701</v>
      </c>
      <c r="L230" s="64" t="s">
        <v>1950</v>
      </c>
      <c r="M230" s="65">
        <v>2547379.0</v>
      </c>
      <c r="N230" s="65">
        <v>424563.166666666</v>
      </c>
      <c r="O230" s="65">
        <v>182761.0</v>
      </c>
      <c r="P230" s="295" t="s">
        <v>811</v>
      </c>
      <c r="Q230" s="68" t="s">
        <v>812</v>
      </c>
      <c r="R230" s="68" t="s">
        <v>118</v>
      </c>
      <c r="S230" s="102" t="s">
        <v>2354</v>
      </c>
      <c r="T230" s="119" t="s">
        <v>2355</v>
      </c>
      <c r="U230" s="92" t="s">
        <v>2356</v>
      </c>
      <c r="V230" s="206"/>
      <c r="W230" s="206"/>
      <c r="X230" s="206"/>
      <c r="Y230" s="206"/>
      <c r="AA230" s="27"/>
      <c r="AB230" s="27"/>
      <c r="AC230" s="27"/>
      <c r="AD230" s="27"/>
      <c r="AE230" s="27"/>
      <c r="AF230" s="27"/>
      <c r="AG230" s="27"/>
      <c r="AH230" s="27"/>
      <c r="AI230" s="27"/>
      <c r="AJ230" s="27"/>
      <c r="AK230" s="27"/>
      <c r="AL230" s="27"/>
      <c r="AM230" s="27"/>
      <c r="AN230" s="27"/>
    </row>
    <row r="231" ht="16.5" customHeight="1">
      <c r="A231" s="317" t="s">
        <v>2357</v>
      </c>
      <c r="B231" s="40" t="s">
        <v>2358</v>
      </c>
      <c r="C231" s="55" t="s">
        <v>2359</v>
      </c>
      <c r="D231" s="40" t="s">
        <v>153</v>
      </c>
      <c r="E231" s="52" t="s">
        <v>2360</v>
      </c>
      <c r="F231" s="86" t="s">
        <v>197</v>
      </c>
      <c r="G231" s="55" t="s">
        <v>2361</v>
      </c>
      <c r="H231" s="61" t="s">
        <v>2362</v>
      </c>
      <c r="I231" s="62" t="s">
        <v>989</v>
      </c>
      <c r="J231" s="62">
        <v>18.0</v>
      </c>
      <c r="K231" s="64" t="s">
        <v>990</v>
      </c>
      <c r="L231" s="64" t="s">
        <v>2363</v>
      </c>
      <c r="M231" s="65">
        <v>6283767.0</v>
      </c>
      <c r="N231" s="65">
        <v>349098.166666666</v>
      </c>
      <c r="O231" s="65">
        <v>67622.5</v>
      </c>
      <c r="P231" s="295" t="s">
        <v>811</v>
      </c>
      <c r="Q231" s="68" t="s">
        <v>812</v>
      </c>
      <c r="R231" s="68" t="s">
        <v>197</v>
      </c>
      <c r="S231" s="40" t="s">
        <v>2364</v>
      </c>
      <c r="T231" s="40" t="s">
        <v>2365</v>
      </c>
      <c r="U231" s="76" t="s">
        <v>153</v>
      </c>
    </row>
    <row r="232" ht="16.5" customHeight="1">
      <c r="A232" s="100" t="s">
        <v>2366</v>
      </c>
      <c r="B232" s="25" t="s">
        <v>165</v>
      </c>
      <c r="C232" s="52" t="s">
        <v>2367</v>
      </c>
      <c r="D232" s="40" t="s">
        <v>153</v>
      </c>
      <c r="E232" s="190" t="s">
        <v>2368</v>
      </c>
      <c r="F232" s="86" t="s">
        <v>197</v>
      </c>
      <c r="G232" s="52" t="s">
        <v>2369</v>
      </c>
      <c r="H232" s="52" t="s">
        <v>2370</v>
      </c>
      <c r="I232" s="62">
        <v>213.0</v>
      </c>
      <c r="J232" s="62">
        <v>1.0</v>
      </c>
      <c r="K232" s="64" t="s">
        <v>1862</v>
      </c>
      <c r="L232" s="64" t="s">
        <v>831</v>
      </c>
      <c r="M232" s="65">
        <v>114569.0</v>
      </c>
      <c r="N232" s="65">
        <v>114569.0</v>
      </c>
      <c r="O232" s="65">
        <v>114569.0</v>
      </c>
      <c r="P232" s="295" t="s">
        <v>811</v>
      </c>
      <c r="Q232" s="68" t="s">
        <v>812</v>
      </c>
      <c r="R232" s="68" t="s">
        <v>197</v>
      </c>
      <c r="S232" s="40" t="s">
        <v>2371</v>
      </c>
      <c r="T232" s="83" t="s">
        <v>2372</v>
      </c>
      <c r="U232" s="76" t="s">
        <v>153</v>
      </c>
      <c r="V232" s="189"/>
    </row>
    <row r="233" ht="16.5" customHeight="1">
      <c r="A233" s="82" t="s">
        <v>2373</v>
      </c>
      <c r="B233" s="40" t="s">
        <v>218</v>
      </c>
      <c r="C233" s="55" t="s">
        <v>2374</v>
      </c>
      <c r="D233" s="40" t="s">
        <v>153</v>
      </c>
      <c r="E233" s="40" t="s">
        <v>2375</v>
      </c>
      <c r="F233" s="40" t="s">
        <v>197</v>
      </c>
      <c r="G233" s="52" t="s">
        <v>2376</v>
      </c>
      <c r="H233" s="61" t="s">
        <v>2377</v>
      </c>
      <c r="I233" s="62">
        <v>180.0</v>
      </c>
      <c r="J233" s="62">
        <v>4.0</v>
      </c>
      <c r="K233" s="64" t="s">
        <v>1147</v>
      </c>
      <c r="L233" s="64" t="s">
        <v>2378</v>
      </c>
      <c r="M233" s="65">
        <v>495478.0</v>
      </c>
      <c r="N233" s="65">
        <v>123869.5</v>
      </c>
      <c r="O233" s="65">
        <v>114197.5</v>
      </c>
      <c r="P233" s="295" t="s">
        <v>811</v>
      </c>
      <c r="Q233" s="68" t="s">
        <v>112</v>
      </c>
      <c r="R233" s="68" t="s">
        <v>116</v>
      </c>
      <c r="S233" s="40" t="s">
        <v>2379</v>
      </c>
      <c r="T233" s="40" t="s">
        <v>2380</v>
      </c>
      <c r="U233" s="76" t="s">
        <v>153</v>
      </c>
    </row>
    <row r="234" ht="16.5" customHeight="1">
      <c r="A234" s="70" t="s">
        <v>2381</v>
      </c>
      <c r="B234" s="77" t="s">
        <v>179</v>
      </c>
      <c r="C234" s="52" t="s">
        <v>2382</v>
      </c>
      <c r="D234" s="40" t="s">
        <v>153</v>
      </c>
      <c r="E234" s="52" t="s">
        <v>2383</v>
      </c>
      <c r="F234" s="40" t="s">
        <v>197</v>
      </c>
      <c r="G234" s="55" t="s">
        <v>2384</v>
      </c>
      <c r="H234" s="61" t="s">
        <v>2385</v>
      </c>
      <c r="I234" s="62">
        <v>500.0</v>
      </c>
      <c r="J234" s="62">
        <v>1.0</v>
      </c>
      <c r="K234" s="64" t="s">
        <v>1070</v>
      </c>
      <c r="L234" s="64" t="s">
        <v>1070</v>
      </c>
      <c r="M234" s="65">
        <v>53577.0</v>
      </c>
      <c r="N234" s="65">
        <v>53577.0</v>
      </c>
      <c r="O234" s="65">
        <v>53577.0</v>
      </c>
      <c r="P234" s="295" t="s">
        <v>811</v>
      </c>
      <c r="Q234" s="68" t="s">
        <v>112</v>
      </c>
      <c r="R234" s="68" t="s">
        <v>116</v>
      </c>
      <c r="S234" s="18" t="s">
        <v>2386</v>
      </c>
      <c r="T234" s="18" t="s">
        <v>2387</v>
      </c>
      <c r="U234" s="76" t="s">
        <v>2388</v>
      </c>
    </row>
    <row r="235" ht="16.5" customHeight="1">
      <c r="A235" s="100" t="s">
        <v>2389</v>
      </c>
      <c r="B235" s="18" t="s">
        <v>2390</v>
      </c>
      <c r="C235" s="199" t="s">
        <v>2391</v>
      </c>
      <c r="D235" s="18" t="s">
        <v>153</v>
      </c>
      <c r="E235" s="18" t="s">
        <v>2392</v>
      </c>
      <c r="F235" s="199" t="s">
        <v>2393</v>
      </c>
      <c r="G235" s="64" t="s">
        <v>153</v>
      </c>
      <c r="H235" s="71" t="s">
        <v>2394</v>
      </c>
      <c r="I235" s="64" t="s">
        <v>153</v>
      </c>
      <c r="J235" s="62">
        <v>46.0</v>
      </c>
      <c r="K235" s="62" t="s">
        <v>1349</v>
      </c>
      <c r="L235" s="64" t="s">
        <v>2395</v>
      </c>
      <c r="M235" s="65">
        <v>304713.0</v>
      </c>
      <c r="N235" s="65">
        <v>6624.19565217391</v>
      </c>
      <c r="O235" s="65">
        <v>4434.0</v>
      </c>
      <c r="P235" s="295" t="s">
        <v>811</v>
      </c>
      <c r="Q235" s="122" t="s">
        <v>112</v>
      </c>
      <c r="R235" s="68" t="s">
        <v>197</v>
      </c>
      <c r="S235" s="64" t="s">
        <v>2396</v>
      </c>
      <c r="T235" s="18" t="s">
        <v>2397</v>
      </c>
      <c r="U235" s="76" t="s">
        <v>2398</v>
      </c>
    </row>
    <row r="236" ht="16.5" customHeight="1">
      <c r="A236" s="88" t="s">
        <v>2399</v>
      </c>
      <c r="B236" s="18" t="s">
        <v>179</v>
      </c>
      <c r="C236" s="71" t="s">
        <v>2400</v>
      </c>
      <c r="D236" s="191"/>
      <c r="E236" s="192" t="s">
        <v>2401</v>
      </c>
      <c r="F236" s="191"/>
      <c r="G236" s="192" t="s">
        <v>2402</v>
      </c>
      <c r="H236" s="192" t="s">
        <v>2403</v>
      </c>
      <c r="I236" s="62" t="s">
        <v>2404</v>
      </c>
      <c r="J236" s="62">
        <v>2.0</v>
      </c>
      <c r="K236" s="62" t="s">
        <v>736</v>
      </c>
      <c r="L236" s="62" t="s">
        <v>2094</v>
      </c>
      <c r="M236" s="65">
        <v>1.3575376E7</v>
      </c>
      <c r="N236" s="65">
        <v>6787688.0</v>
      </c>
      <c r="O236" s="65">
        <v>6787688.0</v>
      </c>
      <c r="P236" s="68" t="s">
        <v>811</v>
      </c>
      <c r="Q236" s="68" t="s">
        <v>112</v>
      </c>
      <c r="R236" s="68" t="s">
        <v>197</v>
      </c>
      <c r="S236" s="64" t="s">
        <v>2405</v>
      </c>
      <c r="T236" s="64" t="s">
        <v>2406</v>
      </c>
      <c r="U236" s="90" t="s">
        <v>2407</v>
      </c>
      <c r="V236" s="191"/>
      <c r="W236" s="191"/>
      <c r="X236" s="191"/>
      <c r="Y236" s="191"/>
      <c r="Z236" s="191"/>
      <c r="AA236" s="191"/>
      <c r="AB236" s="122"/>
      <c r="AC236" s="122"/>
      <c r="AD236" s="122"/>
      <c r="AE236" s="122"/>
      <c r="AF236" s="122"/>
      <c r="AG236" s="122"/>
      <c r="AH236" s="122"/>
      <c r="AI236" s="122"/>
      <c r="AJ236" s="122"/>
      <c r="AK236" s="122"/>
      <c r="AL236" s="122"/>
      <c r="AM236" s="122"/>
      <c r="AN236" s="122"/>
    </row>
    <row r="237" ht="16.5" customHeight="1">
      <c r="A237" s="88" t="s">
        <v>2408</v>
      </c>
      <c r="B237" s="18" t="s">
        <v>254</v>
      </c>
      <c r="C237" s="71" t="s">
        <v>2409</v>
      </c>
      <c r="D237" s="64"/>
      <c r="E237" s="64" t="s">
        <v>2410</v>
      </c>
      <c r="F237" s="71" t="s">
        <v>2411</v>
      </c>
      <c r="G237" s="190" t="s">
        <v>2412</v>
      </c>
      <c r="H237" s="190" t="s">
        <v>2413</v>
      </c>
      <c r="I237" s="62">
        <v>0.0</v>
      </c>
      <c r="J237" s="62">
        <v>2.0</v>
      </c>
      <c r="K237" s="62" t="s">
        <v>2414</v>
      </c>
      <c r="L237" s="62" t="s">
        <v>1058</v>
      </c>
      <c r="M237" s="65">
        <v>2524.0</v>
      </c>
      <c r="N237" s="65">
        <v>1262.0</v>
      </c>
      <c r="O237" s="65">
        <v>1262.0</v>
      </c>
      <c r="P237" s="295" t="s">
        <v>1915</v>
      </c>
      <c r="Q237" s="68" t="s">
        <v>112</v>
      </c>
      <c r="R237" s="68" t="s">
        <v>197</v>
      </c>
      <c r="S237" s="64" t="s">
        <v>2415</v>
      </c>
      <c r="T237" s="64" t="s">
        <v>2416</v>
      </c>
      <c r="U237" s="90" t="s">
        <v>2417</v>
      </c>
      <c r="V237" s="122"/>
      <c r="W237" s="122"/>
      <c r="X237" s="122"/>
      <c r="Y237" s="122"/>
      <c r="Z237" s="122"/>
      <c r="AA237" s="122"/>
      <c r="AB237" s="122"/>
      <c r="AC237" s="122"/>
      <c r="AD237" s="122"/>
      <c r="AE237" s="122"/>
      <c r="AF237" s="122"/>
      <c r="AG237" s="122"/>
      <c r="AH237" s="122"/>
      <c r="AI237" s="122"/>
      <c r="AJ237" s="122"/>
      <c r="AK237" s="122"/>
      <c r="AL237" s="122"/>
      <c r="AM237" s="122"/>
      <c r="AN237" s="122"/>
    </row>
    <row r="238" ht="16.5" customHeight="1">
      <c r="A238" s="88" t="s">
        <v>2418</v>
      </c>
      <c r="B238" s="64" t="s">
        <v>2419</v>
      </c>
      <c r="C238" s="125" t="s">
        <v>2420</v>
      </c>
      <c r="D238" s="18"/>
      <c r="E238" s="204" t="s">
        <v>2421</v>
      </c>
      <c r="F238" s="125" t="s">
        <v>2422</v>
      </c>
      <c r="G238" s="199" t="s">
        <v>2423</v>
      </c>
      <c r="H238" s="126" t="s">
        <v>2424</v>
      </c>
      <c r="I238" s="127">
        <v>68.0</v>
      </c>
      <c r="J238" s="127">
        <v>1.0</v>
      </c>
      <c r="K238" s="127" t="s">
        <v>841</v>
      </c>
      <c r="L238" s="129" t="s">
        <v>841</v>
      </c>
      <c r="M238" s="182">
        <v>29968.0</v>
      </c>
      <c r="N238" s="182">
        <v>29968.0</v>
      </c>
      <c r="O238" s="182">
        <v>29968.0</v>
      </c>
      <c r="P238" s="68" t="s">
        <v>811</v>
      </c>
      <c r="Q238" s="68" t="s">
        <v>112</v>
      </c>
      <c r="R238" s="74" t="s">
        <v>118</v>
      </c>
      <c r="S238" s="129" t="s">
        <v>2425</v>
      </c>
      <c r="T238" s="129" t="s">
        <v>2426</v>
      </c>
      <c r="U238" s="69" t="s">
        <v>2427</v>
      </c>
      <c r="V238" s="131"/>
      <c r="W238" s="131"/>
      <c r="X238" s="131"/>
      <c r="Y238" s="131"/>
      <c r="Z238" s="131"/>
      <c r="AA238" s="131"/>
      <c r="AB238" s="131"/>
      <c r="AC238" s="131"/>
      <c r="AD238" s="131"/>
      <c r="AE238" s="131"/>
      <c r="AF238" s="131"/>
      <c r="AG238" s="131"/>
      <c r="AH238" s="131"/>
      <c r="AI238" s="131"/>
      <c r="AJ238" s="131"/>
      <c r="AK238" s="131"/>
      <c r="AL238" s="131"/>
      <c r="AM238" s="131"/>
      <c r="AN238" s="131"/>
    </row>
    <row r="239" ht="16.5" customHeight="1">
      <c r="A239" s="82" t="s">
        <v>2428</v>
      </c>
      <c r="B239" s="40" t="s">
        <v>218</v>
      </c>
      <c r="C239" s="55" t="s">
        <v>2429</v>
      </c>
      <c r="D239" s="40" t="s">
        <v>153</v>
      </c>
      <c r="E239" s="55" t="s">
        <v>2430</v>
      </c>
      <c r="F239" s="52" t="s">
        <v>2431</v>
      </c>
      <c r="G239" s="52" t="s">
        <v>2432</v>
      </c>
      <c r="H239" s="61" t="s">
        <v>2433</v>
      </c>
      <c r="I239" s="62" t="s">
        <v>989</v>
      </c>
      <c r="J239" s="62">
        <v>12.0</v>
      </c>
      <c r="K239" s="64" t="s">
        <v>2434</v>
      </c>
      <c r="L239" s="64" t="s">
        <v>1934</v>
      </c>
      <c r="M239" s="65">
        <v>2847426.0</v>
      </c>
      <c r="N239" s="65">
        <v>237285.5</v>
      </c>
      <c r="O239" s="65">
        <v>47846.5</v>
      </c>
      <c r="P239" s="295" t="s">
        <v>811</v>
      </c>
      <c r="Q239" s="68" t="s">
        <v>812</v>
      </c>
      <c r="R239" s="68" t="s">
        <v>118</v>
      </c>
      <c r="S239" s="40" t="s">
        <v>2436</v>
      </c>
      <c r="T239" s="40" t="s">
        <v>2437</v>
      </c>
      <c r="U239" s="76" t="s">
        <v>2438</v>
      </c>
    </row>
    <row r="240" ht="16.5" customHeight="1">
      <c r="A240" s="49" t="s">
        <v>2439</v>
      </c>
      <c r="B240" s="203" t="s">
        <v>218</v>
      </c>
      <c r="C240" s="116" t="s">
        <v>2440</v>
      </c>
      <c r="D240" s="203" t="s">
        <v>153</v>
      </c>
      <c r="E240" s="203" t="s">
        <v>2441</v>
      </c>
      <c r="F240" s="203" t="s">
        <v>197</v>
      </c>
      <c r="G240" s="116" t="s">
        <v>2442</v>
      </c>
      <c r="H240" s="61" t="s">
        <v>2443</v>
      </c>
      <c r="I240" s="62">
        <v>71.0</v>
      </c>
      <c r="J240" s="62">
        <v>3.0</v>
      </c>
      <c r="K240" s="64" t="s">
        <v>353</v>
      </c>
      <c r="L240" s="64" t="s">
        <v>1102</v>
      </c>
      <c r="M240" s="65">
        <v>6401.0</v>
      </c>
      <c r="N240" s="65">
        <v>2133.66666666666</v>
      </c>
      <c r="O240" s="65">
        <v>1132.0</v>
      </c>
      <c r="P240" s="295" t="s">
        <v>1915</v>
      </c>
      <c r="Q240" s="122" t="s">
        <v>112</v>
      </c>
      <c r="R240" s="68" t="s">
        <v>197</v>
      </c>
      <c r="S240" s="25" t="s">
        <v>2444</v>
      </c>
      <c r="T240" s="203" t="s">
        <v>2445</v>
      </c>
      <c r="U240" s="244" t="s">
        <v>2446</v>
      </c>
      <c r="V240" s="27"/>
      <c r="W240" s="27"/>
      <c r="X240" s="27"/>
      <c r="Y240" s="27"/>
      <c r="Z240" s="27"/>
      <c r="AA240" s="27"/>
      <c r="AB240" s="27"/>
      <c r="AC240" s="27"/>
      <c r="AD240" s="27"/>
      <c r="AE240" s="27"/>
      <c r="AF240" s="27"/>
      <c r="AG240" s="27"/>
      <c r="AH240" s="27"/>
      <c r="AI240" s="27"/>
      <c r="AJ240" s="27"/>
      <c r="AK240" s="27"/>
      <c r="AL240" s="27"/>
      <c r="AM240" s="27"/>
      <c r="AN240" s="27"/>
    </row>
    <row r="241" ht="16.5" customHeight="1">
      <c r="A241" s="88" t="s">
        <v>2447</v>
      </c>
      <c r="B241" s="40" t="s">
        <v>2448</v>
      </c>
      <c r="C241" s="190" t="s">
        <v>2449</v>
      </c>
      <c r="D241" s="68" t="s">
        <v>153</v>
      </c>
      <c r="E241" s="64" t="s">
        <v>2450</v>
      </c>
      <c r="F241" s="71" t="str">
        <f>HYPERLINK("https://www.linkedin.com/in/akiszachariadis","Akis Zachariadis")</f>
        <v>Akis Zachariadis</v>
      </c>
      <c r="G241" s="192" t="s">
        <v>2451</v>
      </c>
      <c r="H241" s="190" t="s">
        <v>2452</v>
      </c>
      <c r="I241" s="62">
        <v>104.0</v>
      </c>
      <c r="J241" s="62">
        <v>2.0</v>
      </c>
      <c r="K241" s="62" t="s">
        <v>2453</v>
      </c>
      <c r="L241" s="62" t="s">
        <v>1723</v>
      </c>
      <c r="M241" s="65">
        <v>11267.0</v>
      </c>
      <c r="N241" s="65">
        <v>5633.5</v>
      </c>
      <c r="O241" s="65">
        <v>5633.5</v>
      </c>
      <c r="P241" s="295" t="s">
        <v>811</v>
      </c>
      <c r="Q241" s="68" t="s">
        <v>112</v>
      </c>
      <c r="R241" s="68" t="s">
        <v>197</v>
      </c>
      <c r="S241" s="64" t="s">
        <v>2454</v>
      </c>
      <c r="T241" s="64" t="s">
        <v>2455</v>
      </c>
      <c r="U241" s="90" t="s">
        <v>153</v>
      </c>
      <c r="V241" s="122"/>
      <c r="W241" s="122"/>
      <c r="X241" s="122"/>
      <c r="Y241" s="122"/>
      <c r="Z241" s="122"/>
      <c r="AA241" s="122"/>
      <c r="AB241" s="122"/>
      <c r="AC241" s="122"/>
      <c r="AD241" s="122"/>
      <c r="AE241" s="122"/>
      <c r="AF241" s="122"/>
      <c r="AG241" s="122"/>
      <c r="AH241" s="122"/>
      <c r="AI241" s="122"/>
      <c r="AJ241" s="122"/>
      <c r="AK241" s="122"/>
      <c r="AL241" s="122"/>
      <c r="AM241" s="122"/>
      <c r="AN241" s="122"/>
    </row>
    <row r="242" ht="16.5" customHeight="1">
      <c r="A242" s="100" t="s">
        <v>2456</v>
      </c>
      <c r="B242" s="18" t="s">
        <v>179</v>
      </c>
      <c r="C242" s="52" t="s">
        <v>2457</v>
      </c>
      <c r="D242" s="18" t="s">
        <v>153</v>
      </c>
      <c r="E242" s="18" t="s">
        <v>2458</v>
      </c>
      <c r="F242" s="162" t="s">
        <v>2459</v>
      </c>
      <c r="G242" s="329" t="s">
        <v>2460</v>
      </c>
      <c r="H242" s="61" t="s">
        <v>2461</v>
      </c>
      <c r="I242" s="62" t="s">
        <v>283</v>
      </c>
      <c r="J242" s="62">
        <v>1.0</v>
      </c>
      <c r="K242" s="64" t="s">
        <v>2395</v>
      </c>
      <c r="L242" s="64" t="s">
        <v>2395</v>
      </c>
      <c r="M242" s="65">
        <v>1390030.0</v>
      </c>
      <c r="N242" s="65">
        <v>1390030.0</v>
      </c>
      <c r="O242" s="65">
        <v>1390030.0</v>
      </c>
      <c r="P242" s="295" t="s">
        <v>811</v>
      </c>
      <c r="Q242" s="68" t="s">
        <v>112</v>
      </c>
      <c r="R242" s="68" t="s">
        <v>197</v>
      </c>
      <c r="S242" s="18" t="s">
        <v>2462</v>
      </c>
      <c r="T242" s="18" t="s">
        <v>2463</v>
      </c>
      <c r="U242" s="76" t="s">
        <v>2464</v>
      </c>
      <c r="V242" s="22"/>
      <c r="W242" s="22"/>
      <c r="X242" s="22"/>
      <c r="Y242" s="22"/>
      <c r="Z242" s="22"/>
      <c r="AA242" s="22"/>
      <c r="AB242" s="22"/>
      <c r="AC242" s="22"/>
      <c r="AD242" s="22"/>
      <c r="AE242" s="22"/>
      <c r="AF242" s="22"/>
      <c r="AG242" s="22"/>
      <c r="AH242" s="22"/>
      <c r="AI242" s="22"/>
      <c r="AJ242" s="22"/>
      <c r="AK242" s="22"/>
      <c r="AL242" s="22"/>
      <c r="AM242" s="22"/>
      <c r="AN242" s="22"/>
    </row>
    <row r="243" ht="16.5" customHeight="1">
      <c r="A243" s="100" t="s">
        <v>2465</v>
      </c>
      <c r="B243" s="18" t="s">
        <v>469</v>
      </c>
      <c r="C243" s="52" t="s">
        <v>2466</v>
      </c>
      <c r="D243" s="40" t="s">
        <v>153</v>
      </c>
      <c r="E243" s="210" t="s">
        <v>2467</v>
      </c>
      <c r="F243" s="52" t="s">
        <v>2468</v>
      </c>
      <c r="G243" s="52" t="s">
        <v>2469</v>
      </c>
      <c r="H243" s="61" t="s">
        <v>2470</v>
      </c>
      <c r="I243" s="62">
        <v>165.0</v>
      </c>
      <c r="J243" s="62">
        <v>1.0</v>
      </c>
      <c r="K243" s="64" t="s">
        <v>1262</v>
      </c>
      <c r="L243" s="64" t="s">
        <v>2471</v>
      </c>
      <c r="M243" s="65">
        <v>105134.0</v>
      </c>
      <c r="N243" s="65">
        <v>105134.0</v>
      </c>
      <c r="O243" s="65">
        <v>105134.0</v>
      </c>
      <c r="P243" s="295" t="s">
        <v>811</v>
      </c>
      <c r="Q243" s="68" t="s">
        <v>112</v>
      </c>
      <c r="R243" s="68" t="s">
        <v>197</v>
      </c>
      <c r="S243" s="40" t="s">
        <v>2472</v>
      </c>
      <c r="T243" s="40" t="s">
        <v>2473</v>
      </c>
      <c r="U243" s="74" t="s">
        <v>2474</v>
      </c>
    </row>
    <row r="244" ht="16.5" customHeight="1">
      <c r="A244" s="82" t="s">
        <v>2475</v>
      </c>
      <c r="B244" s="40" t="s">
        <v>243</v>
      </c>
      <c r="C244" s="52" t="s">
        <v>2476</v>
      </c>
      <c r="D244" s="40" t="s">
        <v>153</v>
      </c>
      <c r="E244" s="40" t="s">
        <v>2477</v>
      </c>
      <c r="F244" s="40" t="s">
        <v>197</v>
      </c>
      <c r="G244" s="52" t="s">
        <v>2478</v>
      </c>
      <c r="H244" s="61" t="s">
        <v>2479</v>
      </c>
      <c r="I244" s="62" t="s">
        <v>863</v>
      </c>
      <c r="J244" s="62">
        <v>1.0</v>
      </c>
      <c r="K244" s="64" t="s">
        <v>1296</v>
      </c>
      <c r="L244" s="64" t="s">
        <v>1934</v>
      </c>
      <c r="M244" s="65">
        <v>176585.0</v>
      </c>
      <c r="N244" s="65">
        <v>176585.0</v>
      </c>
      <c r="O244" s="65">
        <v>176585.0</v>
      </c>
      <c r="P244" s="295" t="s">
        <v>811</v>
      </c>
      <c r="Q244" s="68" t="s">
        <v>812</v>
      </c>
      <c r="R244" s="68" t="s">
        <v>120</v>
      </c>
      <c r="S244" s="40" t="s">
        <v>2480</v>
      </c>
      <c r="T244" s="40" t="s">
        <v>2481</v>
      </c>
      <c r="U244" s="76" t="s">
        <v>2482</v>
      </c>
    </row>
    <row r="245" ht="16.5" customHeight="1">
      <c r="A245" s="100" t="s">
        <v>2483</v>
      </c>
      <c r="B245" s="18" t="s">
        <v>179</v>
      </c>
      <c r="C245" s="52" t="s">
        <v>2484</v>
      </c>
      <c r="D245" s="18"/>
      <c r="E245" s="162" t="s">
        <v>2485</v>
      </c>
      <c r="F245" s="176" t="s">
        <v>197</v>
      </c>
      <c r="G245" s="52" t="s">
        <v>2486</v>
      </c>
      <c r="H245" s="71" t="s">
        <v>2487</v>
      </c>
      <c r="I245" s="62">
        <v>688.0</v>
      </c>
      <c r="J245" s="62">
        <v>9.0</v>
      </c>
      <c r="K245" s="62" t="s">
        <v>1769</v>
      </c>
      <c r="L245" s="62" t="s">
        <v>2363</v>
      </c>
      <c r="M245" s="65">
        <v>494167.0</v>
      </c>
      <c r="N245" s="65">
        <v>54907.4444444444</v>
      </c>
      <c r="O245" s="65">
        <v>7366.0</v>
      </c>
      <c r="P245" s="295" t="s">
        <v>811</v>
      </c>
      <c r="Q245" s="68" t="s">
        <v>112</v>
      </c>
      <c r="R245" s="68" t="s">
        <v>197</v>
      </c>
      <c r="S245" s="83" t="s">
        <v>2488</v>
      </c>
      <c r="T245" s="18" t="s">
        <v>2489</v>
      </c>
      <c r="U245" s="76"/>
    </row>
    <row r="246" ht="16.5" customHeight="1">
      <c r="A246" s="88" t="s">
        <v>2490</v>
      </c>
      <c r="B246" s="18" t="s">
        <v>179</v>
      </c>
      <c r="C246" s="71" t="s">
        <v>2491</v>
      </c>
      <c r="D246" s="64" t="s">
        <v>153</v>
      </c>
      <c r="E246" s="190" t="s">
        <v>2492</v>
      </c>
      <c r="F246" s="71" t="s">
        <v>2493</v>
      </c>
      <c r="G246" s="120" t="s">
        <v>2494</v>
      </c>
      <c r="H246" s="190" t="s">
        <v>2495</v>
      </c>
      <c r="I246" s="62">
        <v>195.0</v>
      </c>
      <c r="J246" s="62">
        <v>1.0</v>
      </c>
      <c r="K246" s="62" t="s">
        <v>671</v>
      </c>
      <c r="L246" s="62" t="s">
        <v>671</v>
      </c>
      <c r="M246" s="65">
        <v>13412.0</v>
      </c>
      <c r="N246" s="65">
        <v>13412.0</v>
      </c>
      <c r="O246" s="65">
        <v>13412.0</v>
      </c>
      <c r="P246" s="68" t="s">
        <v>811</v>
      </c>
      <c r="Q246" s="68" t="s">
        <v>112</v>
      </c>
      <c r="R246" s="68" t="s">
        <v>197</v>
      </c>
      <c r="S246" s="64" t="s">
        <v>153</v>
      </c>
      <c r="T246" s="64" t="s">
        <v>2496</v>
      </c>
      <c r="U246" s="90" t="s">
        <v>2497</v>
      </c>
      <c r="V246" s="191"/>
      <c r="W246" s="191"/>
      <c r="X246" s="191"/>
      <c r="Y246" s="191"/>
      <c r="Z246" s="191"/>
      <c r="AA246" s="191"/>
      <c r="AB246" s="191"/>
      <c r="AC246" s="191"/>
      <c r="AD246" s="191"/>
      <c r="AE246" s="191"/>
      <c r="AF246" s="191"/>
      <c r="AG246" s="191"/>
      <c r="AH246" s="191"/>
      <c r="AI246" s="191"/>
      <c r="AJ246" s="191"/>
      <c r="AK246" s="191"/>
      <c r="AL246" s="191"/>
      <c r="AM246" s="191"/>
      <c r="AN246" s="191"/>
    </row>
    <row r="247" ht="16.5" customHeight="1">
      <c r="A247" s="82" t="s">
        <v>2498</v>
      </c>
      <c r="B247" s="40" t="s">
        <v>469</v>
      </c>
      <c r="C247" s="55" t="s">
        <v>2499</v>
      </c>
      <c r="D247" s="52" t="s">
        <v>2499</v>
      </c>
      <c r="E247" s="52" t="s">
        <v>2500</v>
      </c>
      <c r="F247" s="139" t="s">
        <v>2501</v>
      </c>
      <c r="G247" s="52" t="s">
        <v>2502</v>
      </c>
      <c r="H247" s="71" t="s">
        <v>2503</v>
      </c>
      <c r="I247" s="43" t="s">
        <v>283</v>
      </c>
      <c r="J247" s="62">
        <v>171.0</v>
      </c>
      <c r="K247" s="64" t="s">
        <v>2504</v>
      </c>
      <c r="L247" s="64" t="s">
        <v>2505</v>
      </c>
      <c r="M247" s="65">
        <v>5.43923805E8</v>
      </c>
      <c r="N247" s="65">
        <v>3180840.96491228</v>
      </c>
      <c r="O247" s="65">
        <v>372690.0</v>
      </c>
      <c r="P247" s="65" t="s">
        <v>189</v>
      </c>
      <c r="Q247" s="64" t="s">
        <v>141</v>
      </c>
      <c r="R247" s="68" t="s">
        <v>116</v>
      </c>
      <c r="S247" s="40" t="s">
        <v>2506</v>
      </c>
      <c r="T247" s="40" t="s">
        <v>2507</v>
      </c>
      <c r="U247" s="74" t="s">
        <v>2508</v>
      </c>
    </row>
    <row r="248" ht="15.75" customHeight="1">
      <c r="A248" s="189"/>
      <c r="B248" s="22"/>
      <c r="C248" s="22"/>
      <c r="D248" s="22"/>
      <c r="E248" s="22"/>
      <c r="F248" s="22"/>
      <c r="G248" s="22"/>
      <c r="H248" s="22"/>
      <c r="I248" s="266"/>
      <c r="J248" s="272"/>
      <c r="K248" s="272"/>
      <c r="L248" s="272"/>
      <c r="M248" s="273"/>
      <c r="N248" s="273"/>
      <c r="O248" s="273"/>
      <c r="P248" s="27"/>
      <c r="Q248" s="27"/>
      <c r="R248" s="27"/>
      <c r="S248" s="22"/>
      <c r="T248" s="22"/>
      <c r="U248" s="28"/>
    </row>
    <row r="249" ht="15.75" customHeight="1">
      <c r="A249" s="189"/>
      <c r="B249" s="22"/>
      <c r="C249" s="22"/>
      <c r="D249" s="22"/>
      <c r="E249" s="22"/>
      <c r="F249" s="22"/>
      <c r="G249" s="22"/>
      <c r="H249" s="22"/>
      <c r="I249" s="266"/>
      <c r="J249" s="272"/>
      <c r="K249" s="272"/>
      <c r="L249" s="272"/>
      <c r="M249" s="273"/>
      <c r="N249" s="273"/>
      <c r="O249" s="273"/>
      <c r="P249" s="27"/>
      <c r="Q249" s="27"/>
      <c r="R249" s="27"/>
      <c r="S249" s="22"/>
      <c r="T249" s="22"/>
      <c r="U249" s="28"/>
    </row>
    <row r="250" ht="15.75" customHeight="1">
      <c r="A250" s="189"/>
      <c r="B250" s="22"/>
      <c r="C250" s="22"/>
      <c r="D250" s="22"/>
      <c r="E250" s="22"/>
      <c r="F250" s="22"/>
      <c r="G250" s="22"/>
      <c r="H250" s="22"/>
      <c r="I250" s="266"/>
      <c r="J250" s="272"/>
      <c r="K250" s="272"/>
      <c r="L250" s="272"/>
      <c r="M250" s="273"/>
      <c r="N250" s="273"/>
      <c r="O250" s="273"/>
      <c r="P250" s="27"/>
      <c r="Q250" s="27"/>
      <c r="R250" s="27"/>
      <c r="S250" s="22"/>
      <c r="T250" s="22"/>
      <c r="U250" s="28"/>
    </row>
    <row r="251" ht="15.75" customHeight="1">
      <c r="A251" s="189"/>
      <c r="B251" s="22"/>
      <c r="C251" s="22"/>
      <c r="D251" s="22"/>
      <c r="E251" s="22"/>
      <c r="F251" s="22"/>
      <c r="G251" s="22"/>
      <c r="H251" s="22"/>
      <c r="I251" s="266"/>
      <c r="J251" s="272"/>
      <c r="K251" s="272"/>
      <c r="L251" s="272"/>
      <c r="M251" s="273"/>
      <c r="N251" s="273"/>
      <c r="O251" s="273"/>
      <c r="P251" s="27"/>
      <c r="Q251" s="27"/>
      <c r="R251" s="27"/>
      <c r="S251" s="22"/>
      <c r="T251" s="22"/>
      <c r="U251" s="28"/>
    </row>
    <row r="252" ht="15.75" customHeight="1">
      <c r="A252" s="189"/>
      <c r="B252" s="22"/>
      <c r="C252" s="22"/>
      <c r="D252" s="22"/>
      <c r="E252" s="22"/>
      <c r="F252" s="22"/>
      <c r="G252" s="22"/>
      <c r="H252" s="22"/>
      <c r="I252" s="266"/>
      <c r="J252" s="272"/>
      <c r="K252" s="272"/>
      <c r="L252" s="272"/>
      <c r="M252" s="273"/>
      <c r="N252" s="273"/>
      <c r="O252" s="273"/>
      <c r="P252" s="27"/>
      <c r="Q252" s="27"/>
      <c r="R252" s="27"/>
      <c r="S252" s="22"/>
      <c r="T252" s="22"/>
      <c r="U252" s="28"/>
    </row>
    <row r="253" ht="15.75" customHeight="1">
      <c r="A253" s="189"/>
      <c r="B253" s="22"/>
      <c r="C253" s="22"/>
      <c r="D253" s="22"/>
      <c r="E253" s="22"/>
      <c r="F253" s="22"/>
      <c r="G253" s="22"/>
      <c r="H253" s="22"/>
      <c r="I253" s="266"/>
      <c r="J253" s="272"/>
      <c r="K253" s="272"/>
      <c r="L253" s="272"/>
      <c r="M253" s="273"/>
      <c r="N253" s="273"/>
      <c r="O253" s="273"/>
      <c r="P253" s="27"/>
      <c r="Q253" s="27"/>
      <c r="R253" s="27"/>
      <c r="S253" s="22"/>
      <c r="T253" s="22"/>
      <c r="U253" s="28"/>
    </row>
    <row r="254" ht="15.75" customHeight="1">
      <c r="A254" s="189"/>
      <c r="B254" s="22"/>
      <c r="C254" s="22"/>
      <c r="D254" s="22"/>
      <c r="E254" s="22"/>
      <c r="F254" s="22"/>
      <c r="G254" s="22"/>
      <c r="H254" s="22"/>
      <c r="I254" s="266"/>
      <c r="J254" s="272"/>
      <c r="K254" s="272"/>
      <c r="L254" s="272"/>
      <c r="M254" s="273"/>
      <c r="N254" s="273"/>
      <c r="O254" s="273"/>
      <c r="P254" s="27"/>
      <c r="Q254" s="27"/>
      <c r="R254" s="27"/>
      <c r="S254" s="22"/>
      <c r="T254" s="22"/>
      <c r="U254" s="28"/>
    </row>
    <row r="255" ht="15.75" customHeight="1">
      <c r="A255" s="189"/>
      <c r="B255" s="22"/>
      <c r="C255" s="22"/>
      <c r="D255" s="22"/>
      <c r="E255" s="22"/>
      <c r="F255" s="22"/>
      <c r="G255" s="22"/>
      <c r="H255" s="22"/>
      <c r="I255" s="266"/>
      <c r="J255" s="272"/>
      <c r="K255" s="272"/>
      <c r="L255" s="272"/>
      <c r="M255" s="273"/>
      <c r="N255" s="273"/>
      <c r="O255" s="273"/>
      <c r="P255" s="27"/>
      <c r="Q255" s="27"/>
      <c r="R255" s="27"/>
      <c r="S255" s="22"/>
      <c r="T255" s="22"/>
      <c r="U255" s="28"/>
    </row>
    <row r="256" ht="15.75" customHeight="1">
      <c r="A256" s="189"/>
      <c r="B256" s="22"/>
      <c r="C256" s="22"/>
      <c r="D256" s="22"/>
      <c r="E256" s="22"/>
      <c r="F256" s="22"/>
      <c r="G256" s="22"/>
      <c r="H256" s="22"/>
      <c r="I256" s="266"/>
      <c r="J256" s="272"/>
      <c r="K256" s="272"/>
      <c r="L256" s="272"/>
      <c r="M256" s="273"/>
      <c r="N256" s="273"/>
      <c r="O256" s="273"/>
      <c r="P256" s="27"/>
      <c r="Q256" s="27"/>
      <c r="R256" s="27"/>
      <c r="S256" s="22"/>
      <c r="T256" s="22"/>
      <c r="U256" s="28"/>
    </row>
    <row r="257" ht="15.75" customHeight="1">
      <c r="A257" s="189"/>
      <c r="B257" s="22"/>
      <c r="C257" s="22"/>
      <c r="D257" s="22"/>
      <c r="E257" s="22"/>
      <c r="F257" s="22"/>
      <c r="G257" s="22"/>
      <c r="H257" s="22"/>
      <c r="I257" s="266"/>
      <c r="J257" s="272"/>
      <c r="K257" s="272"/>
      <c r="L257" s="272"/>
      <c r="M257" s="273"/>
      <c r="N257" s="273"/>
      <c r="O257" s="273"/>
      <c r="P257" s="27"/>
      <c r="Q257" s="27"/>
      <c r="R257" s="27"/>
      <c r="S257" s="22"/>
      <c r="T257" s="22"/>
      <c r="U257" s="28"/>
    </row>
    <row r="258" ht="15.75" customHeight="1">
      <c r="A258" s="189"/>
      <c r="B258" s="22"/>
      <c r="C258" s="22"/>
      <c r="D258" s="22"/>
      <c r="E258" s="22"/>
      <c r="F258" s="22"/>
      <c r="G258" s="22"/>
      <c r="H258" s="22"/>
      <c r="I258" s="266"/>
      <c r="J258" s="272"/>
      <c r="K258" s="272"/>
      <c r="L258" s="272"/>
      <c r="M258" s="273"/>
      <c r="N258" s="273"/>
      <c r="O258" s="273"/>
      <c r="P258" s="27"/>
      <c r="Q258" s="27"/>
      <c r="R258" s="27"/>
      <c r="S258" s="22"/>
      <c r="T258" s="22"/>
      <c r="U258" s="28"/>
    </row>
    <row r="259" ht="15.75" customHeight="1">
      <c r="A259" s="189"/>
      <c r="B259" s="22"/>
      <c r="C259" s="22"/>
      <c r="D259" s="22"/>
      <c r="E259" s="22"/>
      <c r="F259" s="22"/>
      <c r="G259" s="22"/>
      <c r="H259" s="22"/>
      <c r="I259" s="266"/>
      <c r="J259" s="272"/>
      <c r="K259" s="272"/>
      <c r="L259" s="272"/>
      <c r="M259" s="273"/>
      <c r="N259" s="273"/>
      <c r="O259" s="273"/>
      <c r="P259" s="27"/>
      <c r="Q259" s="27"/>
      <c r="R259" s="27"/>
      <c r="S259" s="22"/>
      <c r="T259" s="22"/>
      <c r="U259" s="28"/>
    </row>
    <row r="260" ht="15.75" customHeight="1">
      <c r="A260" s="189"/>
      <c r="B260" s="22"/>
      <c r="C260" s="22"/>
      <c r="D260" s="22"/>
      <c r="E260" s="22"/>
      <c r="F260" s="22"/>
      <c r="G260" s="22"/>
      <c r="H260" s="22"/>
      <c r="I260" s="266"/>
      <c r="J260" s="272"/>
      <c r="K260" s="272"/>
      <c r="L260" s="272"/>
      <c r="M260" s="273"/>
      <c r="N260" s="273"/>
      <c r="O260" s="273"/>
      <c r="P260" s="27"/>
      <c r="Q260" s="27"/>
      <c r="R260" s="27"/>
      <c r="S260" s="22"/>
      <c r="T260" s="22"/>
      <c r="U260" s="28"/>
    </row>
    <row r="261" ht="15.75" customHeight="1">
      <c r="A261" s="189"/>
      <c r="B261" s="22"/>
      <c r="C261" s="22"/>
      <c r="D261" s="22"/>
      <c r="E261" s="22"/>
      <c r="F261" s="22"/>
      <c r="G261" s="22"/>
      <c r="H261" s="22"/>
      <c r="I261" s="266"/>
      <c r="J261" s="272"/>
      <c r="K261" s="272"/>
      <c r="L261" s="272"/>
      <c r="M261" s="273"/>
      <c r="N261" s="273"/>
      <c r="O261" s="273"/>
      <c r="P261" s="27"/>
      <c r="Q261" s="27"/>
      <c r="R261" s="27"/>
      <c r="S261" s="22"/>
      <c r="T261" s="22"/>
      <c r="U261" s="28"/>
    </row>
    <row r="262" ht="15.75" customHeight="1">
      <c r="A262" s="189"/>
      <c r="B262" s="22"/>
      <c r="C262" s="22"/>
      <c r="D262" s="22"/>
      <c r="E262" s="22"/>
      <c r="F262" s="22"/>
      <c r="G262" s="22"/>
      <c r="H262" s="22"/>
      <c r="I262" s="266"/>
      <c r="J262" s="272"/>
      <c r="K262" s="272"/>
      <c r="L262" s="272"/>
      <c r="M262" s="273"/>
      <c r="N262" s="273"/>
      <c r="O262" s="273"/>
      <c r="P262" s="27"/>
      <c r="Q262" s="27"/>
      <c r="R262" s="27"/>
      <c r="S262" s="22"/>
      <c r="T262" s="22"/>
      <c r="U262" s="28"/>
    </row>
    <row r="263" ht="15.75" customHeight="1">
      <c r="A263" s="189"/>
      <c r="B263" s="22"/>
      <c r="C263" s="22"/>
      <c r="D263" s="22"/>
      <c r="E263" s="22"/>
      <c r="F263" s="22"/>
      <c r="G263" s="22"/>
      <c r="H263" s="22"/>
      <c r="I263" s="266"/>
      <c r="J263" s="272"/>
      <c r="K263" s="272"/>
      <c r="L263" s="272"/>
      <c r="M263" s="273"/>
      <c r="N263" s="273"/>
      <c r="O263" s="273"/>
      <c r="P263" s="27"/>
      <c r="Q263" s="27"/>
      <c r="R263" s="27"/>
      <c r="S263" s="22"/>
      <c r="T263" s="22"/>
      <c r="U263" s="28"/>
    </row>
    <row r="264" ht="15.75" customHeight="1">
      <c r="A264" s="189"/>
      <c r="B264" s="22"/>
      <c r="C264" s="22"/>
      <c r="D264" s="22"/>
      <c r="E264" s="22"/>
      <c r="F264" s="22"/>
      <c r="G264" s="22"/>
      <c r="H264" s="22"/>
      <c r="I264" s="266"/>
      <c r="J264" s="272"/>
      <c r="K264" s="272"/>
      <c r="L264" s="272"/>
      <c r="M264" s="273"/>
      <c r="N264" s="273"/>
      <c r="O264" s="273"/>
      <c r="P264" s="27"/>
      <c r="Q264" s="27"/>
      <c r="R264" s="27"/>
      <c r="S264" s="22"/>
      <c r="T264" s="22"/>
      <c r="U264" s="28"/>
    </row>
    <row r="265" ht="15.75" customHeight="1">
      <c r="A265" s="189"/>
      <c r="B265" s="22"/>
      <c r="C265" s="22"/>
      <c r="D265" s="22"/>
      <c r="E265" s="22"/>
      <c r="F265" s="22"/>
      <c r="G265" s="22"/>
      <c r="H265" s="22"/>
      <c r="I265" s="266"/>
      <c r="J265" s="272"/>
      <c r="K265" s="272"/>
      <c r="L265" s="272"/>
      <c r="M265" s="273"/>
      <c r="N265" s="273"/>
      <c r="O265" s="273"/>
      <c r="P265" s="27"/>
      <c r="Q265" s="27"/>
      <c r="R265" s="27"/>
      <c r="S265" s="22"/>
      <c r="T265" s="22"/>
      <c r="U265" s="28"/>
    </row>
    <row r="266" ht="15.75" customHeight="1">
      <c r="A266" s="189"/>
      <c r="B266" s="22"/>
      <c r="C266" s="22"/>
      <c r="D266" s="22"/>
      <c r="E266" s="22"/>
      <c r="F266" s="22"/>
      <c r="G266" s="22"/>
      <c r="H266" s="22"/>
      <c r="I266" s="266"/>
      <c r="J266" s="272"/>
      <c r="K266" s="272"/>
      <c r="L266" s="272"/>
      <c r="M266" s="273"/>
      <c r="N266" s="273"/>
      <c r="O266" s="273"/>
      <c r="P266" s="27"/>
      <c r="Q266" s="27"/>
      <c r="R266" s="27"/>
      <c r="S266" s="22"/>
      <c r="T266" s="22"/>
      <c r="U266" s="28"/>
    </row>
    <row r="267" ht="15.75" customHeight="1">
      <c r="A267" s="189"/>
      <c r="B267" s="22"/>
      <c r="C267" s="22"/>
      <c r="D267" s="22"/>
      <c r="E267" s="22"/>
      <c r="F267" s="22"/>
      <c r="G267" s="22"/>
      <c r="H267" s="22"/>
      <c r="I267" s="266"/>
      <c r="J267" s="272"/>
      <c r="K267" s="272"/>
      <c r="L267" s="272"/>
      <c r="M267" s="273"/>
      <c r="N267" s="273"/>
      <c r="O267" s="273"/>
      <c r="P267" s="27"/>
      <c r="Q267" s="27"/>
      <c r="R267" s="27"/>
      <c r="S267" s="22"/>
      <c r="T267" s="22"/>
      <c r="U267" s="28"/>
    </row>
    <row r="268" ht="15.75" customHeight="1">
      <c r="A268" s="189"/>
      <c r="B268" s="22"/>
      <c r="C268" s="22"/>
      <c r="D268" s="22"/>
      <c r="E268" s="22"/>
      <c r="F268" s="22"/>
      <c r="G268" s="22"/>
      <c r="H268" s="22"/>
      <c r="I268" s="266"/>
      <c r="J268" s="272"/>
      <c r="K268" s="272"/>
      <c r="L268" s="272"/>
      <c r="M268" s="273"/>
      <c r="N268" s="273"/>
      <c r="O268" s="273"/>
      <c r="P268" s="27"/>
      <c r="Q268" s="27"/>
      <c r="R268" s="27"/>
      <c r="S268" s="22"/>
      <c r="T268" s="22"/>
      <c r="U268" s="28"/>
    </row>
    <row r="269" ht="15.75" customHeight="1">
      <c r="A269" s="189"/>
      <c r="B269" s="22"/>
      <c r="C269" s="22"/>
      <c r="D269" s="22"/>
      <c r="E269" s="22"/>
      <c r="F269" s="22"/>
      <c r="G269" s="22"/>
      <c r="H269" s="22"/>
      <c r="I269" s="266"/>
      <c r="J269" s="272"/>
      <c r="K269" s="272"/>
      <c r="L269" s="272"/>
      <c r="M269" s="273"/>
      <c r="N269" s="273"/>
      <c r="O269" s="273"/>
      <c r="P269" s="27"/>
      <c r="Q269" s="27"/>
      <c r="R269" s="27"/>
      <c r="S269" s="22"/>
      <c r="T269" s="22"/>
      <c r="U269" s="28"/>
    </row>
    <row r="270" ht="15.75" customHeight="1">
      <c r="A270" s="189"/>
      <c r="B270" s="22"/>
      <c r="C270" s="22"/>
      <c r="D270" s="22"/>
      <c r="E270" s="22"/>
      <c r="F270" s="22"/>
      <c r="G270" s="22"/>
      <c r="H270" s="22"/>
      <c r="I270" s="266"/>
      <c r="J270" s="272"/>
      <c r="K270" s="272"/>
      <c r="L270" s="272"/>
      <c r="M270" s="273"/>
      <c r="N270" s="273"/>
      <c r="O270" s="273"/>
      <c r="P270" s="27"/>
      <c r="Q270" s="27"/>
      <c r="R270" s="27"/>
      <c r="S270" s="22"/>
      <c r="T270" s="22"/>
      <c r="U270" s="28"/>
    </row>
    <row r="271" ht="15.75" customHeight="1">
      <c r="A271" s="189"/>
      <c r="B271" s="22"/>
      <c r="C271" s="22"/>
      <c r="D271" s="22"/>
      <c r="E271" s="22"/>
      <c r="F271" s="22"/>
      <c r="G271" s="22"/>
      <c r="H271" s="22"/>
      <c r="I271" s="266"/>
      <c r="J271" s="272"/>
      <c r="K271" s="272"/>
      <c r="L271" s="272"/>
      <c r="M271" s="273"/>
      <c r="N271" s="273"/>
      <c r="O271" s="273"/>
      <c r="P271" s="27"/>
      <c r="Q271" s="27"/>
      <c r="R271" s="27"/>
      <c r="S271" s="22"/>
      <c r="T271" s="22"/>
      <c r="U271" s="28"/>
    </row>
    <row r="272" ht="15.75" customHeight="1">
      <c r="A272" s="189"/>
      <c r="B272" s="22"/>
      <c r="C272" s="22"/>
      <c r="D272" s="22"/>
      <c r="E272" s="22"/>
      <c r="F272" s="22"/>
      <c r="G272" s="22"/>
      <c r="H272" s="22"/>
      <c r="I272" s="266"/>
      <c r="J272" s="272"/>
      <c r="K272" s="272"/>
      <c r="L272" s="272"/>
      <c r="M272" s="273"/>
      <c r="N272" s="273"/>
      <c r="O272" s="273"/>
      <c r="P272" s="27"/>
      <c r="Q272" s="27"/>
      <c r="R272" s="27"/>
      <c r="S272" s="22"/>
      <c r="T272" s="22"/>
      <c r="U272" s="28"/>
    </row>
    <row r="273" ht="15.75" customHeight="1">
      <c r="A273" s="189"/>
      <c r="B273" s="22"/>
      <c r="C273" s="22"/>
      <c r="D273" s="22"/>
      <c r="E273" s="22"/>
      <c r="F273" s="22"/>
      <c r="G273" s="22"/>
      <c r="H273" s="22"/>
      <c r="I273" s="266"/>
      <c r="J273" s="272"/>
      <c r="K273" s="272"/>
      <c r="L273" s="272"/>
      <c r="M273" s="273"/>
      <c r="N273" s="273"/>
      <c r="O273" s="273"/>
      <c r="P273" s="27"/>
      <c r="Q273" s="27"/>
      <c r="R273" s="27"/>
      <c r="S273" s="22"/>
      <c r="T273" s="22"/>
      <c r="U273" s="28"/>
    </row>
    <row r="274" ht="15.75" customHeight="1">
      <c r="A274" s="189"/>
      <c r="B274" s="22"/>
      <c r="C274" s="22"/>
      <c r="D274" s="22"/>
      <c r="E274" s="22"/>
      <c r="F274" s="22"/>
      <c r="G274" s="22"/>
      <c r="H274" s="22"/>
      <c r="I274" s="266"/>
      <c r="J274" s="272"/>
      <c r="K274" s="272"/>
      <c r="L274" s="272"/>
      <c r="M274" s="273"/>
      <c r="N274" s="273"/>
      <c r="O274" s="273"/>
      <c r="P274" s="27"/>
      <c r="Q274" s="27"/>
      <c r="R274" s="27"/>
      <c r="S274" s="22"/>
      <c r="T274" s="22"/>
      <c r="U274" s="28"/>
    </row>
    <row r="275" ht="15.75" customHeight="1">
      <c r="A275" s="189"/>
      <c r="B275" s="22"/>
      <c r="C275" s="22"/>
      <c r="D275" s="22"/>
      <c r="E275" s="22"/>
      <c r="F275" s="22"/>
      <c r="G275" s="22"/>
      <c r="H275" s="22"/>
      <c r="I275" s="266"/>
      <c r="J275" s="272"/>
      <c r="K275" s="272"/>
      <c r="L275" s="272"/>
      <c r="M275" s="273"/>
      <c r="N275" s="273"/>
      <c r="O275" s="273"/>
      <c r="P275" s="27"/>
      <c r="Q275" s="27"/>
      <c r="R275" s="27"/>
      <c r="S275" s="22"/>
      <c r="T275" s="22"/>
      <c r="U275" s="28"/>
    </row>
    <row r="276" ht="15.75" customHeight="1">
      <c r="A276" s="189"/>
      <c r="B276" s="22"/>
      <c r="C276" s="22"/>
      <c r="D276" s="22"/>
      <c r="E276" s="22"/>
      <c r="F276" s="22"/>
      <c r="G276" s="22"/>
      <c r="H276" s="22"/>
      <c r="I276" s="266"/>
      <c r="J276" s="272"/>
      <c r="K276" s="272"/>
      <c r="L276" s="272"/>
      <c r="M276" s="273"/>
      <c r="N276" s="273"/>
      <c r="O276" s="273"/>
      <c r="P276" s="27"/>
      <c r="Q276" s="27"/>
      <c r="R276" s="27"/>
      <c r="S276" s="22"/>
      <c r="T276" s="22"/>
      <c r="U276" s="28"/>
    </row>
    <row r="277" ht="15.75" customHeight="1">
      <c r="A277" s="189"/>
      <c r="B277" s="22"/>
      <c r="C277" s="22"/>
      <c r="D277" s="22"/>
      <c r="E277" s="22"/>
      <c r="F277" s="22"/>
      <c r="G277" s="22"/>
      <c r="H277" s="22"/>
      <c r="I277" s="266"/>
      <c r="J277" s="272"/>
      <c r="K277" s="272"/>
      <c r="L277" s="272"/>
      <c r="M277" s="273"/>
      <c r="N277" s="273"/>
      <c r="O277" s="273"/>
      <c r="P277" s="27"/>
      <c r="Q277" s="27"/>
      <c r="R277" s="27"/>
      <c r="S277" s="22"/>
      <c r="T277" s="22"/>
      <c r="U277" s="28"/>
    </row>
    <row r="278" ht="15.75" customHeight="1">
      <c r="A278" s="189"/>
      <c r="B278" s="22"/>
      <c r="C278" s="22"/>
      <c r="D278" s="22"/>
      <c r="E278" s="22"/>
      <c r="F278" s="22"/>
      <c r="G278" s="22"/>
      <c r="H278" s="22"/>
      <c r="I278" s="266"/>
      <c r="J278" s="272"/>
      <c r="K278" s="272"/>
      <c r="L278" s="272"/>
      <c r="M278" s="273"/>
      <c r="N278" s="273"/>
      <c r="O278" s="273"/>
      <c r="P278" s="27"/>
      <c r="Q278" s="27"/>
      <c r="R278" s="27"/>
      <c r="S278" s="22"/>
      <c r="T278" s="22"/>
      <c r="U278" s="28"/>
    </row>
    <row r="279" ht="15.75" customHeight="1">
      <c r="A279" s="189"/>
      <c r="B279" s="22"/>
      <c r="C279" s="22"/>
      <c r="D279" s="22"/>
      <c r="E279" s="22"/>
      <c r="F279" s="22"/>
      <c r="G279" s="22"/>
      <c r="H279" s="22"/>
      <c r="I279" s="266"/>
      <c r="J279" s="272"/>
      <c r="K279" s="272"/>
      <c r="L279" s="272"/>
      <c r="M279" s="273"/>
      <c r="N279" s="273"/>
      <c r="O279" s="273"/>
      <c r="P279" s="27"/>
      <c r="Q279" s="27"/>
      <c r="R279" s="27"/>
      <c r="S279" s="22"/>
      <c r="T279" s="22"/>
      <c r="U279" s="28"/>
    </row>
    <row r="280" ht="15.75" customHeight="1">
      <c r="A280" s="189"/>
      <c r="B280" s="22"/>
      <c r="C280" s="22"/>
      <c r="D280" s="22"/>
      <c r="E280" s="22"/>
      <c r="F280" s="22"/>
      <c r="G280" s="22"/>
      <c r="H280" s="22"/>
      <c r="I280" s="266"/>
      <c r="J280" s="272"/>
      <c r="K280" s="272"/>
      <c r="L280" s="272"/>
      <c r="M280" s="273"/>
      <c r="N280" s="273"/>
      <c r="O280" s="273"/>
      <c r="P280" s="27"/>
      <c r="Q280" s="27"/>
      <c r="R280" s="27"/>
      <c r="S280" s="22"/>
      <c r="T280" s="22"/>
      <c r="U280" s="28"/>
    </row>
    <row r="281" ht="15.75" customHeight="1">
      <c r="A281" s="189"/>
      <c r="B281" s="22"/>
      <c r="C281" s="22"/>
      <c r="D281" s="22"/>
      <c r="E281" s="22"/>
      <c r="F281" s="22"/>
      <c r="G281" s="22"/>
      <c r="H281" s="22"/>
      <c r="I281" s="266"/>
      <c r="J281" s="272"/>
      <c r="K281" s="272"/>
      <c r="L281" s="272"/>
      <c r="M281" s="273"/>
      <c r="N281" s="273"/>
      <c r="O281" s="273"/>
      <c r="P281" s="27"/>
      <c r="Q281" s="27"/>
      <c r="R281" s="27"/>
      <c r="S281" s="22"/>
      <c r="T281" s="22"/>
      <c r="U281" s="28"/>
    </row>
    <row r="282" ht="15.75" customHeight="1">
      <c r="A282" s="189"/>
      <c r="B282" s="22"/>
      <c r="C282" s="22"/>
      <c r="D282" s="22"/>
      <c r="E282" s="22"/>
      <c r="F282" s="22"/>
      <c r="G282" s="22"/>
      <c r="H282" s="22"/>
      <c r="I282" s="266"/>
      <c r="J282" s="272"/>
      <c r="K282" s="272"/>
      <c r="L282" s="272"/>
      <c r="M282" s="273"/>
      <c r="N282" s="273"/>
      <c r="O282" s="273"/>
      <c r="P282" s="27"/>
      <c r="Q282" s="27"/>
      <c r="R282" s="27"/>
      <c r="S282" s="22"/>
      <c r="T282" s="22"/>
      <c r="U282" s="28"/>
    </row>
    <row r="283" ht="15.75" customHeight="1">
      <c r="A283" s="189"/>
      <c r="B283" s="22"/>
      <c r="C283" s="22"/>
      <c r="D283" s="22"/>
      <c r="E283" s="22"/>
      <c r="F283" s="22"/>
      <c r="G283" s="22"/>
      <c r="H283" s="22"/>
      <c r="I283" s="266"/>
      <c r="J283" s="272"/>
      <c r="K283" s="272"/>
      <c r="L283" s="272"/>
      <c r="M283" s="273"/>
      <c r="N283" s="273"/>
      <c r="O283" s="273"/>
      <c r="P283" s="27"/>
      <c r="Q283" s="27"/>
      <c r="R283" s="27"/>
      <c r="S283" s="22"/>
      <c r="T283" s="22"/>
      <c r="U283" s="28"/>
    </row>
    <row r="284" ht="15.75" customHeight="1">
      <c r="A284" s="189"/>
      <c r="B284" s="22"/>
      <c r="C284" s="22"/>
      <c r="D284" s="22"/>
      <c r="E284" s="22"/>
      <c r="F284" s="22"/>
      <c r="G284" s="22"/>
      <c r="H284" s="22"/>
      <c r="I284" s="266"/>
      <c r="J284" s="272"/>
      <c r="K284" s="272"/>
      <c r="L284" s="272"/>
      <c r="M284" s="273"/>
      <c r="N284" s="273"/>
      <c r="O284" s="273"/>
      <c r="P284" s="27"/>
      <c r="Q284" s="27"/>
      <c r="R284" s="27"/>
      <c r="S284" s="22"/>
      <c r="T284" s="22"/>
      <c r="U284" s="28"/>
    </row>
    <row r="285" ht="15.75" customHeight="1">
      <c r="A285" s="189"/>
      <c r="B285" s="22"/>
      <c r="C285" s="22"/>
      <c r="D285" s="22"/>
      <c r="E285" s="22"/>
      <c r="F285" s="22"/>
      <c r="G285" s="22"/>
      <c r="H285" s="22"/>
      <c r="I285" s="266"/>
      <c r="J285" s="272"/>
      <c r="K285" s="272"/>
      <c r="L285" s="272"/>
      <c r="M285" s="273"/>
      <c r="N285" s="273"/>
      <c r="O285" s="273"/>
      <c r="P285" s="27"/>
      <c r="Q285" s="27"/>
      <c r="R285" s="27"/>
      <c r="S285" s="22"/>
      <c r="T285" s="22"/>
      <c r="U285" s="28"/>
    </row>
    <row r="286" ht="15.75" customHeight="1">
      <c r="A286" s="189"/>
      <c r="B286" s="22"/>
      <c r="C286" s="22"/>
      <c r="D286" s="22"/>
      <c r="E286" s="22"/>
      <c r="F286" s="22"/>
      <c r="G286" s="22"/>
      <c r="H286" s="22"/>
      <c r="I286" s="266"/>
      <c r="J286" s="272"/>
      <c r="K286" s="272"/>
      <c r="L286" s="272"/>
      <c r="M286" s="273"/>
      <c r="N286" s="273"/>
      <c r="O286" s="273"/>
      <c r="P286" s="27"/>
      <c r="Q286" s="27"/>
      <c r="R286" s="27"/>
      <c r="S286" s="22"/>
      <c r="T286" s="22"/>
      <c r="U286" s="28"/>
    </row>
    <row r="287" ht="15.75" customHeight="1">
      <c r="A287" s="189"/>
      <c r="B287" s="22"/>
      <c r="C287" s="22"/>
      <c r="D287" s="22"/>
      <c r="E287" s="22"/>
      <c r="F287" s="22"/>
      <c r="G287" s="22"/>
      <c r="H287" s="22"/>
      <c r="I287" s="266"/>
      <c r="J287" s="272"/>
      <c r="K287" s="272"/>
      <c r="L287" s="272"/>
      <c r="M287" s="273"/>
      <c r="N287" s="273"/>
      <c r="O287" s="273"/>
      <c r="P287" s="27"/>
      <c r="Q287" s="27"/>
      <c r="R287" s="27"/>
      <c r="S287" s="22"/>
      <c r="T287" s="22"/>
      <c r="U287" s="28"/>
    </row>
    <row r="288" ht="15.75" customHeight="1">
      <c r="A288" s="189"/>
      <c r="B288" s="22"/>
      <c r="C288" s="22"/>
      <c r="D288" s="22"/>
      <c r="E288" s="22"/>
      <c r="F288" s="22"/>
      <c r="G288" s="22"/>
      <c r="H288" s="22"/>
      <c r="I288" s="266"/>
      <c r="J288" s="272"/>
      <c r="K288" s="272"/>
      <c r="L288" s="272"/>
      <c r="M288" s="273"/>
      <c r="N288" s="273"/>
      <c r="O288" s="273"/>
      <c r="P288" s="27"/>
      <c r="Q288" s="27"/>
      <c r="R288" s="27"/>
      <c r="S288" s="22"/>
      <c r="T288" s="22"/>
      <c r="U288" s="28"/>
    </row>
    <row r="289" ht="15.75" customHeight="1">
      <c r="A289" s="189"/>
      <c r="B289" s="22"/>
      <c r="C289" s="22"/>
      <c r="D289" s="22"/>
      <c r="E289" s="22"/>
      <c r="F289" s="22"/>
      <c r="G289" s="22"/>
      <c r="H289" s="22"/>
      <c r="I289" s="266"/>
      <c r="J289" s="272"/>
      <c r="K289" s="272"/>
      <c r="L289" s="272"/>
      <c r="M289" s="273"/>
      <c r="N289" s="273"/>
      <c r="O289" s="273"/>
      <c r="P289" s="27"/>
      <c r="Q289" s="27"/>
      <c r="R289" s="27"/>
      <c r="S289" s="22"/>
      <c r="T289" s="22"/>
      <c r="U289" s="28"/>
    </row>
    <row r="290" ht="15.75" customHeight="1">
      <c r="A290" s="189"/>
      <c r="B290" s="22"/>
      <c r="C290" s="22"/>
      <c r="D290" s="22"/>
      <c r="E290" s="22"/>
      <c r="F290" s="22"/>
      <c r="G290" s="22"/>
      <c r="H290" s="22"/>
      <c r="I290" s="266"/>
      <c r="J290" s="272"/>
      <c r="K290" s="272"/>
      <c r="L290" s="272"/>
      <c r="M290" s="273"/>
      <c r="N290" s="273"/>
      <c r="O290" s="273"/>
      <c r="P290" s="27"/>
      <c r="Q290" s="27"/>
      <c r="R290" s="27"/>
      <c r="S290" s="22"/>
      <c r="T290" s="22"/>
      <c r="U290" s="28"/>
    </row>
    <row r="291" ht="15.75" customHeight="1">
      <c r="A291" s="189"/>
      <c r="B291" s="22"/>
      <c r="C291" s="22"/>
      <c r="D291" s="22"/>
      <c r="E291" s="22"/>
      <c r="F291" s="22"/>
      <c r="G291" s="22"/>
      <c r="H291" s="22"/>
      <c r="I291" s="266"/>
      <c r="J291" s="272"/>
      <c r="K291" s="272"/>
      <c r="L291" s="272"/>
      <c r="M291" s="273"/>
      <c r="N291" s="273"/>
      <c r="O291" s="273"/>
      <c r="P291" s="27"/>
      <c r="Q291" s="27"/>
      <c r="R291" s="27"/>
      <c r="S291" s="22"/>
      <c r="T291" s="22"/>
      <c r="U291" s="28"/>
    </row>
    <row r="292" ht="15.75" customHeight="1">
      <c r="A292" s="189"/>
      <c r="B292" s="22"/>
      <c r="C292" s="22"/>
      <c r="D292" s="22"/>
      <c r="E292" s="22"/>
      <c r="F292" s="22"/>
      <c r="G292" s="22"/>
      <c r="H292" s="22"/>
      <c r="I292" s="266"/>
      <c r="J292" s="272"/>
      <c r="K292" s="272"/>
      <c r="L292" s="272"/>
      <c r="M292" s="273"/>
      <c r="N292" s="273"/>
      <c r="O292" s="273"/>
      <c r="P292" s="27"/>
      <c r="Q292" s="27"/>
      <c r="R292" s="27"/>
      <c r="S292" s="22"/>
      <c r="T292" s="22"/>
      <c r="U292" s="28"/>
    </row>
    <row r="293" ht="15.75" customHeight="1">
      <c r="A293" s="189"/>
      <c r="B293" s="22"/>
      <c r="C293" s="22"/>
      <c r="D293" s="22"/>
      <c r="E293" s="22"/>
      <c r="F293" s="22"/>
      <c r="G293" s="22"/>
      <c r="H293" s="22"/>
      <c r="I293" s="266"/>
      <c r="J293" s="272"/>
      <c r="K293" s="272"/>
      <c r="L293" s="272"/>
      <c r="M293" s="273"/>
      <c r="N293" s="273"/>
      <c r="O293" s="273"/>
      <c r="P293" s="27"/>
      <c r="Q293" s="27"/>
      <c r="R293" s="27"/>
      <c r="S293" s="22"/>
      <c r="T293" s="22"/>
      <c r="U293" s="28"/>
    </row>
    <row r="294" ht="15.75" customHeight="1">
      <c r="A294" s="189"/>
      <c r="B294" s="22"/>
      <c r="C294" s="22"/>
      <c r="D294" s="22"/>
      <c r="E294" s="22"/>
      <c r="F294" s="22"/>
      <c r="G294" s="22"/>
      <c r="H294" s="22"/>
      <c r="I294" s="266"/>
      <c r="J294" s="272"/>
      <c r="K294" s="272"/>
      <c r="L294" s="272"/>
      <c r="M294" s="273"/>
      <c r="N294" s="273"/>
      <c r="O294" s="273"/>
      <c r="P294" s="27"/>
      <c r="Q294" s="27"/>
      <c r="R294" s="27"/>
      <c r="S294" s="22"/>
      <c r="T294" s="22"/>
      <c r="U294" s="28"/>
    </row>
    <row r="295" ht="15.75" customHeight="1">
      <c r="A295" s="189"/>
      <c r="B295" s="22"/>
      <c r="C295" s="22"/>
      <c r="D295" s="22"/>
      <c r="E295" s="22"/>
      <c r="F295" s="22"/>
      <c r="G295" s="22"/>
      <c r="H295" s="22"/>
      <c r="I295" s="266"/>
      <c r="J295" s="272"/>
      <c r="K295" s="272"/>
      <c r="L295" s="272"/>
      <c r="M295" s="273"/>
      <c r="N295" s="273"/>
      <c r="O295" s="273"/>
      <c r="P295" s="27"/>
      <c r="Q295" s="27"/>
      <c r="R295" s="27"/>
      <c r="S295" s="22"/>
      <c r="T295" s="22"/>
      <c r="U295" s="28"/>
    </row>
    <row r="296" ht="15.75" customHeight="1">
      <c r="A296" s="189"/>
      <c r="B296" s="22"/>
      <c r="C296" s="22"/>
      <c r="D296" s="22"/>
      <c r="E296" s="22"/>
      <c r="F296" s="22"/>
      <c r="G296" s="22"/>
      <c r="H296" s="22"/>
      <c r="I296" s="266"/>
      <c r="J296" s="272"/>
      <c r="K296" s="272"/>
      <c r="L296" s="272"/>
      <c r="M296" s="273"/>
      <c r="N296" s="273"/>
      <c r="O296" s="273"/>
      <c r="P296" s="27"/>
      <c r="Q296" s="27"/>
      <c r="R296" s="27"/>
      <c r="S296" s="22"/>
      <c r="T296" s="22"/>
      <c r="U296" s="28"/>
    </row>
    <row r="297" ht="15.75" customHeight="1">
      <c r="A297" s="189"/>
      <c r="B297" s="22"/>
      <c r="C297" s="22"/>
      <c r="D297" s="22"/>
      <c r="E297" s="22"/>
      <c r="F297" s="22"/>
      <c r="G297" s="22"/>
      <c r="H297" s="22"/>
      <c r="I297" s="266"/>
      <c r="J297" s="272"/>
      <c r="K297" s="272"/>
      <c r="L297" s="272"/>
      <c r="M297" s="273"/>
      <c r="N297" s="273"/>
      <c r="O297" s="273"/>
      <c r="P297" s="27"/>
      <c r="Q297" s="27"/>
      <c r="R297" s="27"/>
      <c r="S297" s="22"/>
      <c r="T297" s="22"/>
      <c r="U297" s="28"/>
    </row>
    <row r="298" ht="15.75" customHeight="1">
      <c r="A298" s="189"/>
      <c r="B298" s="22"/>
      <c r="C298" s="22"/>
      <c r="D298" s="22"/>
      <c r="E298" s="22"/>
      <c r="F298" s="22"/>
      <c r="G298" s="22"/>
      <c r="H298" s="22"/>
      <c r="I298" s="266"/>
      <c r="J298" s="272"/>
      <c r="K298" s="272"/>
      <c r="L298" s="272"/>
      <c r="M298" s="273"/>
      <c r="N298" s="273"/>
      <c r="O298" s="273"/>
      <c r="P298" s="27"/>
      <c r="Q298" s="27"/>
      <c r="R298" s="27"/>
      <c r="S298" s="22"/>
      <c r="T298" s="22"/>
      <c r="U298" s="28"/>
    </row>
    <row r="299" ht="15.75" customHeight="1">
      <c r="A299" s="189"/>
      <c r="B299" s="22"/>
      <c r="C299" s="22"/>
      <c r="D299" s="22"/>
      <c r="E299" s="22"/>
      <c r="F299" s="22"/>
      <c r="G299" s="22"/>
      <c r="H299" s="22"/>
      <c r="I299" s="266"/>
      <c r="J299" s="272"/>
      <c r="K299" s="272"/>
      <c r="L299" s="272"/>
      <c r="M299" s="273"/>
      <c r="N299" s="273"/>
      <c r="O299" s="273"/>
      <c r="P299" s="27"/>
      <c r="Q299" s="27"/>
      <c r="R299" s="27"/>
      <c r="S299" s="22"/>
      <c r="T299" s="22"/>
      <c r="U299" s="28"/>
    </row>
    <row r="300" ht="15.75" customHeight="1">
      <c r="A300" s="189"/>
      <c r="B300" s="22"/>
      <c r="C300" s="22"/>
      <c r="D300" s="22"/>
      <c r="E300" s="22"/>
      <c r="F300" s="22"/>
      <c r="G300" s="22"/>
      <c r="H300" s="22"/>
      <c r="I300" s="266"/>
      <c r="J300" s="272"/>
      <c r="K300" s="272"/>
      <c r="L300" s="272"/>
      <c r="M300" s="273"/>
      <c r="N300" s="273"/>
      <c r="O300" s="273"/>
      <c r="P300" s="27"/>
      <c r="Q300" s="27"/>
      <c r="R300" s="27"/>
      <c r="S300" s="22"/>
      <c r="T300" s="22"/>
      <c r="U300" s="28"/>
    </row>
    <row r="301" ht="15.75" customHeight="1">
      <c r="A301" s="189"/>
      <c r="B301" s="22"/>
      <c r="C301" s="22"/>
      <c r="D301" s="22"/>
      <c r="E301" s="22"/>
      <c r="F301" s="22"/>
      <c r="G301" s="22"/>
      <c r="H301" s="22"/>
      <c r="I301" s="266"/>
      <c r="J301" s="272"/>
      <c r="K301" s="272"/>
      <c r="L301" s="272"/>
      <c r="M301" s="273"/>
      <c r="N301" s="273"/>
      <c r="O301" s="273"/>
      <c r="P301" s="27"/>
      <c r="Q301" s="27"/>
      <c r="R301" s="27"/>
      <c r="S301" s="22"/>
      <c r="T301" s="22"/>
      <c r="U301" s="28"/>
    </row>
    <row r="302" ht="15.75" customHeight="1">
      <c r="A302" s="189"/>
      <c r="B302" s="22"/>
      <c r="C302" s="22"/>
      <c r="D302" s="22"/>
      <c r="E302" s="22"/>
      <c r="F302" s="22"/>
      <c r="G302" s="22"/>
      <c r="H302" s="22"/>
      <c r="I302" s="266"/>
      <c r="J302" s="272"/>
      <c r="K302" s="272"/>
      <c r="L302" s="272"/>
      <c r="M302" s="273"/>
      <c r="N302" s="273"/>
      <c r="O302" s="273"/>
      <c r="P302" s="27"/>
      <c r="Q302" s="27"/>
      <c r="R302" s="27"/>
      <c r="S302" s="22"/>
      <c r="T302" s="22"/>
      <c r="U302" s="28"/>
    </row>
    <row r="303" ht="15.75" customHeight="1">
      <c r="A303" s="189"/>
      <c r="B303" s="22"/>
      <c r="C303" s="22"/>
      <c r="D303" s="22"/>
      <c r="E303" s="22"/>
      <c r="F303" s="22"/>
      <c r="G303" s="22"/>
      <c r="H303" s="22"/>
      <c r="I303" s="266"/>
      <c r="J303" s="272"/>
      <c r="K303" s="272"/>
      <c r="L303" s="272"/>
      <c r="M303" s="273"/>
      <c r="N303" s="273"/>
      <c r="O303" s="273"/>
      <c r="P303" s="27"/>
      <c r="Q303" s="27"/>
      <c r="R303" s="27"/>
      <c r="S303" s="22"/>
      <c r="T303" s="22"/>
      <c r="U303" s="28"/>
    </row>
    <row r="304" ht="15.75" customHeight="1">
      <c r="A304" s="189"/>
      <c r="B304" s="22"/>
      <c r="C304" s="22"/>
      <c r="D304" s="22"/>
      <c r="E304" s="22"/>
      <c r="F304" s="22"/>
      <c r="G304" s="22"/>
      <c r="H304" s="22"/>
      <c r="I304" s="266"/>
      <c r="J304" s="272"/>
      <c r="K304" s="272"/>
      <c r="L304" s="272"/>
      <c r="M304" s="273"/>
      <c r="N304" s="273"/>
      <c r="O304" s="273"/>
      <c r="P304" s="27"/>
      <c r="Q304" s="27"/>
      <c r="R304" s="27"/>
      <c r="S304" s="22"/>
      <c r="T304" s="22"/>
      <c r="U304" s="28"/>
    </row>
    <row r="305" ht="15.75" customHeight="1">
      <c r="A305" s="189"/>
      <c r="B305" s="22"/>
      <c r="C305" s="22"/>
      <c r="D305" s="22"/>
      <c r="E305" s="22"/>
      <c r="F305" s="22"/>
      <c r="G305" s="22"/>
      <c r="H305" s="22"/>
      <c r="I305" s="266"/>
      <c r="J305" s="272"/>
      <c r="K305" s="272"/>
      <c r="L305" s="272"/>
      <c r="M305" s="273"/>
      <c r="N305" s="273"/>
      <c r="O305" s="273"/>
      <c r="P305" s="27"/>
      <c r="Q305" s="27"/>
      <c r="R305" s="27"/>
      <c r="S305" s="22"/>
      <c r="T305" s="22"/>
      <c r="U305" s="28"/>
    </row>
    <row r="306" ht="15.75" customHeight="1">
      <c r="A306" s="189"/>
      <c r="B306" s="22"/>
      <c r="C306" s="22"/>
      <c r="D306" s="22"/>
      <c r="E306" s="22"/>
      <c r="F306" s="22"/>
      <c r="G306" s="22"/>
      <c r="H306" s="22"/>
      <c r="I306" s="266"/>
      <c r="J306" s="272"/>
      <c r="K306" s="272"/>
      <c r="L306" s="272"/>
      <c r="M306" s="273"/>
      <c r="N306" s="273"/>
      <c r="O306" s="273"/>
      <c r="P306" s="27"/>
      <c r="Q306" s="27"/>
      <c r="R306" s="27"/>
      <c r="S306" s="22"/>
      <c r="T306" s="22"/>
      <c r="U306" s="28"/>
    </row>
    <row r="307" ht="15.75" customHeight="1">
      <c r="A307" s="189"/>
      <c r="B307" s="22"/>
      <c r="C307" s="22"/>
      <c r="D307" s="22"/>
      <c r="E307" s="22"/>
      <c r="F307" s="22"/>
      <c r="G307" s="22"/>
      <c r="H307" s="22"/>
      <c r="I307" s="266"/>
      <c r="J307" s="272"/>
      <c r="K307" s="272"/>
      <c r="L307" s="272"/>
      <c r="M307" s="273"/>
      <c r="N307" s="273"/>
      <c r="O307" s="273"/>
      <c r="P307" s="27"/>
      <c r="Q307" s="27"/>
      <c r="R307" s="27"/>
      <c r="S307" s="22"/>
      <c r="T307" s="22"/>
      <c r="U307" s="28"/>
    </row>
    <row r="308" ht="15.75" customHeight="1">
      <c r="A308" s="189"/>
      <c r="B308" s="22"/>
      <c r="C308" s="22"/>
      <c r="D308" s="22"/>
      <c r="E308" s="22"/>
      <c r="F308" s="22"/>
      <c r="G308" s="22"/>
      <c r="H308" s="22"/>
      <c r="I308" s="266"/>
      <c r="J308" s="272"/>
      <c r="K308" s="272"/>
      <c r="L308" s="272"/>
      <c r="M308" s="273"/>
      <c r="N308" s="273"/>
      <c r="O308" s="273"/>
      <c r="P308" s="27"/>
      <c r="Q308" s="27"/>
      <c r="R308" s="27"/>
      <c r="S308" s="22"/>
      <c r="T308" s="22"/>
      <c r="U308" s="28"/>
    </row>
    <row r="309" ht="15.75" customHeight="1">
      <c r="A309" s="189"/>
      <c r="B309" s="22"/>
      <c r="C309" s="22"/>
      <c r="D309" s="22"/>
      <c r="E309" s="22"/>
      <c r="F309" s="22"/>
      <c r="G309" s="22"/>
      <c r="H309" s="22"/>
      <c r="I309" s="266"/>
      <c r="J309" s="272"/>
      <c r="K309" s="272"/>
      <c r="L309" s="272"/>
      <c r="M309" s="273"/>
      <c r="N309" s="273"/>
      <c r="O309" s="273"/>
      <c r="P309" s="27"/>
      <c r="Q309" s="27"/>
      <c r="R309" s="27"/>
      <c r="S309" s="22"/>
      <c r="T309" s="22"/>
      <c r="U309" s="28"/>
    </row>
    <row r="310" ht="15.75" customHeight="1">
      <c r="A310" s="189"/>
      <c r="B310" s="22"/>
      <c r="C310" s="22"/>
      <c r="D310" s="22"/>
      <c r="E310" s="22"/>
      <c r="F310" s="22"/>
      <c r="G310" s="22"/>
      <c r="H310" s="22"/>
      <c r="I310" s="266"/>
      <c r="J310" s="272"/>
      <c r="K310" s="272"/>
      <c r="L310" s="272"/>
      <c r="M310" s="273"/>
      <c r="N310" s="273"/>
      <c r="O310" s="273"/>
      <c r="P310" s="27"/>
      <c r="Q310" s="27"/>
      <c r="R310" s="27"/>
      <c r="S310" s="22"/>
      <c r="T310" s="22"/>
      <c r="U310" s="28"/>
    </row>
    <row r="311" ht="15.75" customHeight="1">
      <c r="A311" s="189"/>
      <c r="B311" s="22"/>
      <c r="C311" s="22"/>
      <c r="D311" s="22"/>
      <c r="E311" s="22"/>
      <c r="F311" s="22"/>
      <c r="G311" s="22"/>
      <c r="H311" s="22"/>
      <c r="I311" s="266"/>
      <c r="J311" s="272"/>
      <c r="K311" s="272"/>
      <c r="L311" s="272"/>
      <c r="M311" s="273"/>
      <c r="N311" s="273"/>
      <c r="O311" s="273"/>
      <c r="P311" s="27"/>
      <c r="Q311" s="27"/>
      <c r="R311" s="27"/>
      <c r="S311" s="22"/>
      <c r="T311" s="22"/>
      <c r="U311" s="28"/>
    </row>
    <row r="312" ht="15.75" customHeight="1">
      <c r="A312" s="189"/>
      <c r="B312" s="22"/>
      <c r="C312" s="22"/>
      <c r="D312" s="22"/>
      <c r="E312" s="22"/>
      <c r="F312" s="22"/>
      <c r="G312" s="22"/>
      <c r="H312" s="22"/>
      <c r="I312" s="266"/>
      <c r="J312" s="272"/>
      <c r="K312" s="272"/>
      <c r="L312" s="272"/>
      <c r="M312" s="273"/>
      <c r="N312" s="273"/>
      <c r="O312" s="273"/>
      <c r="P312" s="27"/>
      <c r="Q312" s="27"/>
      <c r="R312" s="27"/>
      <c r="S312" s="22"/>
      <c r="T312" s="22"/>
      <c r="U312" s="28"/>
    </row>
    <row r="313" ht="15.75" customHeight="1">
      <c r="A313" s="189"/>
      <c r="B313" s="22"/>
      <c r="C313" s="22"/>
      <c r="D313" s="22"/>
      <c r="E313" s="22"/>
      <c r="F313" s="22"/>
      <c r="G313" s="22"/>
      <c r="H313" s="22"/>
      <c r="I313" s="266"/>
      <c r="J313" s="272"/>
      <c r="K313" s="272"/>
      <c r="L313" s="272"/>
      <c r="M313" s="273"/>
      <c r="N313" s="273"/>
      <c r="O313" s="273"/>
      <c r="P313" s="27"/>
      <c r="Q313" s="27"/>
      <c r="R313" s="27"/>
      <c r="S313" s="22"/>
      <c r="T313" s="22"/>
      <c r="U313" s="28"/>
    </row>
    <row r="314" ht="15.75" customHeight="1">
      <c r="A314" s="189"/>
      <c r="B314" s="22"/>
      <c r="C314" s="22"/>
      <c r="D314" s="22"/>
      <c r="E314" s="22"/>
      <c r="F314" s="22"/>
      <c r="G314" s="22"/>
      <c r="H314" s="22"/>
      <c r="I314" s="266"/>
      <c r="J314" s="272"/>
      <c r="K314" s="272"/>
      <c r="L314" s="272"/>
      <c r="M314" s="273"/>
      <c r="N314" s="273"/>
      <c r="O314" s="273"/>
      <c r="P314" s="27"/>
      <c r="Q314" s="27"/>
      <c r="R314" s="27"/>
      <c r="S314" s="22"/>
      <c r="T314" s="22"/>
      <c r="U314" s="28"/>
    </row>
    <row r="315" ht="15.75" customHeight="1">
      <c r="A315" s="189"/>
      <c r="B315" s="22"/>
      <c r="C315" s="22"/>
      <c r="D315" s="22"/>
      <c r="E315" s="22"/>
      <c r="F315" s="22"/>
      <c r="G315" s="22"/>
      <c r="H315" s="22"/>
      <c r="I315" s="266"/>
      <c r="J315" s="272"/>
      <c r="K315" s="272"/>
      <c r="L315" s="272"/>
      <c r="M315" s="273"/>
      <c r="N315" s="273"/>
      <c r="O315" s="273"/>
      <c r="P315" s="27"/>
      <c r="Q315" s="27"/>
      <c r="R315" s="27"/>
      <c r="S315" s="22"/>
      <c r="T315" s="22"/>
      <c r="U315" s="28"/>
    </row>
    <row r="316" ht="15.75" customHeight="1">
      <c r="A316" s="189"/>
      <c r="B316" s="22"/>
      <c r="C316" s="22"/>
      <c r="D316" s="22"/>
      <c r="E316" s="22"/>
      <c r="F316" s="22"/>
      <c r="G316" s="22"/>
      <c r="H316" s="22"/>
      <c r="I316" s="266"/>
      <c r="J316" s="272"/>
      <c r="K316" s="272"/>
      <c r="L316" s="272"/>
      <c r="M316" s="273"/>
      <c r="N316" s="273"/>
      <c r="O316" s="273"/>
      <c r="P316" s="27"/>
      <c r="Q316" s="27"/>
      <c r="R316" s="27"/>
      <c r="S316" s="22"/>
      <c r="T316" s="22"/>
      <c r="U316" s="28"/>
    </row>
    <row r="317" ht="15.75" customHeight="1">
      <c r="A317" s="189"/>
      <c r="B317" s="22"/>
      <c r="C317" s="22"/>
      <c r="D317" s="22"/>
      <c r="E317" s="22"/>
      <c r="F317" s="22"/>
      <c r="G317" s="22"/>
      <c r="H317" s="22"/>
      <c r="I317" s="266"/>
      <c r="J317" s="272"/>
      <c r="K317" s="272"/>
      <c r="L317" s="272"/>
      <c r="M317" s="273"/>
      <c r="N317" s="273"/>
      <c r="O317" s="273"/>
      <c r="P317" s="27"/>
      <c r="Q317" s="27"/>
      <c r="R317" s="27"/>
      <c r="S317" s="22"/>
      <c r="T317" s="22"/>
      <c r="U317" s="28"/>
    </row>
    <row r="318" ht="15.75" customHeight="1">
      <c r="A318" s="189"/>
      <c r="B318" s="22"/>
      <c r="C318" s="22"/>
      <c r="D318" s="22"/>
      <c r="E318" s="22"/>
      <c r="F318" s="22"/>
      <c r="G318" s="22"/>
      <c r="H318" s="22"/>
      <c r="I318" s="266"/>
      <c r="J318" s="272"/>
      <c r="K318" s="272"/>
      <c r="L318" s="272"/>
      <c r="M318" s="273"/>
      <c r="N318" s="273"/>
      <c r="O318" s="273"/>
      <c r="P318" s="27"/>
      <c r="Q318" s="27"/>
      <c r="R318" s="27"/>
      <c r="S318" s="22"/>
      <c r="T318" s="22"/>
      <c r="U318" s="28"/>
    </row>
    <row r="319" ht="15.75" customHeight="1">
      <c r="A319" s="189"/>
      <c r="B319" s="22"/>
      <c r="C319" s="22"/>
      <c r="D319" s="22"/>
      <c r="E319" s="22"/>
      <c r="F319" s="22"/>
      <c r="G319" s="22"/>
      <c r="H319" s="22"/>
      <c r="I319" s="266"/>
      <c r="J319" s="272"/>
      <c r="K319" s="272"/>
      <c r="L319" s="272"/>
      <c r="M319" s="273"/>
      <c r="N319" s="273"/>
      <c r="O319" s="273"/>
      <c r="P319" s="27"/>
      <c r="Q319" s="27"/>
      <c r="R319" s="27"/>
      <c r="S319" s="22"/>
      <c r="T319" s="22"/>
      <c r="U319" s="28"/>
    </row>
    <row r="320" ht="15.75" customHeight="1">
      <c r="A320" s="189"/>
      <c r="B320" s="22"/>
      <c r="C320" s="22"/>
      <c r="D320" s="22"/>
      <c r="E320" s="22"/>
      <c r="F320" s="22"/>
      <c r="G320" s="22"/>
      <c r="H320" s="22"/>
      <c r="I320" s="266"/>
      <c r="J320" s="272"/>
      <c r="K320" s="272"/>
      <c r="L320" s="272"/>
      <c r="M320" s="273"/>
      <c r="N320" s="273"/>
      <c r="O320" s="273"/>
      <c r="P320" s="27"/>
      <c r="Q320" s="27"/>
      <c r="R320" s="27"/>
      <c r="S320" s="22"/>
      <c r="T320" s="22"/>
      <c r="U320" s="28"/>
    </row>
    <row r="321" ht="15.75" customHeight="1">
      <c r="A321" s="189"/>
      <c r="B321" s="22"/>
      <c r="C321" s="22"/>
      <c r="D321" s="22"/>
      <c r="E321" s="22"/>
      <c r="F321" s="22"/>
      <c r="G321" s="22"/>
      <c r="H321" s="22"/>
      <c r="I321" s="266"/>
      <c r="J321" s="272"/>
      <c r="K321" s="272"/>
      <c r="L321" s="272"/>
      <c r="M321" s="273"/>
      <c r="N321" s="273"/>
      <c r="O321" s="273"/>
      <c r="P321" s="27"/>
      <c r="Q321" s="27"/>
      <c r="R321" s="27"/>
      <c r="S321" s="22"/>
      <c r="T321" s="22"/>
      <c r="U321" s="28"/>
    </row>
    <row r="322" ht="15.75" customHeight="1">
      <c r="A322" s="189"/>
      <c r="B322" s="22"/>
      <c r="C322" s="22"/>
      <c r="D322" s="22"/>
      <c r="E322" s="22"/>
      <c r="F322" s="22"/>
      <c r="G322" s="22"/>
      <c r="H322" s="22"/>
      <c r="I322" s="266"/>
      <c r="J322" s="272"/>
      <c r="K322" s="272"/>
      <c r="L322" s="272"/>
      <c r="M322" s="273"/>
      <c r="N322" s="273"/>
      <c r="O322" s="273"/>
      <c r="P322" s="27"/>
      <c r="Q322" s="27"/>
      <c r="R322" s="27"/>
      <c r="S322" s="22"/>
      <c r="T322" s="22"/>
      <c r="U322" s="28"/>
    </row>
    <row r="323" ht="15.75" customHeight="1">
      <c r="A323" s="189"/>
      <c r="B323" s="22"/>
      <c r="C323" s="22"/>
      <c r="D323" s="22"/>
      <c r="E323" s="22"/>
      <c r="F323" s="22"/>
      <c r="G323" s="22"/>
      <c r="H323" s="22"/>
      <c r="I323" s="266"/>
      <c r="J323" s="272"/>
      <c r="K323" s="272"/>
      <c r="L323" s="272"/>
      <c r="M323" s="273"/>
      <c r="N323" s="273"/>
      <c r="O323" s="273"/>
      <c r="P323" s="27"/>
      <c r="Q323" s="27"/>
      <c r="R323" s="27"/>
      <c r="S323" s="22"/>
      <c r="T323" s="22"/>
      <c r="U323" s="28"/>
    </row>
    <row r="324" ht="15.75" customHeight="1">
      <c r="A324" s="189"/>
      <c r="B324" s="22"/>
      <c r="C324" s="22"/>
      <c r="D324" s="22"/>
      <c r="E324" s="22"/>
      <c r="F324" s="22"/>
      <c r="G324" s="22"/>
      <c r="H324" s="22"/>
      <c r="I324" s="266"/>
      <c r="J324" s="272"/>
      <c r="K324" s="272"/>
      <c r="L324" s="272"/>
      <c r="M324" s="273"/>
      <c r="N324" s="273"/>
      <c r="O324" s="273"/>
      <c r="P324" s="27"/>
      <c r="Q324" s="27"/>
      <c r="R324" s="27"/>
      <c r="S324" s="22"/>
      <c r="T324" s="22"/>
      <c r="U324" s="28"/>
    </row>
    <row r="325" ht="15.75" customHeight="1">
      <c r="A325" s="189"/>
      <c r="B325" s="22"/>
      <c r="C325" s="22"/>
      <c r="D325" s="22"/>
      <c r="E325" s="22"/>
      <c r="F325" s="22"/>
      <c r="G325" s="22"/>
      <c r="H325" s="22"/>
      <c r="I325" s="266"/>
      <c r="J325" s="272"/>
      <c r="K325" s="272"/>
      <c r="L325" s="272"/>
      <c r="M325" s="273"/>
      <c r="N325" s="273"/>
      <c r="O325" s="273"/>
      <c r="P325" s="27"/>
      <c r="Q325" s="27"/>
      <c r="R325" s="27"/>
      <c r="S325" s="22"/>
      <c r="T325" s="22"/>
      <c r="U325" s="28"/>
    </row>
    <row r="326" ht="15.75" customHeight="1">
      <c r="A326" s="189"/>
      <c r="B326" s="22"/>
      <c r="C326" s="22"/>
      <c r="D326" s="22"/>
      <c r="E326" s="22"/>
      <c r="F326" s="22"/>
      <c r="G326" s="22"/>
      <c r="H326" s="22"/>
      <c r="I326" s="266"/>
      <c r="J326" s="272"/>
      <c r="K326" s="272"/>
      <c r="L326" s="272"/>
      <c r="M326" s="273"/>
      <c r="N326" s="273"/>
      <c r="O326" s="273"/>
      <c r="P326" s="27"/>
      <c r="Q326" s="27"/>
      <c r="R326" s="27"/>
      <c r="S326" s="22"/>
      <c r="T326" s="22"/>
      <c r="U326" s="28"/>
    </row>
    <row r="327" ht="15.75" customHeight="1">
      <c r="A327" s="189"/>
      <c r="B327" s="22"/>
      <c r="C327" s="22"/>
      <c r="D327" s="22"/>
      <c r="E327" s="22"/>
      <c r="F327" s="22"/>
      <c r="G327" s="22"/>
      <c r="H327" s="22"/>
      <c r="I327" s="266"/>
      <c r="J327" s="272"/>
      <c r="K327" s="272"/>
      <c r="L327" s="272"/>
      <c r="M327" s="273"/>
      <c r="N327" s="273"/>
      <c r="O327" s="273"/>
      <c r="P327" s="27"/>
      <c r="Q327" s="27"/>
      <c r="R327" s="27"/>
      <c r="S327" s="22"/>
      <c r="T327" s="22"/>
      <c r="U327" s="28"/>
    </row>
    <row r="328" ht="15.75" customHeight="1">
      <c r="A328" s="189"/>
      <c r="B328" s="22"/>
      <c r="C328" s="22"/>
      <c r="D328" s="22"/>
      <c r="E328" s="22"/>
      <c r="F328" s="22"/>
      <c r="G328" s="22"/>
      <c r="H328" s="22"/>
      <c r="I328" s="266"/>
      <c r="J328" s="272"/>
      <c r="K328" s="272"/>
      <c r="L328" s="272"/>
      <c r="M328" s="273"/>
      <c r="N328" s="273"/>
      <c r="O328" s="273"/>
      <c r="P328" s="27"/>
      <c r="Q328" s="27"/>
      <c r="R328" s="27"/>
      <c r="S328" s="22"/>
      <c r="T328" s="22"/>
      <c r="U328" s="28"/>
    </row>
    <row r="329" ht="15.75" customHeight="1">
      <c r="A329" s="189"/>
      <c r="B329" s="22"/>
      <c r="C329" s="22"/>
      <c r="D329" s="22"/>
      <c r="E329" s="22"/>
      <c r="F329" s="22"/>
      <c r="G329" s="22"/>
      <c r="H329" s="22"/>
      <c r="I329" s="266"/>
      <c r="J329" s="272"/>
      <c r="K329" s="272"/>
      <c r="L329" s="272"/>
      <c r="M329" s="273"/>
      <c r="N329" s="273"/>
      <c r="O329" s="273"/>
      <c r="P329" s="27"/>
      <c r="Q329" s="27"/>
      <c r="R329" s="27"/>
      <c r="S329" s="22"/>
      <c r="T329" s="22"/>
      <c r="U329" s="28"/>
    </row>
    <row r="330" ht="15.75" customHeight="1">
      <c r="A330" s="189"/>
      <c r="B330" s="22"/>
      <c r="C330" s="22"/>
      <c r="D330" s="22"/>
      <c r="E330" s="22"/>
      <c r="F330" s="22"/>
      <c r="G330" s="22"/>
      <c r="H330" s="22"/>
      <c r="I330" s="266"/>
      <c r="J330" s="272"/>
      <c r="K330" s="272"/>
      <c r="L330" s="272"/>
      <c r="M330" s="273"/>
      <c r="N330" s="273"/>
      <c r="O330" s="273"/>
      <c r="P330" s="27"/>
      <c r="Q330" s="27"/>
      <c r="R330" s="27"/>
      <c r="S330" s="22"/>
      <c r="T330" s="22"/>
      <c r="U330" s="28"/>
    </row>
    <row r="331" ht="15.75" customHeight="1">
      <c r="A331" s="189"/>
      <c r="B331" s="22"/>
      <c r="C331" s="22"/>
      <c r="D331" s="22"/>
      <c r="E331" s="22"/>
      <c r="F331" s="22"/>
      <c r="G331" s="22"/>
      <c r="H331" s="22"/>
      <c r="I331" s="266"/>
      <c r="J331" s="272"/>
      <c r="K331" s="272"/>
      <c r="L331" s="272"/>
      <c r="M331" s="273"/>
      <c r="N331" s="273"/>
      <c r="O331" s="273"/>
      <c r="P331" s="27"/>
      <c r="Q331" s="27"/>
      <c r="R331" s="27"/>
      <c r="S331" s="22"/>
      <c r="T331" s="22"/>
      <c r="U331" s="28"/>
    </row>
    <row r="332" ht="15.75" customHeight="1">
      <c r="A332" s="189"/>
      <c r="B332" s="22"/>
      <c r="C332" s="22"/>
      <c r="D332" s="22"/>
      <c r="E332" s="22"/>
      <c r="F332" s="22"/>
      <c r="G332" s="22"/>
      <c r="H332" s="22"/>
      <c r="I332" s="266"/>
      <c r="J332" s="272"/>
      <c r="K332" s="272"/>
      <c r="L332" s="272"/>
      <c r="M332" s="273"/>
      <c r="N332" s="273"/>
      <c r="O332" s="273"/>
      <c r="P332" s="27"/>
      <c r="Q332" s="27"/>
      <c r="R332" s="27"/>
      <c r="S332" s="22"/>
      <c r="T332" s="22"/>
      <c r="U332" s="28"/>
    </row>
    <row r="333" ht="15.75" customHeight="1">
      <c r="A333" s="189"/>
      <c r="B333" s="22"/>
      <c r="C333" s="22"/>
      <c r="D333" s="22"/>
      <c r="E333" s="22"/>
      <c r="F333" s="22"/>
      <c r="G333" s="22"/>
      <c r="H333" s="22"/>
      <c r="I333" s="266"/>
      <c r="J333" s="272"/>
      <c r="K333" s="272"/>
      <c r="L333" s="272"/>
      <c r="M333" s="273"/>
      <c r="N333" s="273"/>
      <c r="O333" s="273"/>
      <c r="P333" s="27"/>
      <c r="Q333" s="27"/>
      <c r="R333" s="27"/>
      <c r="S333" s="22"/>
      <c r="T333" s="22"/>
      <c r="U333" s="28"/>
    </row>
    <row r="334" ht="15.75" customHeight="1">
      <c r="A334" s="189"/>
      <c r="B334" s="22"/>
      <c r="C334" s="22"/>
      <c r="D334" s="22"/>
      <c r="E334" s="22"/>
      <c r="F334" s="22"/>
      <c r="G334" s="22"/>
      <c r="H334" s="22"/>
      <c r="I334" s="266"/>
      <c r="J334" s="272"/>
      <c r="K334" s="272"/>
      <c r="L334" s="272"/>
      <c r="M334" s="273"/>
      <c r="N334" s="273"/>
      <c r="O334" s="273"/>
      <c r="P334" s="27"/>
      <c r="Q334" s="27"/>
      <c r="R334" s="27"/>
      <c r="S334" s="22"/>
      <c r="T334" s="22"/>
      <c r="U334" s="28"/>
    </row>
    <row r="335" ht="15.75" customHeight="1">
      <c r="A335" s="189"/>
      <c r="B335" s="22"/>
      <c r="C335" s="22"/>
      <c r="D335" s="22"/>
      <c r="E335" s="22"/>
      <c r="F335" s="22"/>
      <c r="G335" s="22"/>
      <c r="H335" s="22"/>
      <c r="I335" s="266"/>
      <c r="J335" s="272"/>
      <c r="K335" s="272"/>
      <c r="L335" s="272"/>
      <c r="M335" s="273"/>
      <c r="N335" s="273"/>
      <c r="O335" s="273"/>
      <c r="P335" s="27"/>
      <c r="Q335" s="27"/>
      <c r="R335" s="27"/>
      <c r="S335" s="22"/>
      <c r="T335" s="22"/>
      <c r="U335" s="28"/>
    </row>
    <row r="336" ht="15.75" customHeight="1">
      <c r="A336" s="189"/>
      <c r="B336" s="22"/>
      <c r="C336" s="22"/>
      <c r="D336" s="22"/>
      <c r="E336" s="22"/>
      <c r="F336" s="22"/>
      <c r="G336" s="22"/>
      <c r="H336" s="22"/>
      <c r="I336" s="266"/>
      <c r="J336" s="272"/>
      <c r="K336" s="272"/>
      <c r="L336" s="272"/>
      <c r="M336" s="273"/>
      <c r="N336" s="273"/>
      <c r="O336" s="273"/>
      <c r="P336" s="27"/>
      <c r="Q336" s="27"/>
      <c r="R336" s="27"/>
      <c r="S336" s="22"/>
      <c r="T336" s="22"/>
      <c r="U336" s="28"/>
    </row>
    <row r="337" ht="15.75" customHeight="1">
      <c r="A337" s="189"/>
      <c r="B337" s="22"/>
      <c r="C337" s="22"/>
      <c r="D337" s="22"/>
      <c r="E337" s="22"/>
      <c r="F337" s="22"/>
      <c r="G337" s="22"/>
      <c r="H337" s="22"/>
      <c r="I337" s="266"/>
      <c r="J337" s="272"/>
      <c r="K337" s="272"/>
      <c r="L337" s="272"/>
      <c r="M337" s="273"/>
      <c r="N337" s="273"/>
      <c r="O337" s="273"/>
      <c r="P337" s="27"/>
      <c r="Q337" s="27"/>
      <c r="R337" s="27"/>
      <c r="S337" s="22"/>
      <c r="T337" s="22"/>
      <c r="U337" s="28"/>
    </row>
    <row r="338" ht="15.75" customHeight="1">
      <c r="A338" s="189"/>
      <c r="B338" s="22"/>
      <c r="C338" s="22"/>
      <c r="D338" s="22"/>
      <c r="E338" s="22"/>
      <c r="F338" s="22"/>
      <c r="G338" s="22"/>
      <c r="H338" s="22"/>
      <c r="I338" s="266"/>
      <c r="J338" s="272"/>
      <c r="K338" s="272"/>
      <c r="L338" s="272"/>
      <c r="M338" s="273"/>
      <c r="N338" s="273"/>
      <c r="O338" s="273"/>
      <c r="P338" s="27"/>
      <c r="Q338" s="27"/>
      <c r="R338" s="27"/>
      <c r="S338" s="22"/>
      <c r="T338" s="22"/>
      <c r="U338" s="28"/>
    </row>
    <row r="339" ht="15.75" customHeight="1">
      <c r="A339" s="189"/>
      <c r="B339" s="22"/>
      <c r="C339" s="22"/>
      <c r="D339" s="22"/>
      <c r="E339" s="22"/>
      <c r="F339" s="22"/>
      <c r="G339" s="22"/>
      <c r="H339" s="22"/>
      <c r="I339" s="266"/>
      <c r="J339" s="272"/>
      <c r="K339" s="272"/>
      <c r="L339" s="272"/>
      <c r="M339" s="273"/>
      <c r="N339" s="273"/>
      <c r="O339" s="273"/>
      <c r="P339" s="27"/>
      <c r="Q339" s="27"/>
      <c r="R339" s="27"/>
      <c r="S339" s="22"/>
      <c r="T339" s="22"/>
      <c r="U339" s="28"/>
    </row>
    <row r="340" ht="15.75" customHeight="1">
      <c r="A340" s="189"/>
      <c r="B340" s="22"/>
      <c r="C340" s="22"/>
      <c r="D340" s="22"/>
      <c r="E340" s="22"/>
      <c r="F340" s="22"/>
      <c r="G340" s="22"/>
      <c r="H340" s="22"/>
      <c r="I340" s="266"/>
      <c r="J340" s="272"/>
      <c r="K340" s="272"/>
      <c r="L340" s="272"/>
      <c r="M340" s="273"/>
      <c r="N340" s="273"/>
      <c r="O340" s="273"/>
      <c r="P340" s="27"/>
      <c r="Q340" s="27"/>
      <c r="R340" s="27"/>
      <c r="S340" s="22"/>
      <c r="T340" s="22"/>
      <c r="U340" s="28"/>
    </row>
    <row r="341" ht="15.75" customHeight="1">
      <c r="A341" s="189"/>
      <c r="B341" s="22"/>
      <c r="C341" s="22"/>
      <c r="D341" s="22"/>
      <c r="E341" s="22"/>
      <c r="F341" s="22"/>
      <c r="G341" s="22"/>
      <c r="H341" s="22"/>
      <c r="I341" s="266"/>
      <c r="J341" s="272"/>
      <c r="K341" s="272"/>
      <c r="L341" s="272"/>
      <c r="M341" s="273"/>
      <c r="N341" s="273"/>
      <c r="O341" s="273"/>
      <c r="P341" s="27"/>
      <c r="Q341" s="27"/>
      <c r="R341" s="27"/>
      <c r="S341" s="22"/>
      <c r="T341" s="22"/>
      <c r="U341" s="28"/>
    </row>
    <row r="342" ht="15.75" customHeight="1">
      <c r="A342" s="189"/>
      <c r="B342" s="22"/>
      <c r="C342" s="22"/>
      <c r="D342" s="22"/>
      <c r="E342" s="22"/>
      <c r="F342" s="22"/>
      <c r="G342" s="22"/>
      <c r="H342" s="22"/>
      <c r="I342" s="266"/>
      <c r="J342" s="272"/>
      <c r="K342" s="272"/>
      <c r="L342" s="272"/>
      <c r="M342" s="273"/>
      <c r="N342" s="273"/>
      <c r="O342" s="273"/>
      <c r="P342" s="27"/>
      <c r="Q342" s="27"/>
      <c r="R342" s="27"/>
      <c r="S342" s="22"/>
      <c r="T342" s="22"/>
      <c r="U342" s="28"/>
    </row>
    <row r="343" ht="15.75" customHeight="1">
      <c r="A343" s="189"/>
      <c r="B343" s="22"/>
      <c r="C343" s="22"/>
      <c r="D343" s="22"/>
      <c r="E343" s="22"/>
      <c r="F343" s="22"/>
      <c r="G343" s="22"/>
      <c r="H343" s="22"/>
      <c r="I343" s="266"/>
      <c r="J343" s="272"/>
      <c r="K343" s="272"/>
      <c r="L343" s="272"/>
      <c r="M343" s="273"/>
      <c r="N343" s="273"/>
      <c r="O343" s="273"/>
      <c r="P343" s="27"/>
      <c r="Q343" s="27"/>
      <c r="R343" s="27"/>
      <c r="S343" s="22"/>
      <c r="T343" s="22"/>
      <c r="U343" s="28"/>
    </row>
    <row r="344" ht="15.75" customHeight="1">
      <c r="A344" s="189"/>
      <c r="B344" s="22"/>
      <c r="C344" s="22"/>
      <c r="D344" s="22"/>
      <c r="E344" s="22"/>
      <c r="F344" s="22"/>
      <c r="G344" s="22"/>
      <c r="H344" s="22"/>
      <c r="I344" s="266"/>
      <c r="J344" s="272"/>
      <c r="K344" s="272"/>
      <c r="L344" s="272"/>
      <c r="M344" s="273"/>
      <c r="N344" s="273"/>
      <c r="O344" s="273"/>
      <c r="P344" s="27"/>
      <c r="Q344" s="27"/>
      <c r="R344" s="27"/>
      <c r="S344" s="22"/>
      <c r="T344" s="22"/>
      <c r="U344" s="28"/>
    </row>
    <row r="345" ht="15.75" customHeight="1">
      <c r="A345" s="189"/>
      <c r="B345" s="22"/>
      <c r="C345" s="22"/>
      <c r="D345" s="22"/>
      <c r="E345" s="22"/>
      <c r="F345" s="22"/>
      <c r="G345" s="22"/>
      <c r="H345" s="22"/>
      <c r="I345" s="266"/>
      <c r="J345" s="272"/>
      <c r="K345" s="272"/>
      <c r="L345" s="272"/>
      <c r="M345" s="273"/>
      <c r="N345" s="273"/>
      <c r="O345" s="273"/>
      <c r="P345" s="27"/>
      <c r="Q345" s="27"/>
      <c r="R345" s="27"/>
      <c r="S345" s="22"/>
      <c r="T345" s="22"/>
      <c r="U345" s="28"/>
    </row>
    <row r="346" ht="15.75" customHeight="1">
      <c r="A346" s="189"/>
      <c r="B346" s="22"/>
      <c r="C346" s="22"/>
      <c r="D346" s="22"/>
      <c r="E346" s="22"/>
      <c r="F346" s="22"/>
      <c r="G346" s="22"/>
      <c r="H346" s="22"/>
      <c r="I346" s="266"/>
      <c r="J346" s="272"/>
      <c r="K346" s="272"/>
      <c r="L346" s="272"/>
      <c r="M346" s="273"/>
      <c r="N346" s="273"/>
      <c r="O346" s="273"/>
      <c r="P346" s="27"/>
      <c r="Q346" s="27"/>
      <c r="R346" s="27"/>
      <c r="S346" s="22"/>
      <c r="T346" s="22"/>
      <c r="U346" s="28"/>
    </row>
    <row r="347" ht="15.75" customHeight="1">
      <c r="A347" s="189"/>
      <c r="B347" s="22"/>
      <c r="C347" s="22"/>
      <c r="D347" s="22"/>
      <c r="E347" s="22"/>
      <c r="F347" s="22"/>
      <c r="G347" s="22"/>
      <c r="H347" s="22"/>
      <c r="I347" s="266"/>
      <c r="J347" s="272"/>
      <c r="K347" s="272"/>
      <c r="L347" s="272"/>
      <c r="M347" s="273"/>
      <c r="N347" s="273"/>
      <c r="O347" s="273"/>
      <c r="P347" s="27"/>
      <c r="Q347" s="27"/>
      <c r="R347" s="27"/>
      <c r="S347" s="22"/>
      <c r="T347" s="22"/>
      <c r="U347" s="28"/>
    </row>
    <row r="348" ht="15.75" customHeight="1">
      <c r="A348" s="189"/>
      <c r="B348" s="22"/>
      <c r="C348" s="22"/>
      <c r="D348" s="22"/>
      <c r="E348" s="22"/>
      <c r="F348" s="22"/>
      <c r="G348" s="22"/>
      <c r="H348" s="22"/>
      <c r="I348" s="266"/>
      <c r="J348" s="272"/>
      <c r="K348" s="272"/>
      <c r="L348" s="272"/>
      <c r="M348" s="273"/>
      <c r="N348" s="273"/>
      <c r="O348" s="273"/>
      <c r="P348" s="27"/>
      <c r="Q348" s="27"/>
      <c r="R348" s="27"/>
      <c r="S348" s="22"/>
      <c r="T348" s="22"/>
      <c r="U348" s="28"/>
    </row>
    <row r="349" ht="15.75" customHeight="1">
      <c r="A349" s="189"/>
      <c r="B349" s="22"/>
      <c r="C349" s="22"/>
      <c r="D349" s="22"/>
      <c r="E349" s="22"/>
      <c r="F349" s="22"/>
      <c r="G349" s="22"/>
      <c r="H349" s="22"/>
      <c r="I349" s="266"/>
      <c r="J349" s="272"/>
      <c r="K349" s="272"/>
      <c r="L349" s="272"/>
      <c r="M349" s="273"/>
      <c r="N349" s="273"/>
      <c r="O349" s="273"/>
      <c r="P349" s="27"/>
      <c r="Q349" s="27"/>
      <c r="R349" s="27"/>
      <c r="S349" s="22"/>
      <c r="T349" s="22"/>
      <c r="U349" s="28"/>
    </row>
    <row r="350" ht="15.75" customHeight="1">
      <c r="A350" s="189"/>
      <c r="B350" s="22"/>
      <c r="C350" s="22"/>
      <c r="D350" s="22"/>
      <c r="E350" s="22"/>
      <c r="F350" s="22"/>
      <c r="G350" s="22"/>
      <c r="H350" s="22"/>
      <c r="I350" s="266"/>
      <c r="J350" s="272"/>
      <c r="K350" s="272"/>
      <c r="L350" s="272"/>
      <c r="M350" s="273"/>
      <c r="N350" s="273"/>
      <c r="O350" s="273"/>
      <c r="P350" s="27"/>
      <c r="Q350" s="27"/>
      <c r="R350" s="27"/>
      <c r="S350" s="22"/>
      <c r="T350" s="22"/>
      <c r="U350" s="28"/>
    </row>
    <row r="351" ht="15.75" customHeight="1">
      <c r="A351" s="189"/>
      <c r="B351" s="22"/>
      <c r="C351" s="22"/>
      <c r="D351" s="22"/>
      <c r="E351" s="22"/>
      <c r="F351" s="22"/>
      <c r="G351" s="22"/>
      <c r="H351" s="22"/>
      <c r="I351" s="266"/>
      <c r="J351" s="272"/>
      <c r="K351" s="272"/>
      <c r="L351" s="272"/>
      <c r="M351" s="273"/>
      <c r="N351" s="273"/>
      <c r="O351" s="273"/>
      <c r="P351" s="27"/>
      <c r="Q351" s="27"/>
      <c r="R351" s="27"/>
      <c r="S351" s="22"/>
      <c r="T351" s="22"/>
      <c r="U351" s="28"/>
    </row>
    <row r="352" ht="15.75" customHeight="1">
      <c r="A352" s="189"/>
      <c r="B352" s="22"/>
      <c r="C352" s="22"/>
      <c r="D352" s="22"/>
      <c r="E352" s="22"/>
      <c r="F352" s="22"/>
      <c r="G352" s="22"/>
      <c r="H352" s="22"/>
      <c r="I352" s="266"/>
      <c r="J352" s="272"/>
      <c r="K352" s="272"/>
      <c r="L352" s="272"/>
      <c r="M352" s="273"/>
      <c r="N352" s="273"/>
      <c r="O352" s="273"/>
      <c r="P352" s="27"/>
      <c r="Q352" s="27"/>
      <c r="R352" s="27"/>
      <c r="S352" s="22"/>
      <c r="T352" s="22"/>
      <c r="U352" s="28"/>
    </row>
    <row r="353" ht="15.75" customHeight="1">
      <c r="A353" s="189"/>
      <c r="B353" s="22"/>
      <c r="C353" s="22"/>
      <c r="D353" s="22"/>
      <c r="E353" s="22"/>
      <c r="F353" s="22"/>
      <c r="G353" s="22"/>
      <c r="H353" s="22"/>
      <c r="I353" s="266"/>
      <c r="J353" s="272"/>
      <c r="K353" s="272"/>
      <c r="L353" s="272"/>
      <c r="M353" s="273"/>
      <c r="N353" s="273"/>
      <c r="O353" s="273"/>
      <c r="P353" s="27"/>
      <c r="Q353" s="27"/>
      <c r="R353" s="27"/>
      <c r="S353" s="22"/>
      <c r="T353" s="22"/>
      <c r="U353" s="28"/>
    </row>
    <row r="354" ht="15.75" customHeight="1">
      <c r="A354" s="189"/>
      <c r="B354" s="22"/>
      <c r="C354" s="22"/>
      <c r="D354" s="22"/>
      <c r="E354" s="22"/>
      <c r="F354" s="22"/>
      <c r="G354" s="22"/>
      <c r="H354" s="22"/>
      <c r="I354" s="266"/>
      <c r="J354" s="272"/>
      <c r="K354" s="272"/>
      <c r="L354" s="272"/>
      <c r="M354" s="273"/>
      <c r="N354" s="273"/>
      <c r="O354" s="273"/>
      <c r="P354" s="27"/>
      <c r="Q354" s="27"/>
      <c r="R354" s="27"/>
      <c r="S354" s="22"/>
      <c r="T354" s="22"/>
      <c r="U354" s="28"/>
    </row>
    <row r="355" ht="15.75" customHeight="1">
      <c r="A355" s="189"/>
      <c r="B355" s="22"/>
      <c r="C355" s="22"/>
      <c r="D355" s="22"/>
      <c r="E355" s="22"/>
      <c r="F355" s="22"/>
      <c r="G355" s="22"/>
      <c r="H355" s="22"/>
      <c r="I355" s="266"/>
      <c r="J355" s="272"/>
      <c r="K355" s="272"/>
      <c r="L355" s="272"/>
      <c r="M355" s="273"/>
      <c r="N355" s="273"/>
      <c r="O355" s="273"/>
      <c r="P355" s="27"/>
      <c r="Q355" s="27"/>
      <c r="R355" s="27"/>
      <c r="S355" s="22"/>
      <c r="T355" s="22"/>
      <c r="U355" s="28"/>
    </row>
    <row r="356" ht="15.75" customHeight="1">
      <c r="A356" s="189"/>
      <c r="B356" s="22"/>
      <c r="C356" s="22"/>
      <c r="D356" s="22"/>
      <c r="E356" s="22"/>
      <c r="F356" s="22"/>
      <c r="G356" s="22"/>
      <c r="H356" s="22"/>
      <c r="I356" s="266"/>
      <c r="J356" s="272"/>
      <c r="K356" s="272"/>
      <c r="L356" s="272"/>
      <c r="M356" s="273"/>
      <c r="N356" s="273"/>
      <c r="O356" s="273"/>
      <c r="P356" s="27"/>
      <c r="Q356" s="27"/>
      <c r="R356" s="27"/>
      <c r="S356" s="22"/>
      <c r="T356" s="22"/>
      <c r="U356" s="28"/>
    </row>
    <row r="357" ht="15.75" customHeight="1">
      <c r="A357" s="189"/>
      <c r="B357" s="22"/>
      <c r="C357" s="22"/>
      <c r="D357" s="22"/>
      <c r="E357" s="22"/>
      <c r="F357" s="22"/>
      <c r="G357" s="22"/>
      <c r="H357" s="22"/>
      <c r="I357" s="266"/>
      <c r="J357" s="272"/>
      <c r="K357" s="272"/>
      <c r="L357" s="272"/>
      <c r="M357" s="273"/>
      <c r="N357" s="273"/>
      <c r="O357" s="273"/>
      <c r="P357" s="27"/>
      <c r="Q357" s="27"/>
      <c r="R357" s="27"/>
      <c r="S357" s="22"/>
      <c r="T357" s="22"/>
      <c r="U357" s="28"/>
    </row>
    <row r="358" ht="15.75" customHeight="1">
      <c r="A358" s="189"/>
      <c r="B358" s="22"/>
      <c r="C358" s="22"/>
      <c r="D358" s="22"/>
      <c r="E358" s="22"/>
      <c r="F358" s="22"/>
      <c r="G358" s="22"/>
      <c r="H358" s="22"/>
      <c r="I358" s="266"/>
      <c r="J358" s="272"/>
      <c r="K358" s="272"/>
      <c r="L358" s="272"/>
      <c r="M358" s="273"/>
      <c r="N358" s="273"/>
      <c r="O358" s="273"/>
      <c r="P358" s="27"/>
      <c r="Q358" s="27"/>
      <c r="R358" s="27"/>
      <c r="S358" s="22"/>
      <c r="T358" s="22"/>
      <c r="U358" s="28"/>
    </row>
    <row r="359" ht="15.75" customHeight="1">
      <c r="A359" s="189"/>
      <c r="B359" s="22"/>
      <c r="C359" s="22"/>
      <c r="D359" s="22"/>
      <c r="E359" s="22"/>
      <c r="F359" s="22"/>
      <c r="G359" s="22"/>
      <c r="H359" s="22"/>
      <c r="I359" s="266"/>
      <c r="J359" s="272"/>
      <c r="K359" s="272"/>
      <c r="L359" s="272"/>
      <c r="M359" s="273"/>
      <c r="N359" s="273"/>
      <c r="O359" s="273"/>
      <c r="P359" s="27"/>
      <c r="Q359" s="27"/>
      <c r="R359" s="27"/>
      <c r="S359" s="22"/>
      <c r="T359" s="22"/>
      <c r="U359" s="28"/>
    </row>
    <row r="360" ht="15.75" customHeight="1">
      <c r="A360" s="189"/>
      <c r="B360" s="22"/>
      <c r="C360" s="22"/>
      <c r="D360" s="22"/>
      <c r="E360" s="22"/>
      <c r="F360" s="22"/>
      <c r="G360" s="22"/>
      <c r="H360" s="22"/>
      <c r="I360" s="266"/>
      <c r="J360" s="272"/>
      <c r="K360" s="272"/>
      <c r="L360" s="272"/>
      <c r="M360" s="273"/>
      <c r="N360" s="273"/>
      <c r="O360" s="273"/>
      <c r="P360" s="27"/>
      <c r="Q360" s="27"/>
      <c r="R360" s="27"/>
      <c r="S360" s="22"/>
      <c r="T360" s="22"/>
      <c r="U360" s="28"/>
    </row>
    <row r="361" ht="15.75" customHeight="1">
      <c r="A361" s="189"/>
      <c r="B361" s="22"/>
      <c r="C361" s="22"/>
      <c r="D361" s="22"/>
      <c r="E361" s="22"/>
      <c r="F361" s="22"/>
      <c r="G361" s="22"/>
      <c r="H361" s="22"/>
      <c r="I361" s="266"/>
      <c r="J361" s="272"/>
      <c r="K361" s="272"/>
      <c r="L361" s="272"/>
      <c r="M361" s="273"/>
      <c r="N361" s="273"/>
      <c r="O361" s="273"/>
      <c r="P361" s="27"/>
      <c r="Q361" s="27"/>
      <c r="R361" s="27"/>
      <c r="S361" s="22"/>
      <c r="T361" s="22"/>
      <c r="U361" s="28"/>
    </row>
    <row r="362" ht="15.75" customHeight="1">
      <c r="A362" s="189"/>
      <c r="B362" s="22"/>
      <c r="C362" s="22"/>
      <c r="D362" s="22"/>
      <c r="E362" s="22"/>
      <c r="F362" s="22"/>
      <c r="G362" s="22"/>
      <c r="H362" s="22"/>
      <c r="I362" s="266"/>
      <c r="J362" s="272"/>
      <c r="K362" s="272"/>
      <c r="L362" s="272"/>
      <c r="M362" s="273"/>
      <c r="N362" s="273"/>
      <c r="O362" s="273"/>
      <c r="P362" s="27"/>
      <c r="Q362" s="27"/>
      <c r="R362" s="27"/>
      <c r="S362" s="22"/>
      <c r="T362" s="22"/>
      <c r="U362" s="28"/>
    </row>
    <row r="363" ht="15.75" customHeight="1">
      <c r="A363" s="189"/>
      <c r="B363" s="22"/>
      <c r="C363" s="22"/>
      <c r="D363" s="22"/>
      <c r="E363" s="22"/>
      <c r="F363" s="22"/>
      <c r="G363" s="22"/>
      <c r="H363" s="22"/>
      <c r="I363" s="266"/>
      <c r="J363" s="272"/>
      <c r="K363" s="272"/>
      <c r="L363" s="272"/>
      <c r="M363" s="273"/>
      <c r="N363" s="273"/>
      <c r="O363" s="273"/>
      <c r="P363" s="27"/>
      <c r="Q363" s="27"/>
      <c r="R363" s="27"/>
      <c r="S363" s="22"/>
      <c r="T363" s="22"/>
      <c r="U363" s="28"/>
    </row>
    <row r="364" ht="15.75" customHeight="1">
      <c r="A364" s="189"/>
      <c r="B364" s="22"/>
      <c r="C364" s="22"/>
      <c r="D364" s="22"/>
      <c r="E364" s="22"/>
      <c r="F364" s="22"/>
      <c r="G364" s="22"/>
      <c r="H364" s="22"/>
      <c r="I364" s="266"/>
      <c r="J364" s="272"/>
      <c r="K364" s="272"/>
      <c r="L364" s="272"/>
      <c r="M364" s="273"/>
      <c r="N364" s="273"/>
      <c r="O364" s="273"/>
      <c r="P364" s="27"/>
      <c r="Q364" s="27"/>
      <c r="R364" s="27"/>
      <c r="S364" s="22"/>
      <c r="T364" s="22"/>
      <c r="U364" s="28"/>
    </row>
    <row r="365" ht="15.75" customHeight="1">
      <c r="A365" s="189"/>
      <c r="B365" s="22"/>
      <c r="C365" s="22"/>
      <c r="D365" s="22"/>
      <c r="E365" s="22"/>
      <c r="F365" s="22"/>
      <c r="G365" s="22"/>
      <c r="H365" s="22"/>
      <c r="I365" s="266"/>
      <c r="J365" s="272"/>
      <c r="K365" s="272"/>
      <c r="L365" s="272"/>
      <c r="M365" s="273"/>
      <c r="N365" s="273"/>
      <c r="O365" s="273"/>
      <c r="P365" s="27"/>
      <c r="Q365" s="27"/>
      <c r="R365" s="27"/>
      <c r="S365" s="22"/>
      <c r="T365" s="22"/>
      <c r="U365" s="28"/>
    </row>
    <row r="366" ht="15.75" customHeight="1">
      <c r="A366" s="189"/>
      <c r="B366" s="22"/>
      <c r="C366" s="22"/>
      <c r="D366" s="22"/>
      <c r="E366" s="22"/>
      <c r="F366" s="22"/>
      <c r="G366" s="22"/>
      <c r="H366" s="22"/>
      <c r="I366" s="266"/>
      <c r="J366" s="272"/>
      <c r="K366" s="272"/>
      <c r="L366" s="272"/>
      <c r="M366" s="273"/>
      <c r="N366" s="273"/>
      <c r="O366" s="273"/>
      <c r="P366" s="27"/>
      <c r="Q366" s="27"/>
      <c r="R366" s="27"/>
      <c r="S366" s="22"/>
      <c r="T366" s="22"/>
      <c r="U366" s="28"/>
    </row>
    <row r="367" ht="15.75" customHeight="1">
      <c r="A367" s="189"/>
      <c r="B367" s="22"/>
      <c r="C367" s="22"/>
      <c r="D367" s="22"/>
      <c r="E367" s="22"/>
      <c r="F367" s="22"/>
      <c r="G367" s="22"/>
      <c r="H367" s="22"/>
      <c r="I367" s="266"/>
      <c r="J367" s="272"/>
      <c r="K367" s="272"/>
      <c r="L367" s="272"/>
      <c r="M367" s="273"/>
      <c r="N367" s="273"/>
      <c r="O367" s="273"/>
      <c r="P367" s="27"/>
      <c r="Q367" s="27"/>
      <c r="R367" s="27"/>
      <c r="S367" s="22"/>
      <c r="T367" s="22"/>
      <c r="U367" s="28"/>
    </row>
    <row r="368" ht="15.75" customHeight="1">
      <c r="A368" s="189"/>
      <c r="B368" s="22"/>
      <c r="C368" s="22"/>
      <c r="D368" s="22"/>
      <c r="E368" s="22"/>
      <c r="F368" s="22"/>
      <c r="G368" s="22"/>
      <c r="H368" s="22"/>
      <c r="I368" s="266"/>
      <c r="J368" s="272"/>
      <c r="K368" s="272"/>
      <c r="L368" s="272"/>
      <c r="M368" s="273"/>
      <c r="N368" s="273"/>
      <c r="O368" s="273"/>
      <c r="P368" s="27"/>
      <c r="Q368" s="27"/>
      <c r="R368" s="27"/>
      <c r="S368" s="22"/>
      <c r="T368" s="22"/>
      <c r="U368" s="28"/>
    </row>
    <row r="369" ht="15.75" customHeight="1">
      <c r="A369" s="189"/>
      <c r="B369" s="22"/>
      <c r="C369" s="22"/>
      <c r="D369" s="22"/>
      <c r="E369" s="22"/>
      <c r="F369" s="22"/>
      <c r="G369" s="22"/>
      <c r="H369" s="22"/>
      <c r="I369" s="266"/>
      <c r="J369" s="272"/>
      <c r="K369" s="272"/>
      <c r="L369" s="272"/>
      <c r="M369" s="273"/>
      <c r="N369" s="273"/>
      <c r="O369" s="273"/>
      <c r="P369" s="27"/>
      <c r="Q369" s="27"/>
      <c r="R369" s="27"/>
      <c r="S369" s="22"/>
      <c r="T369" s="22"/>
      <c r="U369" s="28"/>
    </row>
    <row r="370" ht="15.75" customHeight="1">
      <c r="A370" s="189"/>
      <c r="B370" s="22"/>
      <c r="C370" s="22"/>
      <c r="D370" s="22"/>
      <c r="E370" s="22"/>
      <c r="F370" s="22"/>
      <c r="G370" s="22"/>
      <c r="H370" s="22"/>
      <c r="I370" s="266"/>
      <c r="J370" s="272"/>
      <c r="K370" s="272"/>
      <c r="L370" s="272"/>
      <c r="M370" s="273"/>
      <c r="N370" s="273"/>
      <c r="O370" s="273"/>
      <c r="P370" s="27"/>
      <c r="Q370" s="27"/>
      <c r="R370" s="27"/>
      <c r="S370" s="22"/>
      <c r="T370" s="22"/>
      <c r="U370" s="28"/>
    </row>
    <row r="371" ht="15.75" customHeight="1">
      <c r="A371" s="189"/>
      <c r="B371" s="22"/>
      <c r="C371" s="22"/>
      <c r="D371" s="22"/>
      <c r="E371" s="22"/>
      <c r="F371" s="22"/>
      <c r="G371" s="22"/>
      <c r="H371" s="22"/>
      <c r="I371" s="266"/>
      <c r="J371" s="272"/>
      <c r="K371" s="272"/>
      <c r="L371" s="272"/>
      <c r="M371" s="273"/>
      <c r="N371" s="273"/>
      <c r="O371" s="273"/>
      <c r="P371" s="27"/>
      <c r="Q371" s="27"/>
      <c r="R371" s="27"/>
      <c r="S371" s="22"/>
      <c r="T371" s="22"/>
      <c r="U371" s="28"/>
    </row>
    <row r="372" ht="15.75" customHeight="1">
      <c r="A372" s="189"/>
      <c r="B372" s="22"/>
      <c r="C372" s="22"/>
      <c r="D372" s="22"/>
      <c r="E372" s="22"/>
      <c r="F372" s="22"/>
      <c r="G372" s="22"/>
      <c r="H372" s="22"/>
      <c r="I372" s="266"/>
      <c r="J372" s="272"/>
      <c r="K372" s="272"/>
      <c r="L372" s="272"/>
      <c r="M372" s="273"/>
      <c r="N372" s="273"/>
      <c r="O372" s="273"/>
      <c r="P372" s="27"/>
      <c r="Q372" s="27"/>
      <c r="R372" s="27"/>
      <c r="S372" s="22"/>
      <c r="T372" s="22"/>
      <c r="U372" s="28"/>
    </row>
    <row r="373" ht="15.75" customHeight="1">
      <c r="A373" s="189"/>
      <c r="B373" s="22"/>
      <c r="C373" s="22"/>
      <c r="D373" s="22"/>
      <c r="E373" s="22"/>
      <c r="F373" s="22"/>
      <c r="G373" s="22"/>
      <c r="H373" s="22"/>
      <c r="I373" s="266"/>
      <c r="J373" s="272"/>
      <c r="K373" s="272"/>
      <c r="L373" s="272"/>
      <c r="M373" s="273"/>
      <c r="N373" s="273"/>
      <c r="O373" s="273"/>
      <c r="P373" s="27"/>
      <c r="Q373" s="27"/>
      <c r="R373" s="27"/>
      <c r="S373" s="22"/>
      <c r="T373" s="22"/>
      <c r="U373" s="28"/>
    </row>
    <row r="374" ht="15.75" customHeight="1">
      <c r="A374" s="189"/>
      <c r="B374" s="22"/>
      <c r="C374" s="22"/>
      <c r="D374" s="22"/>
      <c r="E374" s="22"/>
      <c r="F374" s="22"/>
      <c r="G374" s="22"/>
      <c r="H374" s="22"/>
      <c r="I374" s="266"/>
      <c r="J374" s="272"/>
      <c r="K374" s="272"/>
      <c r="L374" s="272"/>
      <c r="M374" s="273"/>
      <c r="N374" s="273"/>
      <c r="O374" s="273"/>
      <c r="P374" s="27"/>
      <c r="Q374" s="27"/>
      <c r="R374" s="27"/>
      <c r="S374" s="22"/>
      <c r="T374" s="22"/>
      <c r="U374" s="28"/>
    </row>
    <row r="375" ht="15.75" customHeight="1">
      <c r="A375" s="189"/>
      <c r="B375" s="22"/>
      <c r="C375" s="22"/>
      <c r="D375" s="22"/>
      <c r="E375" s="22"/>
      <c r="F375" s="22"/>
      <c r="G375" s="22"/>
      <c r="H375" s="22"/>
      <c r="I375" s="266"/>
      <c r="J375" s="272"/>
      <c r="K375" s="272"/>
      <c r="L375" s="272"/>
      <c r="M375" s="273"/>
      <c r="N375" s="273"/>
      <c r="O375" s="273"/>
      <c r="P375" s="27"/>
      <c r="Q375" s="27"/>
      <c r="R375" s="27"/>
      <c r="S375" s="22"/>
      <c r="T375" s="22"/>
      <c r="U375" s="28"/>
    </row>
    <row r="376" ht="15.75" customHeight="1">
      <c r="A376" s="189"/>
      <c r="B376" s="22"/>
      <c r="C376" s="22"/>
      <c r="D376" s="22"/>
      <c r="E376" s="22"/>
      <c r="F376" s="22"/>
      <c r="G376" s="22"/>
      <c r="H376" s="22"/>
      <c r="I376" s="266"/>
      <c r="J376" s="272"/>
      <c r="K376" s="272"/>
      <c r="L376" s="272"/>
      <c r="M376" s="273"/>
      <c r="N376" s="273"/>
      <c r="O376" s="273"/>
      <c r="P376" s="27"/>
      <c r="Q376" s="27"/>
      <c r="R376" s="27"/>
      <c r="S376" s="22"/>
      <c r="T376" s="22"/>
      <c r="U376" s="28"/>
    </row>
    <row r="377" ht="15.75" customHeight="1">
      <c r="A377" s="189"/>
      <c r="B377" s="22"/>
      <c r="C377" s="22"/>
      <c r="D377" s="22"/>
      <c r="E377" s="22"/>
      <c r="F377" s="22"/>
      <c r="G377" s="22"/>
      <c r="H377" s="22"/>
      <c r="I377" s="266"/>
      <c r="J377" s="272"/>
      <c r="K377" s="272"/>
      <c r="L377" s="272"/>
      <c r="M377" s="273"/>
      <c r="N377" s="273"/>
      <c r="O377" s="273"/>
      <c r="P377" s="27"/>
      <c r="Q377" s="27"/>
      <c r="R377" s="27"/>
      <c r="S377" s="22"/>
      <c r="T377" s="22"/>
      <c r="U377" s="28"/>
    </row>
    <row r="378" ht="15.75" customHeight="1">
      <c r="A378" s="189"/>
      <c r="B378" s="22"/>
      <c r="C378" s="22"/>
      <c r="D378" s="22"/>
      <c r="E378" s="22"/>
      <c r="F378" s="22"/>
      <c r="G378" s="22"/>
      <c r="H378" s="22"/>
      <c r="I378" s="266"/>
      <c r="J378" s="272"/>
      <c r="K378" s="272"/>
      <c r="L378" s="272"/>
      <c r="M378" s="273"/>
      <c r="N378" s="273"/>
      <c r="O378" s="273"/>
      <c r="P378" s="27"/>
      <c r="Q378" s="27"/>
      <c r="R378" s="27"/>
      <c r="S378" s="22"/>
      <c r="T378" s="22"/>
      <c r="U378" s="28"/>
    </row>
    <row r="379" ht="15.75" customHeight="1">
      <c r="A379" s="189"/>
      <c r="B379" s="22"/>
      <c r="C379" s="22"/>
      <c r="D379" s="22"/>
      <c r="E379" s="22"/>
      <c r="F379" s="22"/>
      <c r="G379" s="22"/>
      <c r="H379" s="22"/>
      <c r="I379" s="266"/>
      <c r="J379" s="272"/>
      <c r="K379" s="272"/>
      <c r="L379" s="272"/>
      <c r="M379" s="273"/>
      <c r="N379" s="273"/>
      <c r="O379" s="273"/>
      <c r="P379" s="27"/>
      <c r="Q379" s="27"/>
      <c r="R379" s="27"/>
      <c r="S379" s="22"/>
      <c r="T379" s="22"/>
      <c r="U379" s="28"/>
    </row>
    <row r="380" ht="15.75" customHeight="1">
      <c r="A380" s="189"/>
      <c r="B380" s="22"/>
      <c r="C380" s="22"/>
      <c r="D380" s="22"/>
      <c r="E380" s="22"/>
      <c r="F380" s="22"/>
      <c r="G380" s="22"/>
      <c r="H380" s="22"/>
      <c r="I380" s="266"/>
      <c r="J380" s="272"/>
      <c r="K380" s="272"/>
      <c r="L380" s="272"/>
      <c r="M380" s="273"/>
      <c r="N380" s="273"/>
      <c r="O380" s="273"/>
      <c r="P380" s="27"/>
      <c r="Q380" s="27"/>
      <c r="R380" s="27"/>
      <c r="S380" s="22"/>
      <c r="T380" s="22"/>
      <c r="U380" s="28"/>
    </row>
    <row r="381" ht="15.75" customHeight="1">
      <c r="A381" s="189"/>
      <c r="B381" s="22"/>
      <c r="C381" s="22"/>
      <c r="D381" s="22"/>
      <c r="E381" s="22"/>
      <c r="F381" s="22"/>
      <c r="G381" s="22"/>
      <c r="H381" s="22"/>
      <c r="I381" s="266"/>
      <c r="J381" s="272"/>
      <c r="K381" s="272"/>
      <c r="L381" s="272"/>
      <c r="M381" s="273"/>
      <c r="N381" s="273"/>
      <c r="O381" s="273"/>
      <c r="P381" s="27"/>
      <c r="Q381" s="27"/>
      <c r="R381" s="27"/>
      <c r="S381" s="22"/>
      <c r="T381" s="22"/>
      <c r="U381" s="28"/>
    </row>
    <row r="382" ht="15.75" customHeight="1">
      <c r="A382" s="189"/>
      <c r="B382" s="22"/>
      <c r="C382" s="22"/>
      <c r="D382" s="22"/>
      <c r="E382" s="22"/>
      <c r="F382" s="22"/>
      <c r="G382" s="22"/>
      <c r="H382" s="22"/>
      <c r="I382" s="266"/>
      <c r="J382" s="272"/>
      <c r="K382" s="272"/>
      <c r="L382" s="272"/>
      <c r="M382" s="273"/>
      <c r="N382" s="273"/>
      <c r="O382" s="273"/>
      <c r="P382" s="27"/>
      <c r="Q382" s="27"/>
      <c r="R382" s="27"/>
      <c r="S382" s="22"/>
      <c r="T382" s="22"/>
      <c r="U382" s="28"/>
    </row>
    <row r="383" ht="15.75" customHeight="1">
      <c r="A383" s="189"/>
      <c r="B383" s="22"/>
      <c r="C383" s="22"/>
      <c r="D383" s="22"/>
      <c r="E383" s="22"/>
      <c r="F383" s="22"/>
      <c r="G383" s="22"/>
      <c r="H383" s="22"/>
      <c r="I383" s="266"/>
      <c r="J383" s="272"/>
      <c r="K383" s="272"/>
      <c r="L383" s="272"/>
      <c r="M383" s="273"/>
      <c r="N383" s="273"/>
      <c r="O383" s="273"/>
      <c r="P383" s="27"/>
      <c r="Q383" s="27"/>
      <c r="R383" s="27"/>
      <c r="S383" s="22"/>
      <c r="T383" s="22"/>
      <c r="U383" s="28"/>
    </row>
    <row r="384" ht="15.75" customHeight="1">
      <c r="A384" s="189"/>
      <c r="B384" s="22"/>
      <c r="C384" s="22"/>
      <c r="D384" s="22"/>
      <c r="E384" s="22"/>
      <c r="F384" s="22"/>
      <c r="G384" s="22"/>
      <c r="H384" s="22"/>
      <c r="I384" s="266"/>
      <c r="J384" s="272"/>
      <c r="K384" s="272"/>
      <c r="L384" s="272"/>
      <c r="M384" s="273"/>
      <c r="N384" s="273"/>
      <c r="O384" s="273"/>
      <c r="P384" s="27"/>
      <c r="Q384" s="27"/>
      <c r="R384" s="27"/>
      <c r="S384" s="22"/>
      <c r="T384" s="22"/>
      <c r="U384" s="28"/>
    </row>
    <row r="385" ht="15.75" customHeight="1">
      <c r="A385" s="189"/>
      <c r="B385" s="22"/>
      <c r="C385" s="22"/>
      <c r="D385" s="22"/>
      <c r="E385" s="22"/>
      <c r="F385" s="22"/>
      <c r="G385" s="22"/>
      <c r="H385" s="22"/>
      <c r="I385" s="266"/>
      <c r="J385" s="272"/>
      <c r="K385" s="272"/>
      <c r="L385" s="272"/>
      <c r="M385" s="273"/>
      <c r="N385" s="273"/>
      <c r="O385" s="273"/>
      <c r="P385" s="27"/>
      <c r="Q385" s="27"/>
      <c r="R385" s="27"/>
      <c r="S385" s="22"/>
      <c r="T385" s="22"/>
      <c r="U385" s="28"/>
    </row>
    <row r="386" ht="15.75" customHeight="1">
      <c r="A386" s="189"/>
      <c r="B386" s="22"/>
      <c r="C386" s="22"/>
      <c r="D386" s="22"/>
      <c r="E386" s="22"/>
      <c r="F386" s="22"/>
      <c r="G386" s="22"/>
      <c r="H386" s="22"/>
      <c r="I386" s="266"/>
      <c r="J386" s="272"/>
      <c r="K386" s="272"/>
      <c r="L386" s="272"/>
      <c r="M386" s="273"/>
      <c r="N386" s="273"/>
      <c r="O386" s="273"/>
      <c r="P386" s="27"/>
      <c r="Q386" s="27"/>
      <c r="R386" s="27"/>
      <c r="S386" s="22"/>
      <c r="T386" s="22"/>
      <c r="U386" s="28"/>
    </row>
    <row r="387" ht="15.75" customHeight="1">
      <c r="A387" s="189"/>
      <c r="B387" s="22"/>
      <c r="C387" s="22"/>
      <c r="D387" s="22"/>
      <c r="E387" s="22"/>
      <c r="F387" s="22"/>
      <c r="G387" s="22"/>
      <c r="H387" s="22"/>
      <c r="I387" s="266"/>
      <c r="J387" s="272"/>
      <c r="K387" s="272"/>
      <c r="L387" s="272"/>
      <c r="M387" s="273"/>
      <c r="N387" s="273"/>
      <c r="O387" s="273"/>
      <c r="P387" s="27"/>
      <c r="Q387" s="27"/>
      <c r="R387" s="27"/>
      <c r="S387" s="22"/>
      <c r="T387" s="22"/>
      <c r="U387" s="28"/>
    </row>
    <row r="388" ht="15.75" customHeight="1">
      <c r="A388" s="189"/>
      <c r="B388" s="22"/>
      <c r="C388" s="22"/>
      <c r="D388" s="22"/>
      <c r="E388" s="22"/>
      <c r="F388" s="22"/>
      <c r="G388" s="22"/>
      <c r="H388" s="22"/>
      <c r="I388" s="266"/>
      <c r="J388" s="272"/>
      <c r="K388" s="272"/>
      <c r="L388" s="272"/>
      <c r="M388" s="273"/>
      <c r="N388" s="273"/>
      <c r="O388" s="273"/>
      <c r="P388" s="27"/>
      <c r="Q388" s="27"/>
      <c r="R388" s="27"/>
      <c r="S388" s="22"/>
      <c r="T388" s="22"/>
      <c r="U388" s="28"/>
    </row>
    <row r="389" ht="15.75" customHeight="1">
      <c r="A389" s="189"/>
      <c r="B389" s="22"/>
      <c r="C389" s="22"/>
      <c r="D389" s="22"/>
      <c r="E389" s="22"/>
      <c r="F389" s="22"/>
      <c r="G389" s="22"/>
      <c r="H389" s="22"/>
      <c r="I389" s="266"/>
      <c r="J389" s="272"/>
      <c r="K389" s="272"/>
      <c r="L389" s="272"/>
      <c r="M389" s="273"/>
      <c r="N389" s="273"/>
      <c r="O389" s="273"/>
      <c r="P389" s="27"/>
      <c r="Q389" s="27"/>
      <c r="R389" s="27"/>
      <c r="S389" s="22"/>
      <c r="T389" s="22"/>
      <c r="U389" s="28"/>
    </row>
    <row r="390" ht="15.75" customHeight="1">
      <c r="A390" s="189"/>
      <c r="B390" s="22"/>
      <c r="C390" s="22"/>
      <c r="D390" s="22"/>
      <c r="E390" s="22"/>
      <c r="F390" s="22"/>
      <c r="G390" s="22"/>
      <c r="H390" s="22"/>
      <c r="I390" s="266"/>
      <c r="J390" s="272"/>
      <c r="K390" s="272"/>
      <c r="L390" s="272"/>
      <c r="M390" s="273"/>
      <c r="N390" s="273"/>
      <c r="O390" s="273"/>
      <c r="P390" s="27"/>
      <c r="Q390" s="27"/>
      <c r="R390" s="27"/>
      <c r="S390" s="22"/>
      <c r="T390" s="22"/>
      <c r="U390" s="28"/>
    </row>
    <row r="391" ht="15.75" customHeight="1">
      <c r="A391" s="189"/>
      <c r="B391" s="22"/>
      <c r="C391" s="22"/>
      <c r="D391" s="22"/>
      <c r="E391" s="22"/>
      <c r="F391" s="22"/>
      <c r="G391" s="22"/>
      <c r="H391" s="22"/>
      <c r="I391" s="266"/>
      <c r="J391" s="272"/>
      <c r="K391" s="272"/>
      <c r="L391" s="272"/>
      <c r="M391" s="273"/>
      <c r="N391" s="273"/>
      <c r="O391" s="273"/>
      <c r="P391" s="27"/>
      <c r="Q391" s="27"/>
      <c r="R391" s="27"/>
      <c r="S391" s="22"/>
      <c r="T391" s="22"/>
      <c r="U391" s="28"/>
    </row>
    <row r="392" ht="15.75" customHeight="1">
      <c r="A392" s="189"/>
      <c r="B392" s="22"/>
      <c r="C392" s="22"/>
      <c r="D392" s="22"/>
      <c r="E392" s="22"/>
      <c r="F392" s="22"/>
      <c r="G392" s="22"/>
      <c r="H392" s="22"/>
      <c r="I392" s="266"/>
      <c r="J392" s="272"/>
      <c r="K392" s="272"/>
      <c r="L392" s="272"/>
      <c r="M392" s="273"/>
      <c r="N392" s="273"/>
      <c r="O392" s="273"/>
      <c r="P392" s="27"/>
      <c r="Q392" s="27"/>
      <c r="R392" s="27"/>
      <c r="S392" s="22"/>
      <c r="T392" s="22"/>
      <c r="U392" s="28"/>
    </row>
    <row r="393" ht="15.75" customHeight="1">
      <c r="A393" s="189"/>
      <c r="B393" s="22"/>
      <c r="C393" s="22"/>
      <c r="D393" s="22"/>
      <c r="E393" s="22"/>
      <c r="F393" s="22"/>
      <c r="G393" s="22"/>
      <c r="H393" s="22"/>
      <c r="I393" s="266"/>
      <c r="J393" s="272"/>
      <c r="K393" s="272"/>
      <c r="L393" s="272"/>
      <c r="M393" s="273"/>
      <c r="N393" s="273"/>
      <c r="O393" s="273"/>
      <c r="P393" s="27"/>
      <c r="Q393" s="27"/>
      <c r="R393" s="27"/>
      <c r="S393" s="22"/>
      <c r="T393" s="22"/>
      <c r="U393" s="28"/>
    </row>
    <row r="394" ht="15.75" customHeight="1">
      <c r="A394" s="189"/>
      <c r="B394" s="22"/>
      <c r="C394" s="22"/>
      <c r="D394" s="22"/>
      <c r="E394" s="22"/>
      <c r="F394" s="22"/>
      <c r="G394" s="22"/>
      <c r="H394" s="22"/>
      <c r="I394" s="266"/>
      <c r="J394" s="272"/>
      <c r="K394" s="272"/>
      <c r="L394" s="272"/>
      <c r="M394" s="273"/>
      <c r="N394" s="273"/>
      <c r="O394" s="273"/>
      <c r="P394" s="27"/>
      <c r="Q394" s="27"/>
      <c r="R394" s="27"/>
      <c r="S394" s="22"/>
      <c r="T394" s="22"/>
      <c r="U394" s="28"/>
    </row>
    <row r="395" ht="15.75" customHeight="1">
      <c r="A395" s="189"/>
      <c r="B395" s="22"/>
      <c r="C395" s="22"/>
      <c r="D395" s="22"/>
      <c r="E395" s="22"/>
      <c r="F395" s="22"/>
      <c r="G395" s="22"/>
      <c r="H395" s="22"/>
      <c r="I395" s="266"/>
      <c r="J395" s="272"/>
      <c r="K395" s="272"/>
      <c r="L395" s="272"/>
      <c r="M395" s="273"/>
      <c r="N395" s="273"/>
      <c r="O395" s="273"/>
      <c r="P395" s="27"/>
      <c r="Q395" s="27"/>
      <c r="R395" s="27"/>
      <c r="S395" s="22"/>
      <c r="T395" s="22"/>
      <c r="U395" s="28"/>
    </row>
    <row r="396" ht="15.75" customHeight="1">
      <c r="A396" s="189"/>
      <c r="B396" s="22"/>
      <c r="C396" s="22"/>
      <c r="D396" s="22"/>
      <c r="E396" s="22"/>
      <c r="F396" s="22"/>
      <c r="G396" s="22"/>
      <c r="H396" s="22"/>
      <c r="I396" s="266"/>
      <c r="J396" s="272"/>
      <c r="K396" s="272"/>
      <c r="L396" s="272"/>
      <c r="M396" s="273"/>
      <c r="N396" s="273"/>
      <c r="O396" s="273"/>
      <c r="P396" s="27"/>
      <c r="Q396" s="27"/>
      <c r="R396" s="27"/>
      <c r="S396" s="22"/>
      <c r="T396" s="22"/>
      <c r="U396" s="28"/>
    </row>
    <row r="397" ht="15.75" customHeight="1">
      <c r="A397" s="189"/>
      <c r="B397" s="22"/>
      <c r="C397" s="22"/>
      <c r="D397" s="22"/>
      <c r="E397" s="22"/>
      <c r="F397" s="22"/>
      <c r="G397" s="22"/>
      <c r="H397" s="22"/>
      <c r="I397" s="266"/>
      <c r="J397" s="272"/>
      <c r="K397" s="272"/>
      <c r="L397" s="272"/>
      <c r="M397" s="273"/>
      <c r="N397" s="273"/>
      <c r="O397" s="273"/>
      <c r="P397" s="27"/>
      <c r="Q397" s="27"/>
      <c r="R397" s="27"/>
      <c r="S397" s="22"/>
      <c r="T397" s="22"/>
      <c r="U397" s="28"/>
    </row>
    <row r="398" ht="15.75" customHeight="1">
      <c r="A398" s="189"/>
      <c r="B398" s="22"/>
      <c r="C398" s="22"/>
      <c r="D398" s="22"/>
      <c r="E398" s="22"/>
      <c r="F398" s="22"/>
      <c r="G398" s="22"/>
      <c r="H398" s="22"/>
      <c r="I398" s="266"/>
      <c r="J398" s="272"/>
      <c r="K398" s="272"/>
      <c r="L398" s="272"/>
      <c r="M398" s="273"/>
      <c r="N398" s="273"/>
      <c r="O398" s="273"/>
      <c r="P398" s="27"/>
      <c r="Q398" s="27"/>
      <c r="R398" s="27"/>
      <c r="S398" s="22"/>
      <c r="T398" s="22"/>
      <c r="U398" s="28"/>
    </row>
    <row r="399" ht="15.75" customHeight="1">
      <c r="A399" s="189"/>
      <c r="B399" s="22"/>
      <c r="C399" s="22"/>
      <c r="D399" s="22"/>
      <c r="E399" s="22"/>
      <c r="F399" s="22"/>
      <c r="G399" s="22"/>
      <c r="H399" s="22"/>
      <c r="I399" s="266"/>
      <c r="J399" s="272"/>
      <c r="K399" s="272"/>
      <c r="L399" s="272"/>
      <c r="M399" s="273"/>
      <c r="N399" s="273"/>
      <c r="O399" s="273"/>
      <c r="P399" s="27"/>
      <c r="Q399" s="27"/>
      <c r="R399" s="27"/>
      <c r="S399" s="22"/>
      <c r="T399" s="22"/>
      <c r="U399" s="28"/>
    </row>
    <row r="400" ht="15.75" customHeight="1">
      <c r="A400" s="189"/>
      <c r="B400" s="22"/>
      <c r="C400" s="22"/>
      <c r="D400" s="22"/>
      <c r="E400" s="22"/>
      <c r="F400" s="22"/>
      <c r="G400" s="22"/>
      <c r="H400" s="22"/>
      <c r="I400" s="266"/>
      <c r="J400" s="272"/>
      <c r="K400" s="272"/>
      <c r="L400" s="272"/>
      <c r="M400" s="273"/>
      <c r="N400" s="273"/>
      <c r="O400" s="273"/>
      <c r="P400" s="27"/>
      <c r="Q400" s="27"/>
      <c r="R400" s="27"/>
      <c r="S400" s="22"/>
      <c r="T400" s="22"/>
      <c r="U400" s="28"/>
    </row>
    <row r="401" ht="15.75" customHeight="1">
      <c r="A401" s="189"/>
      <c r="B401" s="22"/>
      <c r="C401" s="22"/>
      <c r="D401" s="22"/>
      <c r="E401" s="22"/>
      <c r="F401" s="22"/>
      <c r="G401" s="22"/>
      <c r="H401" s="22"/>
      <c r="I401" s="266"/>
      <c r="J401" s="272"/>
      <c r="K401" s="272"/>
      <c r="L401" s="272"/>
      <c r="M401" s="273"/>
      <c r="N401" s="273"/>
      <c r="O401" s="273"/>
      <c r="P401" s="27"/>
      <c r="Q401" s="27"/>
      <c r="R401" s="27"/>
      <c r="S401" s="22"/>
      <c r="T401" s="22"/>
      <c r="U401" s="28"/>
    </row>
    <row r="402" ht="15.75" customHeight="1">
      <c r="A402" s="189"/>
      <c r="B402" s="22"/>
      <c r="C402" s="22"/>
      <c r="D402" s="22"/>
      <c r="E402" s="22"/>
      <c r="F402" s="22"/>
      <c r="G402" s="22"/>
      <c r="H402" s="22"/>
      <c r="I402" s="266"/>
      <c r="J402" s="272"/>
      <c r="K402" s="272"/>
      <c r="L402" s="272"/>
      <c r="M402" s="273"/>
      <c r="N402" s="273"/>
      <c r="O402" s="273"/>
      <c r="P402" s="27"/>
      <c r="Q402" s="27"/>
      <c r="R402" s="27"/>
      <c r="S402" s="22"/>
      <c r="T402" s="22"/>
      <c r="U402" s="28"/>
    </row>
    <row r="403" ht="15.75" customHeight="1">
      <c r="A403" s="189"/>
      <c r="B403" s="22"/>
      <c r="C403" s="22"/>
      <c r="D403" s="22"/>
      <c r="E403" s="22"/>
      <c r="F403" s="22"/>
      <c r="G403" s="22"/>
      <c r="H403" s="22"/>
      <c r="I403" s="266"/>
      <c r="J403" s="272"/>
      <c r="K403" s="272"/>
      <c r="L403" s="272"/>
      <c r="M403" s="273"/>
      <c r="N403" s="273"/>
      <c r="O403" s="273"/>
      <c r="P403" s="27"/>
      <c r="Q403" s="27"/>
      <c r="R403" s="27"/>
      <c r="S403" s="22"/>
      <c r="T403" s="22"/>
      <c r="U403" s="28"/>
    </row>
    <row r="404" ht="15.75" customHeight="1">
      <c r="A404" s="189"/>
      <c r="B404" s="22"/>
      <c r="C404" s="22"/>
      <c r="D404" s="22"/>
      <c r="E404" s="22"/>
      <c r="F404" s="22"/>
      <c r="G404" s="22"/>
      <c r="H404" s="22"/>
      <c r="I404" s="266"/>
      <c r="J404" s="272"/>
      <c r="K404" s="272"/>
      <c r="L404" s="272"/>
      <c r="M404" s="273"/>
      <c r="N404" s="273"/>
      <c r="O404" s="273"/>
      <c r="P404" s="27"/>
      <c r="Q404" s="27"/>
      <c r="R404" s="27"/>
      <c r="S404" s="22"/>
      <c r="T404" s="22"/>
      <c r="U404" s="28"/>
    </row>
    <row r="405" ht="15.75" customHeight="1">
      <c r="A405" s="189"/>
      <c r="B405" s="22"/>
      <c r="C405" s="22"/>
      <c r="D405" s="22"/>
      <c r="E405" s="22"/>
      <c r="F405" s="22"/>
      <c r="G405" s="22"/>
      <c r="H405" s="22"/>
      <c r="I405" s="266"/>
      <c r="J405" s="272"/>
      <c r="K405" s="272"/>
      <c r="L405" s="272"/>
      <c r="M405" s="273"/>
      <c r="N405" s="273"/>
      <c r="O405" s="273"/>
      <c r="P405" s="27"/>
      <c r="Q405" s="27"/>
      <c r="R405" s="27"/>
      <c r="S405" s="22"/>
      <c r="T405" s="22"/>
      <c r="U405" s="28"/>
    </row>
    <row r="406" ht="15.75" customHeight="1">
      <c r="A406" s="189"/>
      <c r="B406" s="22"/>
      <c r="C406" s="22"/>
      <c r="D406" s="22"/>
      <c r="E406" s="22"/>
      <c r="F406" s="22"/>
      <c r="G406" s="22"/>
      <c r="H406" s="22"/>
      <c r="I406" s="266"/>
      <c r="J406" s="272"/>
      <c r="K406" s="272"/>
      <c r="L406" s="272"/>
      <c r="M406" s="273"/>
      <c r="N406" s="273"/>
      <c r="O406" s="273"/>
      <c r="P406" s="27"/>
      <c r="Q406" s="27"/>
      <c r="R406" s="27"/>
      <c r="S406" s="22"/>
      <c r="T406" s="22"/>
      <c r="U406" s="28"/>
    </row>
    <row r="407" ht="15.75" customHeight="1">
      <c r="A407" s="189"/>
      <c r="B407" s="22"/>
      <c r="C407" s="22"/>
      <c r="D407" s="22"/>
      <c r="E407" s="22"/>
      <c r="F407" s="22"/>
      <c r="G407" s="22"/>
      <c r="H407" s="22"/>
      <c r="I407" s="266"/>
      <c r="J407" s="272"/>
      <c r="K407" s="272"/>
      <c r="L407" s="272"/>
      <c r="M407" s="273"/>
      <c r="N407" s="273"/>
      <c r="O407" s="273"/>
      <c r="P407" s="27"/>
      <c r="Q407" s="27"/>
      <c r="R407" s="27"/>
      <c r="S407" s="22"/>
      <c r="T407" s="22"/>
      <c r="U407" s="28"/>
    </row>
    <row r="408" ht="15.75" customHeight="1">
      <c r="A408" s="189"/>
      <c r="B408" s="22"/>
      <c r="C408" s="22"/>
      <c r="D408" s="22"/>
      <c r="E408" s="22"/>
      <c r="F408" s="22"/>
      <c r="G408" s="22"/>
      <c r="H408" s="22"/>
      <c r="I408" s="266"/>
      <c r="J408" s="272"/>
      <c r="K408" s="272"/>
      <c r="L408" s="272"/>
      <c r="M408" s="273"/>
      <c r="N408" s="273"/>
      <c r="O408" s="273"/>
      <c r="P408" s="27"/>
      <c r="Q408" s="27"/>
      <c r="R408" s="27"/>
      <c r="S408" s="22"/>
      <c r="T408" s="22"/>
      <c r="U408" s="28"/>
    </row>
    <row r="409" ht="15.75" customHeight="1">
      <c r="A409" s="189"/>
      <c r="B409" s="22"/>
      <c r="C409" s="22"/>
      <c r="D409" s="22"/>
      <c r="E409" s="22"/>
      <c r="F409" s="22"/>
      <c r="G409" s="22"/>
      <c r="H409" s="22"/>
      <c r="I409" s="266"/>
      <c r="J409" s="272"/>
      <c r="K409" s="272"/>
      <c r="L409" s="272"/>
      <c r="M409" s="273"/>
      <c r="N409" s="273"/>
      <c r="O409" s="273"/>
      <c r="P409" s="27"/>
      <c r="Q409" s="27"/>
      <c r="R409" s="27"/>
      <c r="S409" s="22"/>
      <c r="T409" s="22"/>
      <c r="U409" s="28"/>
    </row>
    <row r="410" ht="15.75" customHeight="1">
      <c r="A410" s="189"/>
      <c r="B410" s="22"/>
      <c r="C410" s="22"/>
      <c r="D410" s="22"/>
      <c r="E410" s="22"/>
      <c r="F410" s="22"/>
      <c r="G410" s="22"/>
      <c r="H410" s="22"/>
      <c r="I410" s="266"/>
      <c r="J410" s="272"/>
      <c r="K410" s="272"/>
      <c r="L410" s="272"/>
      <c r="M410" s="273"/>
      <c r="N410" s="273"/>
      <c r="O410" s="273"/>
      <c r="P410" s="27"/>
      <c r="Q410" s="27"/>
      <c r="R410" s="27"/>
      <c r="S410" s="22"/>
      <c r="T410" s="22"/>
      <c r="U410" s="28"/>
    </row>
    <row r="411" ht="15.75" customHeight="1">
      <c r="A411" s="189"/>
      <c r="B411" s="22"/>
      <c r="C411" s="22"/>
      <c r="D411" s="22"/>
      <c r="E411" s="22"/>
      <c r="F411" s="22"/>
      <c r="G411" s="22"/>
      <c r="H411" s="22"/>
      <c r="I411" s="266"/>
      <c r="J411" s="272"/>
      <c r="K411" s="272"/>
      <c r="L411" s="272"/>
      <c r="M411" s="273"/>
      <c r="N411" s="273"/>
      <c r="O411" s="273"/>
      <c r="P411" s="27"/>
      <c r="Q411" s="27"/>
      <c r="R411" s="27"/>
      <c r="S411" s="22"/>
      <c r="T411" s="22"/>
      <c r="U411" s="28"/>
    </row>
    <row r="412" ht="15.75" customHeight="1">
      <c r="A412" s="189"/>
      <c r="B412" s="22"/>
      <c r="C412" s="22"/>
      <c r="D412" s="22"/>
      <c r="E412" s="22"/>
      <c r="F412" s="22"/>
      <c r="G412" s="22"/>
      <c r="H412" s="22"/>
      <c r="I412" s="266"/>
      <c r="J412" s="272"/>
      <c r="K412" s="272"/>
      <c r="L412" s="272"/>
      <c r="M412" s="273"/>
      <c r="N412" s="273"/>
      <c r="O412" s="273"/>
      <c r="P412" s="27"/>
      <c r="Q412" s="27"/>
      <c r="R412" s="27"/>
      <c r="S412" s="22"/>
      <c r="T412" s="22"/>
      <c r="U412" s="28"/>
    </row>
    <row r="413" ht="15.75" customHeight="1">
      <c r="A413" s="189"/>
      <c r="B413" s="22"/>
      <c r="C413" s="22"/>
      <c r="D413" s="22"/>
      <c r="E413" s="22"/>
      <c r="F413" s="22"/>
      <c r="G413" s="22"/>
      <c r="H413" s="22"/>
      <c r="I413" s="266"/>
      <c r="J413" s="272"/>
      <c r="K413" s="272"/>
      <c r="L413" s="272"/>
      <c r="M413" s="273"/>
      <c r="N413" s="273"/>
      <c r="O413" s="273"/>
      <c r="P413" s="27"/>
      <c r="Q413" s="27"/>
      <c r="R413" s="27"/>
      <c r="S413" s="22"/>
      <c r="T413" s="22"/>
      <c r="U413" s="28"/>
    </row>
    <row r="414" ht="15.75" customHeight="1">
      <c r="A414" s="189"/>
      <c r="B414" s="22"/>
      <c r="C414" s="22"/>
      <c r="D414" s="22"/>
      <c r="E414" s="22"/>
      <c r="F414" s="22"/>
      <c r="G414" s="22"/>
      <c r="H414" s="22"/>
      <c r="I414" s="266"/>
      <c r="J414" s="272"/>
      <c r="K414" s="272"/>
      <c r="L414" s="272"/>
      <c r="M414" s="273"/>
      <c r="N414" s="273"/>
      <c r="O414" s="273"/>
      <c r="P414" s="27"/>
      <c r="Q414" s="27"/>
      <c r="R414" s="27"/>
      <c r="S414" s="22"/>
      <c r="T414" s="22"/>
      <c r="U414" s="28"/>
    </row>
    <row r="415" ht="15.75" customHeight="1">
      <c r="A415" s="189"/>
      <c r="B415" s="22"/>
      <c r="C415" s="22"/>
      <c r="D415" s="22"/>
      <c r="E415" s="22"/>
      <c r="F415" s="22"/>
      <c r="G415" s="22"/>
      <c r="H415" s="22"/>
      <c r="I415" s="266"/>
      <c r="J415" s="272"/>
      <c r="K415" s="272"/>
      <c r="L415" s="272"/>
      <c r="M415" s="273"/>
      <c r="N415" s="273"/>
      <c r="O415" s="273"/>
      <c r="P415" s="27"/>
      <c r="Q415" s="27"/>
      <c r="R415" s="27"/>
      <c r="S415" s="22"/>
      <c r="T415" s="22"/>
      <c r="U415" s="28"/>
    </row>
    <row r="416" ht="15.75" customHeight="1">
      <c r="A416" s="189"/>
      <c r="B416" s="22"/>
      <c r="C416" s="22"/>
      <c r="D416" s="22"/>
      <c r="E416" s="22"/>
      <c r="F416" s="22"/>
      <c r="G416" s="22"/>
      <c r="H416" s="22"/>
      <c r="I416" s="266"/>
      <c r="J416" s="272"/>
      <c r="K416" s="272"/>
      <c r="L416" s="272"/>
      <c r="M416" s="273"/>
      <c r="N416" s="273"/>
      <c r="O416" s="273"/>
      <c r="P416" s="27"/>
      <c r="Q416" s="27"/>
      <c r="R416" s="27"/>
      <c r="S416" s="22"/>
      <c r="T416" s="22"/>
      <c r="U416" s="28"/>
    </row>
    <row r="417" ht="15.75" customHeight="1">
      <c r="A417" s="189"/>
      <c r="B417" s="22"/>
      <c r="C417" s="22"/>
      <c r="D417" s="22"/>
      <c r="E417" s="22"/>
      <c r="F417" s="22"/>
      <c r="G417" s="22"/>
      <c r="H417" s="22"/>
      <c r="I417" s="266"/>
      <c r="J417" s="272"/>
      <c r="K417" s="272"/>
      <c r="L417" s="272"/>
      <c r="M417" s="273"/>
      <c r="N417" s="273"/>
      <c r="O417" s="273"/>
      <c r="P417" s="27"/>
      <c r="Q417" s="27"/>
      <c r="R417" s="27"/>
      <c r="S417" s="22"/>
      <c r="T417" s="22"/>
      <c r="U417" s="28"/>
    </row>
    <row r="418" ht="15.75" customHeight="1">
      <c r="A418" s="189"/>
      <c r="B418" s="22"/>
      <c r="C418" s="22"/>
      <c r="D418" s="22"/>
      <c r="E418" s="22"/>
      <c r="F418" s="22"/>
      <c r="G418" s="22"/>
      <c r="H418" s="22"/>
      <c r="I418" s="266"/>
      <c r="J418" s="272"/>
      <c r="K418" s="272"/>
      <c r="L418" s="272"/>
      <c r="M418" s="273"/>
      <c r="N418" s="273"/>
      <c r="O418" s="273"/>
      <c r="P418" s="27"/>
      <c r="Q418" s="27"/>
      <c r="R418" s="27"/>
      <c r="S418" s="22"/>
      <c r="T418" s="22"/>
      <c r="U418" s="28"/>
    </row>
    <row r="419" ht="15.75" customHeight="1">
      <c r="A419" s="189"/>
      <c r="B419" s="22"/>
      <c r="C419" s="22"/>
      <c r="D419" s="22"/>
      <c r="E419" s="22"/>
      <c r="F419" s="22"/>
      <c r="G419" s="22"/>
      <c r="H419" s="22"/>
      <c r="I419" s="266"/>
      <c r="J419" s="272"/>
      <c r="K419" s="272"/>
      <c r="L419" s="272"/>
      <c r="M419" s="273"/>
      <c r="N419" s="273"/>
      <c r="O419" s="273"/>
      <c r="P419" s="27"/>
      <c r="Q419" s="27"/>
      <c r="R419" s="27"/>
      <c r="S419" s="22"/>
      <c r="T419" s="22"/>
      <c r="U419" s="28"/>
    </row>
    <row r="420" ht="15.75" customHeight="1">
      <c r="A420" s="189"/>
      <c r="B420" s="22"/>
      <c r="C420" s="22"/>
      <c r="D420" s="22"/>
      <c r="E420" s="22"/>
      <c r="F420" s="22"/>
      <c r="G420" s="22"/>
      <c r="H420" s="22"/>
      <c r="I420" s="266"/>
      <c r="J420" s="272"/>
      <c r="K420" s="272"/>
      <c r="L420" s="272"/>
      <c r="M420" s="273"/>
      <c r="N420" s="273"/>
      <c r="O420" s="273"/>
      <c r="P420" s="27"/>
      <c r="Q420" s="27"/>
      <c r="R420" s="27"/>
      <c r="S420" s="22"/>
      <c r="T420" s="22"/>
      <c r="U420" s="28"/>
    </row>
    <row r="421" ht="15.75" customHeight="1">
      <c r="A421" s="189"/>
      <c r="B421" s="22"/>
      <c r="C421" s="22"/>
      <c r="D421" s="22"/>
      <c r="E421" s="22"/>
      <c r="F421" s="22"/>
      <c r="G421" s="22"/>
      <c r="H421" s="22"/>
      <c r="I421" s="266"/>
      <c r="J421" s="272"/>
      <c r="K421" s="272"/>
      <c r="L421" s="272"/>
      <c r="M421" s="273"/>
      <c r="N421" s="273"/>
      <c r="O421" s="273"/>
      <c r="P421" s="27"/>
      <c r="Q421" s="27"/>
      <c r="R421" s="27"/>
      <c r="S421" s="22"/>
      <c r="T421" s="22"/>
      <c r="U421" s="28"/>
    </row>
    <row r="422" ht="15.75" customHeight="1">
      <c r="A422" s="189"/>
      <c r="B422" s="22"/>
      <c r="C422" s="22"/>
      <c r="D422" s="22"/>
      <c r="E422" s="22"/>
      <c r="F422" s="22"/>
      <c r="G422" s="22"/>
      <c r="H422" s="22"/>
      <c r="I422" s="266"/>
      <c r="J422" s="272"/>
      <c r="K422" s="272"/>
      <c r="L422" s="272"/>
      <c r="M422" s="273"/>
      <c r="N422" s="273"/>
      <c r="O422" s="273"/>
      <c r="P422" s="27"/>
      <c r="Q422" s="27"/>
      <c r="R422" s="27"/>
      <c r="S422" s="22"/>
      <c r="T422" s="22"/>
      <c r="U422" s="28"/>
    </row>
    <row r="423" ht="15.75" customHeight="1">
      <c r="A423" s="189"/>
      <c r="B423" s="22"/>
      <c r="C423" s="22"/>
      <c r="D423" s="22"/>
      <c r="E423" s="22"/>
      <c r="F423" s="22"/>
      <c r="G423" s="22"/>
      <c r="H423" s="22"/>
      <c r="I423" s="266"/>
      <c r="J423" s="272"/>
      <c r="K423" s="272"/>
      <c r="L423" s="272"/>
      <c r="M423" s="273"/>
      <c r="N423" s="273"/>
      <c r="O423" s="273"/>
      <c r="P423" s="27"/>
      <c r="Q423" s="27"/>
      <c r="R423" s="27"/>
      <c r="S423" s="22"/>
      <c r="T423" s="22"/>
      <c r="U423" s="28"/>
    </row>
    <row r="424" ht="15.75" customHeight="1">
      <c r="A424" s="189"/>
      <c r="B424" s="22"/>
      <c r="C424" s="22"/>
      <c r="D424" s="22"/>
      <c r="E424" s="22"/>
      <c r="F424" s="22"/>
      <c r="G424" s="22"/>
      <c r="H424" s="22"/>
      <c r="I424" s="266"/>
      <c r="J424" s="272"/>
      <c r="K424" s="272"/>
      <c r="L424" s="272"/>
      <c r="M424" s="273"/>
      <c r="N424" s="273"/>
      <c r="O424" s="273"/>
      <c r="P424" s="27"/>
      <c r="Q424" s="27"/>
      <c r="R424" s="27"/>
      <c r="S424" s="22"/>
      <c r="T424" s="22"/>
      <c r="U424" s="28"/>
    </row>
    <row r="425" ht="15.75" customHeight="1">
      <c r="A425" s="189"/>
      <c r="B425" s="22"/>
      <c r="C425" s="22"/>
      <c r="D425" s="22"/>
      <c r="E425" s="22"/>
      <c r="F425" s="22"/>
      <c r="G425" s="22"/>
      <c r="H425" s="22"/>
      <c r="I425" s="266"/>
      <c r="J425" s="272"/>
      <c r="K425" s="272"/>
      <c r="L425" s="272"/>
      <c r="M425" s="273"/>
      <c r="N425" s="273"/>
      <c r="O425" s="273"/>
      <c r="P425" s="27"/>
      <c r="Q425" s="27"/>
      <c r="R425" s="27"/>
      <c r="S425" s="22"/>
      <c r="T425" s="22"/>
      <c r="U425" s="28"/>
    </row>
    <row r="426" ht="15.75" customHeight="1">
      <c r="A426" s="189"/>
      <c r="B426" s="22"/>
      <c r="C426" s="22"/>
      <c r="D426" s="22"/>
      <c r="E426" s="22"/>
      <c r="F426" s="22"/>
      <c r="G426" s="22"/>
      <c r="H426" s="22"/>
      <c r="I426" s="266"/>
      <c r="J426" s="272"/>
      <c r="K426" s="272"/>
      <c r="L426" s="272"/>
      <c r="M426" s="273"/>
      <c r="N426" s="273"/>
      <c r="O426" s="273"/>
      <c r="P426" s="27"/>
      <c r="Q426" s="27"/>
      <c r="R426" s="27"/>
      <c r="S426" s="22"/>
      <c r="T426" s="22"/>
      <c r="U426" s="28"/>
    </row>
    <row r="427" ht="15.75" customHeight="1">
      <c r="A427" s="189"/>
      <c r="B427" s="22"/>
      <c r="C427" s="22"/>
      <c r="D427" s="22"/>
      <c r="E427" s="22"/>
      <c r="F427" s="22"/>
      <c r="G427" s="22"/>
      <c r="H427" s="22"/>
      <c r="I427" s="266"/>
      <c r="J427" s="272"/>
      <c r="K427" s="272"/>
      <c r="L427" s="272"/>
      <c r="M427" s="273"/>
      <c r="N427" s="273"/>
      <c r="O427" s="273"/>
      <c r="P427" s="27"/>
      <c r="Q427" s="27"/>
      <c r="R427" s="27"/>
      <c r="S427" s="22"/>
      <c r="T427" s="22"/>
      <c r="U427" s="28"/>
    </row>
    <row r="428" ht="15.75" customHeight="1">
      <c r="A428" s="189"/>
      <c r="B428" s="22"/>
      <c r="C428" s="22"/>
      <c r="D428" s="22"/>
      <c r="E428" s="22"/>
      <c r="F428" s="22"/>
      <c r="G428" s="22"/>
      <c r="H428" s="22"/>
      <c r="I428" s="266"/>
      <c r="J428" s="272"/>
      <c r="K428" s="272"/>
      <c r="L428" s="272"/>
      <c r="M428" s="273"/>
      <c r="N428" s="273"/>
      <c r="O428" s="273"/>
      <c r="P428" s="27"/>
      <c r="Q428" s="27"/>
      <c r="R428" s="27"/>
      <c r="S428" s="22"/>
      <c r="T428" s="22"/>
      <c r="U428" s="28"/>
    </row>
    <row r="429" ht="15.75" customHeight="1">
      <c r="A429" s="189"/>
      <c r="B429" s="22"/>
      <c r="C429" s="22"/>
      <c r="D429" s="22"/>
      <c r="E429" s="22"/>
      <c r="F429" s="22"/>
      <c r="G429" s="22"/>
      <c r="H429" s="22"/>
      <c r="I429" s="266"/>
      <c r="J429" s="272"/>
      <c r="K429" s="272"/>
      <c r="L429" s="272"/>
      <c r="M429" s="273"/>
      <c r="N429" s="273"/>
      <c r="O429" s="273"/>
      <c r="P429" s="27"/>
      <c r="Q429" s="27"/>
      <c r="R429" s="27"/>
      <c r="S429" s="22"/>
      <c r="T429" s="22"/>
      <c r="U429" s="28"/>
    </row>
    <row r="430" ht="15.75" customHeight="1">
      <c r="A430" s="189"/>
      <c r="B430" s="22"/>
      <c r="C430" s="22"/>
      <c r="D430" s="22"/>
      <c r="E430" s="22"/>
      <c r="F430" s="22"/>
      <c r="G430" s="22"/>
      <c r="H430" s="22"/>
      <c r="I430" s="266"/>
      <c r="J430" s="272"/>
      <c r="K430" s="272"/>
      <c r="L430" s="272"/>
      <c r="M430" s="273"/>
      <c r="N430" s="273"/>
      <c r="O430" s="273"/>
      <c r="P430" s="27"/>
      <c r="Q430" s="27"/>
      <c r="R430" s="27"/>
      <c r="S430" s="22"/>
      <c r="T430" s="22"/>
      <c r="U430" s="28"/>
    </row>
    <row r="431" ht="15.75" customHeight="1">
      <c r="A431" s="189"/>
      <c r="B431" s="22"/>
      <c r="C431" s="22"/>
      <c r="D431" s="22"/>
      <c r="E431" s="22"/>
      <c r="F431" s="22"/>
      <c r="G431" s="22"/>
      <c r="H431" s="22"/>
      <c r="I431" s="266"/>
      <c r="J431" s="272"/>
      <c r="K431" s="272"/>
      <c r="L431" s="272"/>
      <c r="M431" s="273"/>
      <c r="N431" s="273"/>
      <c r="O431" s="273"/>
      <c r="P431" s="27"/>
      <c r="Q431" s="27"/>
      <c r="R431" s="27"/>
      <c r="S431" s="22"/>
      <c r="T431" s="22"/>
      <c r="U431" s="28"/>
    </row>
    <row r="432" ht="15.75" customHeight="1">
      <c r="A432" s="189"/>
      <c r="B432" s="22"/>
      <c r="C432" s="22"/>
      <c r="D432" s="22"/>
      <c r="E432" s="22"/>
      <c r="F432" s="22"/>
      <c r="G432" s="22"/>
      <c r="H432" s="22"/>
      <c r="I432" s="266"/>
      <c r="J432" s="272"/>
      <c r="K432" s="272"/>
      <c r="L432" s="272"/>
      <c r="M432" s="273"/>
      <c r="N432" s="273"/>
      <c r="O432" s="273"/>
      <c r="P432" s="27"/>
      <c r="Q432" s="27"/>
      <c r="R432" s="27"/>
      <c r="S432" s="22"/>
      <c r="T432" s="22"/>
      <c r="U432" s="28"/>
    </row>
    <row r="433" ht="15.75" customHeight="1">
      <c r="A433" s="189"/>
      <c r="B433" s="22"/>
      <c r="C433" s="22"/>
      <c r="D433" s="22"/>
      <c r="E433" s="22"/>
      <c r="F433" s="22"/>
      <c r="G433" s="22"/>
      <c r="H433" s="22"/>
      <c r="I433" s="266"/>
      <c r="J433" s="272"/>
      <c r="K433" s="272"/>
      <c r="L433" s="272"/>
      <c r="M433" s="273"/>
      <c r="N433" s="273"/>
      <c r="O433" s="273"/>
      <c r="P433" s="27"/>
      <c r="Q433" s="27"/>
      <c r="R433" s="27"/>
      <c r="S433" s="22"/>
      <c r="T433" s="22"/>
      <c r="U433" s="28"/>
    </row>
    <row r="434" ht="15.75" customHeight="1">
      <c r="A434" s="189"/>
      <c r="B434" s="22"/>
      <c r="C434" s="22"/>
      <c r="D434" s="22"/>
      <c r="E434" s="22"/>
      <c r="F434" s="22"/>
      <c r="G434" s="22"/>
      <c r="H434" s="22"/>
      <c r="I434" s="266"/>
      <c r="J434" s="272"/>
      <c r="K434" s="272"/>
      <c r="L434" s="272"/>
      <c r="M434" s="273"/>
      <c r="N434" s="273"/>
      <c r="O434" s="273"/>
      <c r="P434" s="27"/>
      <c r="Q434" s="27"/>
      <c r="R434" s="27"/>
      <c r="S434" s="22"/>
      <c r="T434" s="22"/>
      <c r="U434" s="28"/>
    </row>
    <row r="435" ht="15.75" customHeight="1">
      <c r="A435" s="189"/>
      <c r="B435" s="22"/>
      <c r="C435" s="22"/>
      <c r="D435" s="22"/>
      <c r="E435" s="22"/>
      <c r="F435" s="22"/>
      <c r="G435" s="22"/>
      <c r="H435" s="22"/>
      <c r="I435" s="266"/>
      <c r="J435" s="272"/>
      <c r="K435" s="272"/>
      <c r="L435" s="272"/>
      <c r="M435" s="273"/>
      <c r="N435" s="273"/>
      <c r="O435" s="273"/>
      <c r="P435" s="27"/>
      <c r="Q435" s="27"/>
      <c r="R435" s="27"/>
      <c r="S435" s="22"/>
      <c r="T435" s="22"/>
      <c r="U435" s="28"/>
    </row>
    <row r="436" ht="15.75" customHeight="1">
      <c r="A436" s="189"/>
      <c r="B436" s="22"/>
      <c r="C436" s="22"/>
      <c r="D436" s="22"/>
      <c r="E436" s="22"/>
      <c r="F436" s="22"/>
      <c r="G436" s="22"/>
      <c r="H436" s="22"/>
      <c r="I436" s="266"/>
      <c r="J436" s="272"/>
      <c r="K436" s="272"/>
      <c r="L436" s="272"/>
      <c r="M436" s="273"/>
      <c r="N436" s="273"/>
      <c r="O436" s="273"/>
      <c r="P436" s="27"/>
      <c r="Q436" s="27"/>
      <c r="R436" s="27"/>
      <c r="S436" s="22"/>
      <c r="T436" s="22"/>
      <c r="U436" s="28"/>
    </row>
    <row r="437" ht="15.75" customHeight="1">
      <c r="A437" s="189"/>
      <c r="B437" s="22"/>
      <c r="C437" s="22"/>
      <c r="D437" s="22"/>
      <c r="E437" s="22"/>
      <c r="F437" s="22"/>
      <c r="G437" s="22"/>
      <c r="H437" s="22"/>
      <c r="I437" s="266"/>
      <c r="J437" s="272"/>
      <c r="K437" s="272"/>
      <c r="L437" s="272"/>
      <c r="M437" s="273"/>
      <c r="N437" s="273"/>
      <c r="O437" s="273"/>
      <c r="P437" s="27"/>
      <c r="Q437" s="27"/>
      <c r="R437" s="27"/>
      <c r="S437" s="22"/>
      <c r="T437" s="22"/>
      <c r="U437" s="28"/>
    </row>
    <row r="438" ht="15.75" customHeight="1">
      <c r="A438" s="189"/>
      <c r="B438" s="22"/>
      <c r="C438" s="22"/>
      <c r="D438" s="22"/>
      <c r="E438" s="22"/>
      <c r="F438" s="22"/>
      <c r="G438" s="22"/>
      <c r="H438" s="22"/>
      <c r="I438" s="266"/>
      <c r="J438" s="272"/>
      <c r="K438" s="272"/>
      <c r="L438" s="272"/>
      <c r="M438" s="273"/>
      <c r="N438" s="273"/>
      <c r="O438" s="273"/>
      <c r="P438" s="27"/>
      <c r="Q438" s="27"/>
      <c r="R438" s="27"/>
      <c r="S438" s="22"/>
      <c r="T438" s="22"/>
      <c r="U438" s="28"/>
    </row>
    <row r="439" ht="15.75" customHeight="1">
      <c r="A439" s="189"/>
      <c r="B439" s="22"/>
      <c r="C439" s="22"/>
      <c r="D439" s="22"/>
      <c r="E439" s="22"/>
      <c r="F439" s="22"/>
      <c r="G439" s="22"/>
      <c r="H439" s="22"/>
      <c r="I439" s="266"/>
      <c r="J439" s="272"/>
      <c r="K439" s="272"/>
      <c r="L439" s="272"/>
      <c r="M439" s="273"/>
      <c r="N439" s="273"/>
      <c r="O439" s="273"/>
      <c r="P439" s="27"/>
      <c r="Q439" s="27"/>
      <c r="R439" s="27"/>
      <c r="S439" s="22"/>
      <c r="T439" s="22"/>
      <c r="U439" s="28"/>
    </row>
    <row r="440" ht="15.75" customHeight="1">
      <c r="A440" s="189"/>
      <c r="B440" s="22"/>
      <c r="C440" s="22"/>
      <c r="D440" s="22"/>
      <c r="E440" s="22"/>
      <c r="F440" s="22"/>
      <c r="G440" s="22"/>
      <c r="H440" s="22"/>
      <c r="I440" s="266"/>
      <c r="J440" s="272"/>
      <c r="K440" s="272"/>
      <c r="L440" s="272"/>
      <c r="M440" s="273"/>
      <c r="N440" s="273"/>
      <c r="O440" s="273"/>
      <c r="P440" s="27"/>
      <c r="Q440" s="27"/>
      <c r="R440" s="27"/>
      <c r="S440" s="22"/>
      <c r="T440" s="22"/>
      <c r="U440" s="28"/>
    </row>
    <row r="441" ht="15.75" customHeight="1">
      <c r="A441" s="189"/>
      <c r="B441" s="22"/>
      <c r="C441" s="22"/>
      <c r="D441" s="22"/>
      <c r="E441" s="22"/>
      <c r="F441" s="22"/>
      <c r="G441" s="22"/>
      <c r="H441" s="22"/>
      <c r="I441" s="266"/>
      <c r="J441" s="272"/>
      <c r="K441" s="272"/>
      <c r="L441" s="272"/>
      <c r="M441" s="273"/>
      <c r="N441" s="273"/>
      <c r="O441" s="273"/>
      <c r="P441" s="27"/>
      <c r="Q441" s="27"/>
      <c r="R441" s="27"/>
      <c r="S441" s="22"/>
      <c r="T441" s="22"/>
      <c r="U441" s="28"/>
    </row>
    <row r="442" ht="15.75" customHeight="1">
      <c r="A442" s="189"/>
      <c r="B442" s="22"/>
      <c r="C442" s="22"/>
      <c r="D442" s="22"/>
      <c r="E442" s="22"/>
      <c r="F442" s="22"/>
      <c r="G442" s="22"/>
      <c r="H442" s="22"/>
      <c r="I442" s="266"/>
      <c r="J442" s="272"/>
      <c r="K442" s="272"/>
      <c r="L442" s="272"/>
      <c r="M442" s="273"/>
      <c r="N442" s="273"/>
      <c r="O442" s="273"/>
      <c r="P442" s="27"/>
      <c r="Q442" s="27"/>
      <c r="R442" s="27"/>
      <c r="S442" s="22"/>
      <c r="T442" s="22"/>
      <c r="U442" s="28"/>
    </row>
    <row r="443" ht="15.75" customHeight="1">
      <c r="A443" s="189"/>
      <c r="B443" s="22"/>
      <c r="C443" s="22"/>
      <c r="D443" s="22"/>
      <c r="E443" s="22"/>
      <c r="F443" s="22"/>
      <c r="G443" s="22"/>
      <c r="H443" s="22"/>
      <c r="I443" s="266"/>
      <c r="J443" s="272"/>
      <c r="K443" s="272"/>
      <c r="L443" s="272"/>
      <c r="M443" s="273"/>
      <c r="N443" s="273"/>
      <c r="O443" s="273"/>
      <c r="P443" s="27"/>
      <c r="Q443" s="27"/>
      <c r="R443" s="27"/>
      <c r="S443" s="22"/>
      <c r="T443" s="22"/>
      <c r="U443" s="28"/>
    </row>
    <row r="444" ht="15.75" customHeight="1">
      <c r="A444" s="189"/>
      <c r="B444" s="22"/>
      <c r="C444" s="22"/>
      <c r="D444" s="22"/>
      <c r="E444" s="22"/>
      <c r="F444" s="22"/>
      <c r="G444" s="22"/>
      <c r="H444" s="22"/>
      <c r="I444" s="266"/>
      <c r="J444" s="272"/>
      <c r="K444" s="272"/>
      <c r="L444" s="272"/>
      <c r="M444" s="273"/>
      <c r="N444" s="273"/>
      <c r="O444" s="273"/>
      <c r="P444" s="27"/>
      <c r="Q444" s="27"/>
      <c r="R444" s="27"/>
      <c r="S444" s="22"/>
      <c r="T444" s="22"/>
      <c r="U444" s="28"/>
    </row>
    <row r="445" ht="15.75" customHeight="1">
      <c r="A445" s="189"/>
      <c r="B445" s="22"/>
      <c r="C445" s="22"/>
      <c r="D445" s="22"/>
      <c r="E445" s="22"/>
      <c r="F445" s="22"/>
      <c r="G445" s="22"/>
      <c r="H445" s="22"/>
      <c r="I445" s="266"/>
      <c r="J445" s="272"/>
      <c r="K445" s="272"/>
      <c r="L445" s="272"/>
      <c r="M445" s="273"/>
      <c r="N445" s="273"/>
      <c r="O445" s="273"/>
      <c r="P445" s="27"/>
      <c r="Q445" s="27"/>
      <c r="R445" s="27"/>
      <c r="S445" s="22"/>
      <c r="T445" s="22"/>
      <c r="U445" s="28"/>
    </row>
    <row r="446" ht="15.75" customHeight="1">
      <c r="A446" s="189"/>
      <c r="B446" s="22"/>
      <c r="C446" s="22"/>
      <c r="D446" s="22"/>
      <c r="E446" s="22"/>
      <c r="F446" s="22"/>
      <c r="G446" s="22"/>
      <c r="H446" s="22"/>
      <c r="I446" s="266"/>
      <c r="J446" s="272"/>
      <c r="K446" s="272"/>
      <c r="L446" s="272"/>
      <c r="M446" s="273"/>
      <c r="N446" s="273"/>
      <c r="O446" s="273"/>
      <c r="P446" s="27"/>
      <c r="Q446" s="27"/>
      <c r="R446" s="27"/>
      <c r="S446" s="22"/>
      <c r="T446" s="22"/>
      <c r="U446" s="28"/>
    </row>
    <row r="447" ht="15.75" customHeight="1">
      <c r="A447" s="189"/>
      <c r="B447" s="22"/>
      <c r="C447" s="22"/>
      <c r="D447" s="22"/>
      <c r="E447" s="22"/>
      <c r="F447" s="22"/>
      <c r="G447" s="22"/>
      <c r="H447" s="22"/>
      <c r="I447" s="266"/>
      <c r="J447" s="272"/>
      <c r="K447" s="272"/>
      <c r="L447" s="272"/>
      <c r="M447" s="273"/>
      <c r="N447" s="273"/>
      <c r="O447" s="273"/>
      <c r="P447" s="27"/>
      <c r="Q447" s="27"/>
      <c r="R447" s="27"/>
      <c r="S447" s="22"/>
      <c r="T447" s="22"/>
      <c r="U447" s="28"/>
    </row>
    <row r="448" ht="15.75" customHeight="1">
      <c r="A448" s="189"/>
      <c r="B448" s="22"/>
      <c r="C448" s="22"/>
      <c r="D448" s="22"/>
      <c r="E448" s="22"/>
      <c r="F448" s="22"/>
      <c r="G448" s="22"/>
      <c r="H448" s="22"/>
      <c r="I448" s="266"/>
      <c r="J448" s="272"/>
      <c r="K448" s="272"/>
      <c r="L448" s="272"/>
      <c r="M448" s="273"/>
      <c r="N448" s="273"/>
      <c r="O448" s="273"/>
      <c r="P448" s="27"/>
      <c r="Q448" s="27"/>
      <c r="R448" s="27"/>
      <c r="S448" s="22"/>
      <c r="T448" s="22"/>
      <c r="U448" s="28"/>
    </row>
    <row r="449" ht="15.75" customHeight="1">
      <c r="A449" s="189"/>
      <c r="B449" s="22"/>
      <c r="C449" s="22"/>
      <c r="D449" s="22"/>
      <c r="E449" s="22"/>
      <c r="F449" s="22"/>
      <c r="G449" s="22"/>
      <c r="H449" s="22"/>
      <c r="I449" s="266"/>
      <c r="J449" s="272"/>
      <c r="K449" s="272"/>
      <c r="L449" s="272"/>
      <c r="M449" s="273"/>
      <c r="N449" s="273"/>
      <c r="O449" s="273"/>
      <c r="P449" s="27"/>
      <c r="Q449" s="27"/>
      <c r="R449" s="27"/>
      <c r="S449" s="22"/>
      <c r="T449" s="22"/>
      <c r="U449" s="28"/>
    </row>
    <row r="450" ht="15.75" customHeight="1">
      <c r="A450" s="189"/>
      <c r="B450" s="22"/>
      <c r="C450" s="22"/>
      <c r="D450" s="22"/>
      <c r="E450" s="22"/>
      <c r="F450" s="22"/>
      <c r="G450" s="22"/>
      <c r="H450" s="22"/>
      <c r="I450" s="266"/>
      <c r="J450" s="272"/>
      <c r="K450" s="272"/>
      <c r="L450" s="272"/>
      <c r="M450" s="273"/>
      <c r="N450" s="273"/>
      <c r="O450" s="273"/>
      <c r="P450" s="27"/>
      <c r="Q450" s="27"/>
      <c r="R450" s="27"/>
      <c r="S450" s="22"/>
      <c r="T450" s="22"/>
      <c r="U450" s="28"/>
    </row>
    <row r="451" ht="15.75" customHeight="1">
      <c r="A451" s="189"/>
      <c r="B451" s="22"/>
      <c r="C451" s="22"/>
      <c r="D451" s="22"/>
      <c r="E451" s="22"/>
      <c r="F451" s="22"/>
      <c r="G451" s="22"/>
      <c r="H451" s="22"/>
      <c r="I451" s="266"/>
      <c r="J451" s="272"/>
      <c r="K451" s="272"/>
      <c r="L451" s="272"/>
      <c r="M451" s="273"/>
      <c r="N451" s="273"/>
      <c r="O451" s="273"/>
      <c r="P451" s="27"/>
      <c r="Q451" s="27"/>
      <c r="R451" s="27"/>
      <c r="S451" s="22"/>
      <c r="T451" s="22"/>
      <c r="U451" s="28"/>
    </row>
    <row r="452" ht="15.75" customHeight="1">
      <c r="A452" s="189"/>
      <c r="B452" s="22"/>
      <c r="C452" s="22"/>
      <c r="D452" s="22"/>
      <c r="E452" s="22"/>
      <c r="F452" s="22"/>
      <c r="G452" s="22"/>
      <c r="H452" s="22"/>
      <c r="I452" s="266"/>
      <c r="J452" s="272"/>
      <c r="K452" s="272"/>
      <c r="L452" s="272"/>
      <c r="M452" s="273"/>
      <c r="N452" s="273"/>
      <c r="O452" s="273"/>
      <c r="P452" s="27"/>
      <c r="Q452" s="27"/>
      <c r="R452" s="27"/>
      <c r="S452" s="22"/>
      <c r="T452" s="22"/>
      <c r="U452" s="28"/>
    </row>
    <row r="453" ht="15.75" customHeight="1">
      <c r="A453" s="189"/>
      <c r="B453" s="22"/>
      <c r="C453" s="22"/>
      <c r="D453" s="22"/>
      <c r="E453" s="22"/>
      <c r="F453" s="22"/>
      <c r="G453" s="22"/>
      <c r="H453" s="22"/>
      <c r="I453" s="266"/>
      <c r="J453" s="272"/>
      <c r="K453" s="272"/>
      <c r="L453" s="272"/>
      <c r="M453" s="273"/>
      <c r="N453" s="273"/>
      <c r="O453" s="273"/>
      <c r="P453" s="27"/>
      <c r="Q453" s="27"/>
      <c r="R453" s="27"/>
      <c r="S453" s="22"/>
      <c r="T453" s="22"/>
      <c r="U453" s="28"/>
    </row>
    <row r="454" ht="15.75" customHeight="1">
      <c r="A454" s="189"/>
      <c r="B454" s="22"/>
      <c r="C454" s="22"/>
      <c r="D454" s="22"/>
      <c r="E454" s="22"/>
      <c r="F454" s="22"/>
      <c r="G454" s="22"/>
      <c r="H454" s="22"/>
      <c r="I454" s="266"/>
      <c r="J454" s="272"/>
      <c r="K454" s="272"/>
      <c r="L454" s="272"/>
      <c r="M454" s="273"/>
      <c r="N454" s="273"/>
      <c r="O454" s="273"/>
      <c r="P454" s="27"/>
      <c r="Q454" s="27"/>
      <c r="R454" s="27"/>
      <c r="S454" s="22"/>
      <c r="T454" s="22"/>
      <c r="U454" s="28"/>
    </row>
    <row r="455" ht="15.75" customHeight="1">
      <c r="A455" s="189"/>
      <c r="B455" s="22"/>
      <c r="C455" s="22"/>
      <c r="D455" s="22"/>
      <c r="E455" s="22"/>
      <c r="F455" s="22"/>
      <c r="G455" s="22"/>
      <c r="H455" s="22"/>
      <c r="I455" s="266"/>
      <c r="J455" s="272"/>
      <c r="K455" s="272"/>
      <c r="L455" s="272"/>
      <c r="M455" s="273"/>
      <c r="N455" s="273"/>
      <c r="O455" s="273"/>
      <c r="P455" s="27"/>
      <c r="Q455" s="27"/>
      <c r="R455" s="27"/>
      <c r="S455" s="22"/>
      <c r="T455" s="22"/>
      <c r="U455" s="28"/>
    </row>
    <row r="456" ht="15.75" customHeight="1">
      <c r="A456" s="189"/>
      <c r="B456" s="22"/>
      <c r="C456" s="22"/>
      <c r="D456" s="22"/>
      <c r="E456" s="22"/>
      <c r="F456" s="22"/>
      <c r="G456" s="22"/>
      <c r="H456" s="22"/>
      <c r="I456" s="266"/>
      <c r="J456" s="272"/>
      <c r="K456" s="272"/>
      <c r="L456" s="272"/>
      <c r="M456" s="273"/>
      <c r="N456" s="273"/>
      <c r="O456" s="273"/>
      <c r="P456" s="27"/>
      <c r="Q456" s="27"/>
      <c r="R456" s="27"/>
      <c r="S456" s="22"/>
      <c r="T456" s="22"/>
      <c r="U456" s="28"/>
    </row>
    <row r="457" ht="15.75" customHeight="1">
      <c r="A457" s="189"/>
      <c r="B457" s="22"/>
      <c r="C457" s="22"/>
      <c r="D457" s="22"/>
      <c r="E457" s="22"/>
      <c r="F457" s="22"/>
      <c r="G457" s="22"/>
      <c r="H457" s="22"/>
      <c r="I457" s="266"/>
      <c r="J457" s="272"/>
      <c r="K457" s="272"/>
      <c r="L457" s="272"/>
      <c r="M457" s="273"/>
      <c r="N457" s="273"/>
      <c r="O457" s="273"/>
      <c r="P457" s="27"/>
      <c r="Q457" s="27"/>
      <c r="R457" s="27"/>
      <c r="S457" s="22"/>
      <c r="T457" s="22"/>
      <c r="U457" s="28"/>
    </row>
    <row r="458" ht="15.75" customHeight="1">
      <c r="A458" s="189"/>
      <c r="B458" s="22"/>
      <c r="C458" s="22"/>
      <c r="D458" s="22"/>
      <c r="E458" s="22"/>
      <c r="F458" s="22"/>
      <c r="G458" s="22"/>
      <c r="H458" s="22"/>
      <c r="I458" s="266"/>
      <c r="J458" s="272"/>
      <c r="K458" s="272"/>
      <c r="L458" s="272"/>
      <c r="M458" s="273"/>
      <c r="N458" s="273"/>
      <c r="O458" s="273"/>
      <c r="P458" s="27"/>
      <c r="Q458" s="27"/>
      <c r="R458" s="27"/>
      <c r="S458" s="22"/>
      <c r="T458" s="22"/>
      <c r="U458" s="28"/>
    </row>
    <row r="459" ht="15.75" customHeight="1">
      <c r="A459" s="189"/>
      <c r="B459" s="22"/>
      <c r="C459" s="22"/>
      <c r="D459" s="22"/>
      <c r="E459" s="22"/>
      <c r="F459" s="22"/>
      <c r="G459" s="22"/>
      <c r="H459" s="22"/>
      <c r="I459" s="266"/>
      <c r="J459" s="272"/>
      <c r="K459" s="272"/>
      <c r="L459" s="272"/>
      <c r="M459" s="273"/>
      <c r="N459" s="273"/>
      <c r="O459" s="273"/>
      <c r="P459" s="27"/>
      <c r="Q459" s="27"/>
      <c r="R459" s="27"/>
      <c r="S459" s="22"/>
      <c r="T459" s="22"/>
      <c r="U459" s="28"/>
    </row>
    <row r="460" ht="15.75" customHeight="1">
      <c r="A460" s="189"/>
      <c r="B460" s="22"/>
      <c r="C460" s="22"/>
      <c r="D460" s="22"/>
      <c r="E460" s="22"/>
      <c r="F460" s="22"/>
      <c r="G460" s="22"/>
      <c r="H460" s="22"/>
      <c r="I460" s="266"/>
      <c r="J460" s="272"/>
      <c r="K460" s="272"/>
      <c r="L460" s="272"/>
      <c r="M460" s="273"/>
      <c r="N460" s="273"/>
      <c r="O460" s="273"/>
      <c r="P460" s="27"/>
      <c r="Q460" s="27"/>
      <c r="R460" s="27"/>
      <c r="S460" s="22"/>
      <c r="T460" s="22"/>
      <c r="U460" s="28"/>
    </row>
    <row r="461" ht="15.75" customHeight="1">
      <c r="A461" s="189"/>
      <c r="B461" s="22"/>
      <c r="C461" s="22"/>
      <c r="D461" s="22"/>
      <c r="E461" s="22"/>
      <c r="F461" s="22"/>
      <c r="G461" s="22"/>
      <c r="H461" s="22"/>
      <c r="I461" s="266"/>
      <c r="J461" s="272"/>
      <c r="K461" s="272"/>
      <c r="L461" s="272"/>
      <c r="M461" s="273"/>
      <c r="N461" s="273"/>
      <c r="O461" s="273"/>
      <c r="P461" s="27"/>
      <c r="Q461" s="27"/>
      <c r="R461" s="27"/>
      <c r="S461" s="22"/>
      <c r="T461" s="22"/>
      <c r="U461" s="28"/>
    </row>
    <row r="462" ht="15.75" customHeight="1">
      <c r="A462" s="189"/>
      <c r="B462" s="22"/>
      <c r="C462" s="22"/>
      <c r="D462" s="22"/>
      <c r="E462" s="22"/>
      <c r="F462" s="22"/>
      <c r="G462" s="22"/>
      <c r="H462" s="22"/>
      <c r="I462" s="266"/>
      <c r="J462" s="272"/>
      <c r="K462" s="272"/>
      <c r="L462" s="272"/>
      <c r="M462" s="273"/>
      <c r="N462" s="273"/>
      <c r="O462" s="273"/>
      <c r="P462" s="27"/>
      <c r="Q462" s="27"/>
      <c r="R462" s="27"/>
      <c r="S462" s="22"/>
      <c r="T462" s="22"/>
      <c r="U462" s="28"/>
    </row>
    <row r="463" ht="15.75" customHeight="1">
      <c r="A463" s="189"/>
      <c r="B463" s="22"/>
      <c r="C463" s="22"/>
      <c r="D463" s="22"/>
      <c r="E463" s="22"/>
      <c r="F463" s="22"/>
      <c r="G463" s="22"/>
      <c r="H463" s="22"/>
      <c r="I463" s="266"/>
      <c r="J463" s="272"/>
      <c r="K463" s="272"/>
      <c r="L463" s="272"/>
      <c r="M463" s="273"/>
      <c r="N463" s="273"/>
      <c r="O463" s="273"/>
      <c r="P463" s="27"/>
      <c r="Q463" s="27"/>
      <c r="R463" s="27"/>
      <c r="S463" s="22"/>
      <c r="T463" s="22"/>
      <c r="U463" s="28"/>
    </row>
    <row r="464" ht="15.75" customHeight="1">
      <c r="A464" s="189"/>
      <c r="B464" s="22"/>
      <c r="C464" s="22"/>
      <c r="D464" s="22"/>
      <c r="E464" s="22"/>
      <c r="F464" s="22"/>
      <c r="G464" s="22"/>
      <c r="H464" s="22"/>
      <c r="I464" s="266"/>
      <c r="J464" s="272"/>
      <c r="K464" s="272"/>
      <c r="L464" s="272"/>
      <c r="M464" s="273"/>
      <c r="N464" s="273"/>
      <c r="O464" s="273"/>
      <c r="P464" s="27"/>
      <c r="Q464" s="27"/>
      <c r="R464" s="27"/>
      <c r="S464" s="22"/>
      <c r="T464" s="22"/>
      <c r="U464" s="28"/>
    </row>
    <row r="465" ht="15.75" customHeight="1">
      <c r="A465" s="189"/>
      <c r="B465" s="22"/>
      <c r="C465" s="22"/>
      <c r="D465" s="22"/>
      <c r="E465" s="22"/>
      <c r="F465" s="22"/>
      <c r="G465" s="22"/>
      <c r="H465" s="22"/>
      <c r="I465" s="266"/>
      <c r="J465" s="272"/>
      <c r="K465" s="272"/>
      <c r="L465" s="272"/>
      <c r="M465" s="273"/>
      <c r="N465" s="273"/>
      <c r="O465" s="273"/>
      <c r="P465" s="27"/>
      <c r="Q465" s="27"/>
      <c r="R465" s="27"/>
      <c r="S465" s="22"/>
      <c r="T465" s="22"/>
      <c r="U465" s="28"/>
    </row>
    <row r="466" ht="15.75" customHeight="1">
      <c r="A466" s="189"/>
      <c r="B466" s="22"/>
      <c r="C466" s="22"/>
      <c r="D466" s="22"/>
      <c r="E466" s="22"/>
      <c r="F466" s="22"/>
      <c r="G466" s="22"/>
      <c r="H466" s="22"/>
      <c r="I466" s="266"/>
      <c r="J466" s="272"/>
      <c r="K466" s="272"/>
      <c r="L466" s="272"/>
      <c r="M466" s="273"/>
      <c r="N466" s="273"/>
      <c r="O466" s="273"/>
      <c r="P466" s="27"/>
      <c r="Q466" s="27"/>
      <c r="R466" s="27"/>
      <c r="S466" s="22"/>
      <c r="T466" s="22"/>
      <c r="U466" s="28"/>
    </row>
    <row r="467" ht="15.75" customHeight="1">
      <c r="A467" s="189"/>
      <c r="B467" s="22"/>
      <c r="C467" s="22"/>
      <c r="D467" s="22"/>
      <c r="E467" s="22"/>
      <c r="F467" s="22"/>
      <c r="G467" s="22"/>
      <c r="H467" s="22"/>
      <c r="I467" s="266"/>
      <c r="J467" s="272"/>
      <c r="K467" s="272"/>
      <c r="L467" s="272"/>
      <c r="M467" s="273"/>
      <c r="N467" s="273"/>
      <c r="O467" s="273"/>
      <c r="P467" s="27"/>
      <c r="Q467" s="27"/>
      <c r="R467" s="27"/>
      <c r="S467" s="22"/>
      <c r="T467" s="22"/>
      <c r="U467" s="28"/>
    </row>
    <row r="468" ht="15.75" customHeight="1">
      <c r="A468" s="189"/>
      <c r="B468" s="22"/>
      <c r="C468" s="22"/>
      <c r="D468" s="22"/>
      <c r="E468" s="22"/>
      <c r="F468" s="22"/>
      <c r="G468" s="22"/>
      <c r="H468" s="22"/>
      <c r="I468" s="266"/>
      <c r="J468" s="272"/>
      <c r="K468" s="272"/>
      <c r="L468" s="272"/>
      <c r="M468" s="273"/>
      <c r="N468" s="273"/>
      <c r="O468" s="273"/>
      <c r="P468" s="27"/>
      <c r="Q468" s="27"/>
      <c r="R468" s="27"/>
      <c r="S468" s="22"/>
      <c r="T468" s="22"/>
      <c r="U468" s="28"/>
    </row>
    <row r="469" ht="15.75" customHeight="1">
      <c r="A469" s="189"/>
      <c r="B469" s="22"/>
      <c r="C469" s="22"/>
      <c r="D469" s="22"/>
      <c r="E469" s="22"/>
      <c r="F469" s="22"/>
      <c r="G469" s="22"/>
      <c r="H469" s="22"/>
      <c r="I469" s="266"/>
      <c r="J469" s="272"/>
      <c r="K469" s="272"/>
      <c r="L469" s="272"/>
      <c r="M469" s="273"/>
      <c r="N469" s="273"/>
      <c r="O469" s="273"/>
      <c r="P469" s="27"/>
      <c r="Q469" s="27"/>
      <c r="R469" s="27"/>
      <c r="S469" s="22"/>
      <c r="T469" s="22"/>
      <c r="U469" s="28"/>
    </row>
    <row r="470" ht="15.75" customHeight="1">
      <c r="A470" s="189"/>
      <c r="B470" s="22"/>
      <c r="C470" s="22"/>
      <c r="D470" s="22"/>
      <c r="E470" s="22"/>
      <c r="F470" s="22"/>
      <c r="G470" s="22"/>
      <c r="H470" s="22"/>
      <c r="I470" s="266"/>
      <c r="J470" s="272"/>
      <c r="K470" s="272"/>
      <c r="L470" s="272"/>
      <c r="M470" s="273"/>
      <c r="N470" s="273"/>
      <c r="O470" s="273"/>
      <c r="P470" s="27"/>
      <c r="Q470" s="27"/>
      <c r="R470" s="27"/>
      <c r="S470" s="22"/>
      <c r="T470" s="22"/>
      <c r="U470" s="28"/>
    </row>
    <row r="471" ht="15.75" customHeight="1">
      <c r="A471" s="189"/>
      <c r="B471" s="22"/>
      <c r="C471" s="22"/>
      <c r="D471" s="22"/>
      <c r="E471" s="22"/>
      <c r="F471" s="22"/>
      <c r="G471" s="22"/>
      <c r="H471" s="22"/>
      <c r="I471" s="266"/>
      <c r="J471" s="272"/>
      <c r="K471" s="272"/>
      <c r="L471" s="272"/>
      <c r="M471" s="273"/>
      <c r="N471" s="273"/>
      <c r="O471" s="273"/>
      <c r="P471" s="27"/>
      <c r="Q471" s="27"/>
      <c r="R471" s="27"/>
      <c r="S471" s="22"/>
      <c r="T471" s="22"/>
      <c r="U471" s="28"/>
    </row>
    <row r="472" ht="15.75" customHeight="1">
      <c r="A472" s="189"/>
      <c r="B472" s="22"/>
      <c r="C472" s="22"/>
      <c r="D472" s="22"/>
      <c r="E472" s="22"/>
      <c r="F472" s="22"/>
      <c r="G472" s="22"/>
      <c r="H472" s="22"/>
      <c r="I472" s="266"/>
      <c r="J472" s="272"/>
      <c r="K472" s="272"/>
      <c r="L472" s="272"/>
      <c r="M472" s="273"/>
      <c r="N472" s="273"/>
      <c r="O472" s="273"/>
      <c r="P472" s="27"/>
      <c r="Q472" s="27"/>
      <c r="R472" s="27"/>
      <c r="S472" s="22"/>
      <c r="T472" s="22"/>
      <c r="U472" s="28"/>
    </row>
    <row r="473" ht="15.75" customHeight="1">
      <c r="A473" s="189"/>
      <c r="B473" s="22"/>
      <c r="C473" s="22"/>
      <c r="D473" s="22"/>
      <c r="E473" s="22"/>
      <c r="F473" s="22"/>
      <c r="G473" s="22"/>
      <c r="H473" s="22"/>
      <c r="I473" s="266"/>
      <c r="J473" s="272"/>
      <c r="K473" s="272"/>
      <c r="L473" s="272"/>
      <c r="M473" s="273"/>
      <c r="N473" s="273"/>
      <c r="O473" s="273"/>
      <c r="P473" s="27"/>
      <c r="Q473" s="27"/>
      <c r="R473" s="27"/>
      <c r="S473" s="22"/>
      <c r="T473" s="22"/>
      <c r="U473" s="28"/>
    </row>
    <row r="474" ht="15.75" customHeight="1">
      <c r="A474" s="189"/>
      <c r="B474" s="22"/>
      <c r="C474" s="22"/>
      <c r="D474" s="22"/>
      <c r="E474" s="22"/>
      <c r="F474" s="22"/>
      <c r="G474" s="22"/>
      <c r="H474" s="22"/>
      <c r="I474" s="266"/>
      <c r="J474" s="272"/>
      <c r="K474" s="272"/>
      <c r="L474" s="272"/>
      <c r="M474" s="273"/>
      <c r="N474" s="273"/>
      <c r="O474" s="273"/>
      <c r="P474" s="27"/>
      <c r="Q474" s="27"/>
      <c r="R474" s="27"/>
      <c r="S474" s="22"/>
      <c r="T474" s="22"/>
      <c r="U474" s="28"/>
    </row>
    <row r="475" ht="15.75" customHeight="1">
      <c r="A475" s="189"/>
      <c r="B475" s="22"/>
      <c r="C475" s="22"/>
      <c r="D475" s="22"/>
      <c r="E475" s="22"/>
      <c r="F475" s="22"/>
      <c r="G475" s="22"/>
      <c r="H475" s="22"/>
      <c r="I475" s="266"/>
      <c r="J475" s="272"/>
      <c r="K475" s="272"/>
      <c r="L475" s="272"/>
      <c r="M475" s="273"/>
      <c r="N475" s="273"/>
      <c r="O475" s="273"/>
      <c r="P475" s="27"/>
      <c r="Q475" s="27"/>
      <c r="R475" s="27"/>
      <c r="S475" s="22"/>
      <c r="T475" s="22"/>
      <c r="U475" s="28"/>
    </row>
    <row r="476" ht="15.75" customHeight="1">
      <c r="A476" s="189"/>
      <c r="B476" s="22"/>
      <c r="C476" s="22"/>
      <c r="D476" s="22"/>
      <c r="E476" s="22"/>
      <c r="F476" s="22"/>
      <c r="G476" s="22"/>
      <c r="H476" s="22"/>
      <c r="I476" s="266"/>
      <c r="J476" s="272"/>
      <c r="K476" s="272"/>
      <c r="L476" s="272"/>
      <c r="M476" s="273"/>
      <c r="N476" s="273"/>
      <c r="O476" s="273"/>
      <c r="P476" s="27"/>
      <c r="Q476" s="27"/>
      <c r="R476" s="27"/>
      <c r="S476" s="22"/>
      <c r="T476" s="22"/>
      <c r="U476" s="28"/>
    </row>
    <row r="477" ht="15.75" customHeight="1">
      <c r="A477" s="189"/>
      <c r="B477" s="22"/>
      <c r="C477" s="22"/>
      <c r="D477" s="22"/>
      <c r="E477" s="22"/>
      <c r="F477" s="22"/>
      <c r="G477" s="22"/>
      <c r="H477" s="22"/>
      <c r="I477" s="266"/>
      <c r="J477" s="272"/>
      <c r="K477" s="272"/>
      <c r="L477" s="272"/>
      <c r="M477" s="273"/>
      <c r="N477" s="273"/>
      <c r="O477" s="273"/>
      <c r="P477" s="27"/>
      <c r="Q477" s="27"/>
      <c r="R477" s="27"/>
      <c r="S477" s="22"/>
      <c r="T477" s="22"/>
      <c r="U477" s="28"/>
    </row>
    <row r="478" ht="15.75" customHeight="1">
      <c r="A478" s="189"/>
      <c r="B478" s="22"/>
      <c r="C478" s="22"/>
      <c r="D478" s="22"/>
      <c r="E478" s="22"/>
      <c r="F478" s="22"/>
      <c r="G478" s="22"/>
      <c r="H478" s="22"/>
      <c r="I478" s="266"/>
      <c r="J478" s="272"/>
      <c r="K478" s="272"/>
      <c r="L478" s="272"/>
      <c r="M478" s="273"/>
      <c r="N478" s="273"/>
      <c r="O478" s="273"/>
      <c r="P478" s="27"/>
      <c r="Q478" s="27"/>
      <c r="R478" s="27"/>
      <c r="S478" s="22"/>
      <c r="T478" s="22"/>
      <c r="U478" s="28"/>
    </row>
    <row r="479" ht="15.75" customHeight="1">
      <c r="A479" s="189"/>
      <c r="B479" s="22"/>
      <c r="C479" s="22"/>
      <c r="D479" s="22"/>
      <c r="E479" s="22"/>
      <c r="F479" s="22"/>
      <c r="G479" s="22"/>
      <c r="H479" s="22"/>
      <c r="I479" s="266"/>
      <c r="J479" s="272"/>
      <c r="K479" s="272"/>
      <c r="L479" s="272"/>
      <c r="M479" s="273"/>
      <c r="N479" s="273"/>
      <c r="O479" s="273"/>
      <c r="P479" s="27"/>
      <c r="Q479" s="27"/>
      <c r="R479" s="27"/>
      <c r="S479" s="22"/>
      <c r="T479" s="22"/>
      <c r="U479" s="28"/>
    </row>
    <row r="480" ht="15.75" customHeight="1">
      <c r="A480" s="189"/>
      <c r="B480" s="22"/>
      <c r="C480" s="22"/>
      <c r="D480" s="22"/>
      <c r="E480" s="22"/>
      <c r="F480" s="22"/>
      <c r="G480" s="22"/>
      <c r="H480" s="22"/>
      <c r="I480" s="266"/>
      <c r="J480" s="272"/>
      <c r="K480" s="272"/>
      <c r="L480" s="272"/>
      <c r="M480" s="273"/>
      <c r="N480" s="273"/>
      <c r="O480" s="273"/>
      <c r="P480" s="27"/>
      <c r="Q480" s="27"/>
      <c r="R480" s="27"/>
      <c r="S480" s="22"/>
      <c r="T480" s="22"/>
      <c r="U480" s="28"/>
    </row>
    <row r="481" ht="15.75" customHeight="1">
      <c r="A481" s="189"/>
      <c r="B481" s="22"/>
      <c r="C481" s="22"/>
      <c r="D481" s="22"/>
      <c r="E481" s="22"/>
      <c r="F481" s="22"/>
      <c r="G481" s="22"/>
      <c r="H481" s="22"/>
      <c r="I481" s="266"/>
      <c r="J481" s="272"/>
      <c r="K481" s="272"/>
      <c r="L481" s="272"/>
      <c r="M481" s="273"/>
      <c r="N481" s="273"/>
      <c r="O481" s="273"/>
      <c r="P481" s="27"/>
      <c r="Q481" s="27"/>
      <c r="R481" s="27"/>
      <c r="S481" s="22"/>
      <c r="T481" s="22"/>
      <c r="U481" s="28"/>
    </row>
    <row r="482" ht="15.75" customHeight="1">
      <c r="A482" s="189"/>
      <c r="B482" s="22"/>
      <c r="C482" s="22"/>
      <c r="D482" s="22"/>
      <c r="E482" s="22"/>
      <c r="F482" s="22"/>
      <c r="G482" s="22"/>
      <c r="H482" s="22"/>
      <c r="I482" s="266"/>
      <c r="J482" s="272"/>
      <c r="K482" s="272"/>
      <c r="L482" s="272"/>
      <c r="M482" s="273"/>
      <c r="N482" s="273"/>
      <c r="O482" s="273"/>
      <c r="P482" s="27"/>
      <c r="Q482" s="27"/>
      <c r="R482" s="27"/>
      <c r="S482" s="22"/>
      <c r="T482" s="22"/>
      <c r="U482" s="28"/>
    </row>
    <row r="483" ht="15.75" customHeight="1">
      <c r="A483" s="189"/>
      <c r="B483" s="22"/>
      <c r="C483" s="22"/>
      <c r="D483" s="22"/>
      <c r="E483" s="22"/>
      <c r="F483" s="22"/>
      <c r="G483" s="22"/>
      <c r="H483" s="22"/>
      <c r="I483" s="266"/>
      <c r="J483" s="272"/>
      <c r="K483" s="272"/>
      <c r="L483" s="272"/>
      <c r="M483" s="273"/>
      <c r="N483" s="273"/>
      <c r="O483" s="273"/>
      <c r="P483" s="27"/>
      <c r="Q483" s="27"/>
      <c r="R483" s="27"/>
      <c r="S483" s="22"/>
      <c r="T483" s="22"/>
      <c r="U483" s="28"/>
    </row>
    <row r="484" ht="15.75" customHeight="1">
      <c r="A484" s="189"/>
      <c r="B484" s="22"/>
      <c r="C484" s="22"/>
      <c r="D484" s="22"/>
      <c r="E484" s="22"/>
      <c r="F484" s="22"/>
      <c r="G484" s="22"/>
      <c r="H484" s="22"/>
      <c r="I484" s="266"/>
      <c r="J484" s="272"/>
      <c r="K484" s="272"/>
      <c r="L484" s="272"/>
      <c r="M484" s="273"/>
      <c r="N484" s="273"/>
      <c r="O484" s="273"/>
      <c r="P484" s="27"/>
      <c r="Q484" s="27"/>
      <c r="R484" s="27"/>
      <c r="S484" s="22"/>
      <c r="T484" s="22"/>
      <c r="U484" s="28"/>
    </row>
    <row r="485" ht="15.75" customHeight="1">
      <c r="A485" s="189"/>
      <c r="B485" s="22"/>
      <c r="C485" s="22"/>
      <c r="D485" s="22"/>
      <c r="E485" s="22"/>
      <c r="F485" s="22"/>
      <c r="G485" s="22"/>
      <c r="H485" s="22"/>
      <c r="I485" s="266"/>
      <c r="J485" s="272"/>
      <c r="K485" s="272"/>
      <c r="L485" s="272"/>
      <c r="M485" s="273"/>
      <c r="N485" s="273"/>
      <c r="O485" s="273"/>
      <c r="P485" s="27"/>
      <c r="Q485" s="27"/>
      <c r="R485" s="27"/>
      <c r="S485" s="22"/>
      <c r="T485" s="22"/>
      <c r="U485" s="28"/>
    </row>
    <row r="486" ht="15.75" customHeight="1">
      <c r="A486" s="189"/>
      <c r="B486" s="22"/>
      <c r="C486" s="22"/>
      <c r="D486" s="22"/>
      <c r="E486" s="22"/>
      <c r="F486" s="22"/>
      <c r="G486" s="22"/>
      <c r="H486" s="22"/>
      <c r="I486" s="266"/>
      <c r="J486" s="272"/>
      <c r="K486" s="272"/>
      <c r="L486" s="272"/>
      <c r="M486" s="273"/>
      <c r="N486" s="273"/>
      <c r="O486" s="273"/>
      <c r="P486" s="27"/>
      <c r="Q486" s="27"/>
      <c r="R486" s="27"/>
      <c r="S486" s="22"/>
      <c r="T486" s="22"/>
      <c r="U486" s="28"/>
    </row>
    <row r="487" ht="15.75" customHeight="1">
      <c r="A487" s="189"/>
      <c r="B487" s="22"/>
      <c r="C487" s="22"/>
      <c r="D487" s="22"/>
      <c r="E487" s="22"/>
      <c r="F487" s="22"/>
      <c r="G487" s="22"/>
      <c r="H487" s="22"/>
      <c r="I487" s="266"/>
      <c r="J487" s="272"/>
      <c r="K487" s="272"/>
      <c r="L487" s="272"/>
      <c r="M487" s="273"/>
      <c r="N487" s="273"/>
      <c r="O487" s="273"/>
      <c r="P487" s="27"/>
      <c r="Q487" s="27"/>
      <c r="R487" s="27"/>
      <c r="S487" s="22"/>
      <c r="T487" s="22"/>
      <c r="U487" s="28"/>
    </row>
    <row r="488" ht="15.75" customHeight="1">
      <c r="A488" s="189"/>
      <c r="B488" s="22"/>
      <c r="C488" s="22"/>
      <c r="D488" s="22"/>
      <c r="E488" s="22"/>
      <c r="F488" s="22"/>
      <c r="G488" s="22"/>
      <c r="H488" s="22"/>
      <c r="I488" s="266"/>
      <c r="J488" s="272"/>
      <c r="K488" s="272"/>
      <c r="L488" s="272"/>
      <c r="M488" s="273"/>
      <c r="N488" s="273"/>
      <c r="O488" s="273"/>
      <c r="P488" s="27"/>
      <c r="Q488" s="27"/>
      <c r="R488" s="27"/>
      <c r="S488" s="22"/>
      <c r="T488" s="22"/>
      <c r="U488" s="28"/>
    </row>
    <row r="489" ht="15.75" customHeight="1">
      <c r="A489" s="189"/>
      <c r="B489" s="22"/>
      <c r="C489" s="22"/>
      <c r="D489" s="22"/>
      <c r="E489" s="22"/>
      <c r="F489" s="22"/>
      <c r="G489" s="22"/>
      <c r="H489" s="22"/>
      <c r="I489" s="266"/>
      <c r="J489" s="272"/>
      <c r="K489" s="272"/>
      <c r="L489" s="272"/>
      <c r="M489" s="273"/>
      <c r="N489" s="273"/>
      <c r="O489" s="273"/>
      <c r="P489" s="27"/>
      <c r="Q489" s="27"/>
      <c r="R489" s="27"/>
      <c r="S489" s="22"/>
      <c r="T489" s="22"/>
      <c r="U489" s="28"/>
    </row>
    <row r="490" ht="15.75" customHeight="1">
      <c r="A490" s="189"/>
      <c r="B490" s="22"/>
      <c r="C490" s="22"/>
      <c r="D490" s="22"/>
      <c r="E490" s="22"/>
      <c r="F490" s="22"/>
      <c r="G490" s="22"/>
      <c r="H490" s="22"/>
      <c r="I490" s="266"/>
      <c r="J490" s="272"/>
      <c r="K490" s="272"/>
      <c r="L490" s="272"/>
      <c r="M490" s="273"/>
      <c r="N490" s="273"/>
      <c r="O490" s="273"/>
      <c r="P490" s="27"/>
      <c r="Q490" s="27"/>
      <c r="R490" s="27"/>
      <c r="S490" s="22"/>
      <c r="T490" s="22"/>
      <c r="U490" s="28"/>
    </row>
    <row r="491" ht="15.75" customHeight="1">
      <c r="A491" s="189"/>
      <c r="B491" s="22"/>
      <c r="C491" s="22"/>
      <c r="D491" s="22"/>
      <c r="E491" s="22"/>
      <c r="F491" s="22"/>
      <c r="G491" s="22"/>
      <c r="H491" s="22"/>
      <c r="I491" s="266"/>
      <c r="J491" s="272"/>
      <c r="K491" s="272"/>
      <c r="L491" s="272"/>
      <c r="M491" s="273"/>
      <c r="N491" s="273"/>
      <c r="O491" s="273"/>
      <c r="P491" s="27"/>
      <c r="Q491" s="27"/>
      <c r="R491" s="27"/>
      <c r="S491" s="22"/>
      <c r="T491" s="22"/>
      <c r="U491" s="28"/>
    </row>
    <row r="492" ht="15.75" customHeight="1">
      <c r="A492" s="189"/>
      <c r="B492" s="22"/>
      <c r="C492" s="22"/>
      <c r="D492" s="22"/>
      <c r="E492" s="22"/>
      <c r="F492" s="22"/>
      <c r="G492" s="22"/>
      <c r="H492" s="22"/>
      <c r="I492" s="266"/>
      <c r="J492" s="272"/>
      <c r="K492" s="272"/>
      <c r="L492" s="272"/>
      <c r="M492" s="273"/>
      <c r="N492" s="273"/>
      <c r="O492" s="273"/>
      <c r="P492" s="27"/>
      <c r="Q492" s="27"/>
      <c r="R492" s="27"/>
      <c r="S492" s="22"/>
      <c r="T492" s="22"/>
      <c r="U492" s="28"/>
    </row>
    <row r="493" ht="15.75" customHeight="1">
      <c r="A493" s="189"/>
      <c r="B493" s="22"/>
      <c r="C493" s="22"/>
      <c r="D493" s="22"/>
      <c r="E493" s="22"/>
      <c r="F493" s="22"/>
      <c r="G493" s="22"/>
      <c r="H493" s="22"/>
      <c r="I493" s="266"/>
      <c r="J493" s="272"/>
      <c r="K493" s="272"/>
      <c r="L493" s="272"/>
      <c r="M493" s="273"/>
      <c r="N493" s="273"/>
      <c r="O493" s="273"/>
      <c r="P493" s="27"/>
      <c r="Q493" s="27"/>
      <c r="R493" s="27"/>
      <c r="S493" s="22"/>
      <c r="T493" s="22"/>
      <c r="U493" s="28"/>
    </row>
    <row r="494" ht="15.75" customHeight="1">
      <c r="A494" s="189"/>
      <c r="B494" s="22"/>
      <c r="C494" s="22"/>
      <c r="D494" s="22"/>
      <c r="E494" s="22"/>
      <c r="F494" s="22"/>
      <c r="G494" s="22"/>
      <c r="H494" s="22"/>
      <c r="I494" s="266"/>
      <c r="J494" s="272"/>
      <c r="K494" s="272"/>
      <c r="L494" s="272"/>
      <c r="M494" s="273"/>
      <c r="N494" s="273"/>
      <c r="O494" s="273"/>
      <c r="P494" s="27"/>
      <c r="Q494" s="27"/>
      <c r="R494" s="27"/>
      <c r="S494" s="22"/>
      <c r="T494" s="22"/>
      <c r="U494" s="28"/>
    </row>
    <row r="495" ht="15.75" customHeight="1">
      <c r="A495" s="189"/>
      <c r="B495" s="22"/>
      <c r="C495" s="22"/>
      <c r="D495" s="22"/>
      <c r="E495" s="22"/>
      <c r="F495" s="22"/>
      <c r="G495" s="22"/>
      <c r="H495" s="22"/>
      <c r="I495" s="266"/>
      <c r="J495" s="272"/>
      <c r="K495" s="272"/>
      <c r="L495" s="272"/>
      <c r="M495" s="273"/>
      <c r="N495" s="273"/>
      <c r="O495" s="273"/>
      <c r="P495" s="27"/>
      <c r="Q495" s="27"/>
      <c r="R495" s="27"/>
      <c r="S495" s="22"/>
      <c r="T495" s="22"/>
      <c r="U495" s="28"/>
    </row>
    <row r="496" ht="15.75" customHeight="1">
      <c r="A496" s="189"/>
      <c r="B496" s="22"/>
      <c r="C496" s="22"/>
      <c r="D496" s="22"/>
      <c r="E496" s="22"/>
      <c r="F496" s="22"/>
      <c r="G496" s="22"/>
      <c r="H496" s="22"/>
      <c r="I496" s="266"/>
      <c r="J496" s="272"/>
      <c r="K496" s="272"/>
      <c r="L496" s="272"/>
      <c r="M496" s="273"/>
      <c r="N496" s="273"/>
      <c r="O496" s="273"/>
      <c r="P496" s="27"/>
      <c r="Q496" s="27"/>
      <c r="R496" s="27"/>
      <c r="S496" s="22"/>
      <c r="T496" s="22"/>
      <c r="U496" s="28"/>
    </row>
    <row r="497" ht="15.75" customHeight="1">
      <c r="A497" s="189"/>
      <c r="B497" s="22"/>
      <c r="C497" s="22"/>
      <c r="D497" s="22"/>
      <c r="E497" s="22"/>
      <c r="F497" s="22"/>
      <c r="G497" s="22"/>
      <c r="H497" s="22"/>
      <c r="I497" s="266"/>
      <c r="J497" s="272"/>
      <c r="K497" s="272"/>
      <c r="L497" s="272"/>
      <c r="M497" s="273"/>
      <c r="N497" s="273"/>
      <c r="O497" s="273"/>
      <c r="P497" s="27"/>
      <c r="Q497" s="27"/>
      <c r="R497" s="27"/>
      <c r="S497" s="22"/>
      <c r="T497" s="22"/>
      <c r="U497" s="28"/>
    </row>
    <row r="498" ht="15.75" customHeight="1">
      <c r="A498" s="189"/>
      <c r="B498" s="22"/>
      <c r="C498" s="22"/>
      <c r="D498" s="22"/>
      <c r="E498" s="22"/>
      <c r="F498" s="22"/>
      <c r="G498" s="22"/>
      <c r="H498" s="22"/>
      <c r="I498" s="266"/>
      <c r="J498" s="272"/>
      <c r="K498" s="272"/>
      <c r="L498" s="272"/>
      <c r="M498" s="273"/>
      <c r="N498" s="273"/>
      <c r="O498" s="273"/>
      <c r="P498" s="27"/>
      <c r="Q498" s="27"/>
      <c r="R498" s="27"/>
      <c r="S498" s="22"/>
      <c r="T498" s="22"/>
      <c r="U498" s="28"/>
    </row>
    <row r="499" ht="15.75" customHeight="1">
      <c r="A499" s="189"/>
      <c r="B499" s="22"/>
      <c r="C499" s="22"/>
      <c r="D499" s="22"/>
      <c r="E499" s="22"/>
      <c r="F499" s="22"/>
      <c r="G499" s="22"/>
      <c r="H499" s="22"/>
      <c r="I499" s="266"/>
      <c r="J499" s="272"/>
      <c r="K499" s="272"/>
      <c r="L499" s="272"/>
      <c r="M499" s="273"/>
      <c r="N499" s="273"/>
      <c r="O499" s="273"/>
      <c r="P499" s="27"/>
      <c r="Q499" s="27"/>
      <c r="R499" s="27"/>
      <c r="S499" s="22"/>
      <c r="T499" s="22"/>
      <c r="U499" s="28"/>
    </row>
    <row r="500" ht="15.75" customHeight="1">
      <c r="A500" s="189"/>
      <c r="B500" s="22"/>
      <c r="C500" s="22"/>
      <c r="D500" s="22"/>
      <c r="E500" s="22"/>
      <c r="F500" s="22"/>
      <c r="G500" s="22"/>
      <c r="H500" s="22"/>
      <c r="I500" s="266"/>
      <c r="J500" s="272"/>
      <c r="K500" s="272"/>
      <c r="L500" s="272"/>
      <c r="M500" s="273"/>
      <c r="N500" s="273"/>
      <c r="O500" s="273"/>
      <c r="P500" s="27"/>
      <c r="Q500" s="27"/>
      <c r="R500" s="27"/>
      <c r="S500" s="22"/>
      <c r="T500" s="22"/>
      <c r="U500" s="28"/>
    </row>
    <row r="501" ht="15.75" customHeight="1">
      <c r="A501" s="189"/>
      <c r="B501" s="22"/>
      <c r="C501" s="22"/>
      <c r="D501" s="22"/>
      <c r="E501" s="22"/>
      <c r="F501" s="22"/>
      <c r="G501" s="22"/>
      <c r="H501" s="22"/>
      <c r="I501" s="266"/>
      <c r="J501" s="272"/>
      <c r="K501" s="272"/>
      <c r="L501" s="272"/>
      <c r="M501" s="273"/>
      <c r="N501" s="273"/>
      <c r="O501" s="273"/>
      <c r="P501" s="27"/>
      <c r="Q501" s="27"/>
      <c r="R501" s="27"/>
      <c r="S501" s="22"/>
      <c r="T501" s="22"/>
      <c r="U501" s="28"/>
    </row>
    <row r="502" ht="15.75" customHeight="1">
      <c r="A502" s="189"/>
      <c r="B502" s="22"/>
      <c r="C502" s="22"/>
      <c r="D502" s="22"/>
      <c r="E502" s="22"/>
      <c r="F502" s="22"/>
      <c r="G502" s="22"/>
      <c r="H502" s="22"/>
      <c r="I502" s="266"/>
      <c r="J502" s="272"/>
      <c r="K502" s="272"/>
      <c r="L502" s="272"/>
      <c r="M502" s="273"/>
      <c r="N502" s="273"/>
      <c r="O502" s="273"/>
      <c r="P502" s="27"/>
      <c r="Q502" s="27"/>
      <c r="R502" s="27"/>
      <c r="S502" s="22"/>
      <c r="T502" s="22"/>
      <c r="U502" s="28"/>
    </row>
    <row r="503" ht="15.75" customHeight="1">
      <c r="A503" s="189"/>
      <c r="B503" s="22"/>
      <c r="C503" s="22"/>
      <c r="D503" s="22"/>
      <c r="E503" s="22"/>
      <c r="F503" s="22"/>
      <c r="G503" s="22"/>
      <c r="H503" s="22"/>
      <c r="I503" s="266"/>
      <c r="J503" s="272"/>
      <c r="K503" s="272"/>
      <c r="L503" s="272"/>
      <c r="M503" s="273"/>
      <c r="N503" s="273"/>
      <c r="O503" s="273"/>
      <c r="P503" s="27"/>
      <c r="Q503" s="27"/>
      <c r="R503" s="27"/>
      <c r="S503" s="22"/>
      <c r="T503" s="22"/>
      <c r="U503" s="28"/>
    </row>
    <row r="504" ht="15.75" customHeight="1">
      <c r="A504" s="189"/>
      <c r="B504" s="22"/>
      <c r="C504" s="22"/>
      <c r="D504" s="22"/>
      <c r="E504" s="22"/>
      <c r="F504" s="22"/>
      <c r="G504" s="22"/>
      <c r="H504" s="22"/>
      <c r="I504" s="266"/>
      <c r="J504" s="272"/>
      <c r="K504" s="272"/>
      <c r="L504" s="272"/>
      <c r="M504" s="273"/>
      <c r="N504" s="273"/>
      <c r="O504" s="273"/>
      <c r="P504" s="27"/>
      <c r="Q504" s="27"/>
      <c r="R504" s="27"/>
      <c r="S504" s="22"/>
      <c r="T504" s="22"/>
      <c r="U504" s="28"/>
    </row>
    <row r="505" ht="15.75" customHeight="1">
      <c r="A505" s="189"/>
      <c r="B505" s="22"/>
      <c r="C505" s="22"/>
      <c r="D505" s="22"/>
      <c r="E505" s="22"/>
      <c r="F505" s="22"/>
      <c r="G505" s="22"/>
      <c r="H505" s="22"/>
      <c r="I505" s="266"/>
      <c r="J505" s="272"/>
      <c r="K505" s="272"/>
      <c r="L505" s="272"/>
      <c r="M505" s="273"/>
      <c r="N505" s="273"/>
      <c r="O505" s="273"/>
      <c r="P505" s="27"/>
      <c r="Q505" s="27"/>
      <c r="R505" s="27"/>
      <c r="S505" s="22"/>
      <c r="T505" s="22"/>
      <c r="U505" s="28"/>
    </row>
    <row r="506" ht="15.75" customHeight="1">
      <c r="A506" s="189"/>
      <c r="B506" s="22"/>
      <c r="C506" s="22"/>
      <c r="D506" s="22"/>
      <c r="E506" s="22"/>
      <c r="F506" s="22"/>
      <c r="G506" s="22"/>
      <c r="H506" s="22"/>
      <c r="I506" s="266"/>
      <c r="J506" s="272"/>
      <c r="K506" s="272"/>
      <c r="L506" s="272"/>
      <c r="M506" s="273"/>
      <c r="N506" s="273"/>
      <c r="O506" s="273"/>
      <c r="P506" s="27"/>
      <c r="Q506" s="27"/>
      <c r="R506" s="27"/>
      <c r="S506" s="22"/>
      <c r="T506" s="22"/>
      <c r="U506" s="28"/>
    </row>
    <row r="507" ht="15.75" customHeight="1">
      <c r="A507" s="189"/>
      <c r="B507" s="22"/>
      <c r="C507" s="22"/>
      <c r="D507" s="22"/>
      <c r="E507" s="22"/>
      <c r="F507" s="22"/>
      <c r="G507" s="22"/>
      <c r="H507" s="22"/>
      <c r="I507" s="266"/>
      <c r="J507" s="272"/>
      <c r="K507" s="272"/>
      <c r="L507" s="272"/>
      <c r="M507" s="273"/>
      <c r="N507" s="273"/>
      <c r="O507" s="273"/>
      <c r="P507" s="27"/>
      <c r="Q507" s="27"/>
      <c r="R507" s="27"/>
      <c r="S507" s="22"/>
      <c r="T507" s="22"/>
      <c r="U507" s="28"/>
    </row>
    <row r="508" ht="15.75" customHeight="1">
      <c r="A508" s="189"/>
      <c r="B508" s="22"/>
      <c r="C508" s="22"/>
      <c r="D508" s="22"/>
      <c r="E508" s="22"/>
      <c r="F508" s="22"/>
      <c r="G508" s="22"/>
      <c r="H508" s="22"/>
      <c r="I508" s="266"/>
      <c r="J508" s="272"/>
      <c r="K508" s="272"/>
      <c r="L508" s="272"/>
      <c r="M508" s="273"/>
      <c r="N508" s="273"/>
      <c r="O508" s="273"/>
      <c r="P508" s="27"/>
      <c r="Q508" s="27"/>
      <c r="R508" s="27"/>
      <c r="S508" s="22"/>
      <c r="T508" s="22"/>
      <c r="U508" s="28"/>
    </row>
    <row r="509" ht="15.75" customHeight="1">
      <c r="A509" s="189"/>
      <c r="B509" s="22"/>
      <c r="C509" s="22"/>
      <c r="D509" s="22"/>
      <c r="E509" s="22"/>
      <c r="F509" s="22"/>
      <c r="G509" s="22"/>
      <c r="H509" s="22"/>
      <c r="I509" s="266"/>
      <c r="J509" s="272"/>
      <c r="K509" s="272"/>
      <c r="L509" s="272"/>
      <c r="M509" s="273"/>
      <c r="N509" s="273"/>
      <c r="O509" s="273"/>
      <c r="P509" s="27"/>
      <c r="Q509" s="27"/>
      <c r="R509" s="27"/>
      <c r="S509" s="22"/>
      <c r="T509" s="22"/>
      <c r="U509" s="28"/>
    </row>
    <row r="510" ht="15.75" customHeight="1">
      <c r="A510" s="189"/>
      <c r="B510" s="22"/>
      <c r="C510" s="22"/>
      <c r="D510" s="22"/>
      <c r="E510" s="22"/>
      <c r="F510" s="22"/>
      <c r="G510" s="22"/>
      <c r="H510" s="22"/>
      <c r="I510" s="266"/>
      <c r="J510" s="272"/>
      <c r="K510" s="272"/>
      <c r="L510" s="272"/>
      <c r="M510" s="273"/>
      <c r="N510" s="273"/>
      <c r="O510" s="273"/>
      <c r="P510" s="27"/>
      <c r="Q510" s="27"/>
      <c r="R510" s="27"/>
      <c r="S510" s="22"/>
      <c r="T510" s="22"/>
      <c r="U510" s="28"/>
    </row>
    <row r="511" ht="15.75" customHeight="1">
      <c r="A511" s="189"/>
      <c r="B511" s="22"/>
      <c r="C511" s="22"/>
      <c r="D511" s="22"/>
      <c r="E511" s="22"/>
      <c r="F511" s="22"/>
      <c r="G511" s="22"/>
      <c r="H511" s="22"/>
      <c r="I511" s="266"/>
      <c r="J511" s="272"/>
      <c r="K511" s="272"/>
      <c r="L511" s="272"/>
      <c r="M511" s="273"/>
      <c r="N511" s="273"/>
      <c r="O511" s="273"/>
      <c r="P511" s="27"/>
      <c r="Q511" s="27"/>
      <c r="R511" s="27"/>
      <c r="S511" s="22"/>
      <c r="T511" s="22"/>
      <c r="U511" s="28"/>
    </row>
    <row r="512" ht="15.75" customHeight="1">
      <c r="A512" s="189"/>
      <c r="B512" s="22"/>
      <c r="C512" s="22"/>
      <c r="D512" s="22"/>
      <c r="E512" s="22"/>
      <c r="F512" s="22"/>
      <c r="G512" s="22"/>
      <c r="H512" s="22"/>
      <c r="I512" s="266"/>
      <c r="J512" s="272"/>
      <c r="K512" s="272"/>
      <c r="L512" s="272"/>
      <c r="M512" s="273"/>
      <c r="N512" s="273"/>
      <c r="O512" s="273"/>
      <c r="P512" s="27"/>
      <c r="Q512" s="27"/>
      <c r="R512" s="27"/>
      <c r="S512" s="22"/>
      <c r="T512" s="22"/>
      <c r="U512" s="28"/>
    </row>
    <row r="513" ht="15.75" customHeight="1">
      <c r="A513" s="189"/>
      <c r="B513" s="22"/>
      <c r="C513" s="22"/>
      <c r="D513" s="22"/>
      <c r="E513" s="22"/>
      <c r="F513" s="22"/>
      <c r="G513" s="22"/>
      <c r="H513" s="22"/>
      <c r="I513" s="266"/>
      <c r="J513" s="272"/>
      <c r="K513" s="272"/>
      <c r="L513" s="272"/>
      <c r="M513" s="273"/>
      <c r="N513" s="273"/>
      <c r="O513" s="273"/>
      <c r="P513" s="27"/>
      <c r="Q513" s="27"/>
      <c r="R513" s="27"/>
      <c r="S513" s="22"/>
      <c r="T513" s="22"/>
      <c r="U513" s="28"/>
    </row>
    <row r="514" ht="15.75" customHeight="1">
      <c r="A514" s="189"/>
      <c r="B514" s="22"/>
      <c r="C514" s="22"/>
      <c r="D514" s="22"/>
      <c r="E514" s="22"/>
      <c r="F514" s="22"/>
      <c r="G514" s="22"/>
      <c r="H514" s="22"/>
      <c r="I514" s="266"/>
      <c r="J514" s="272"/>
      <c r="K514" s="272"/>
      <c r="L514" s="272"/>
      <c r="M514" s="273"/>
      <c r="N514" s="273"/>
      <c r="O514" s="273"/>
      <c r="P514" s="27"/>
      <c r="Q514" s="27"/>
      <c r="R514" s="27"/>
      <c r="S514" s="22"/>
      <c r="T514" s="22"/>
      <c r="U514" s="28"/>
    </row>
    <row r="515" ht="15.75" customHeight="1">
      <c r="A515" s="189"/>
      <c r="B515" s="22"/>
      <c r="C515" s="22"/>
      <c r="D515" s="22"/>
      <c r="E515" s="22"/>
      <c r="F515" s="22"/>
      <c r="G515" s="22"/>
      <c r="H515" s="22"/>
      <c r="I515" s="266"/>
      <c r="J515" s="272"/>
      <c r="K515" s="272"/>
      <c r="L515" s="272"/>
      <c r="M515" s="273"/>
      <c r="N515" s="273"/>
      <c r="O515" s="273"/>
      <c r="P515" s="27"/>
      <c r="Q515" s="27"/>
      <c r="R515" s="27"/>
      <c r="S515" s="22"/>
      <c r="T515" s="22"/>
      <c r="U515" s="28"/>
    </row>
    <row r="516" ht="15.75" customHeight="1">
      <c r="A516" s="189"/>
      <c r="B516" s="22"/>
      <c r="C516" s="22"/>
      <c r="D516" s="22"/>
      <c r="E516" s="22"/>
      <c r="F516" s="22"/>
      <c r="G516" s="22"/>
      <c r="H516" s="22"/>
      <c r="I516" s="266"/>
      <c r="J516" s="272"/>
      <c r="K516" s="272"/>
      <c r="L516" s="272"/>
      <c r="M516" s="273"/>
      <c r="N516" s="273"/>
      <c r="O516" s="273"/>
      <c r="P516" s="27"/>
      <c r="Q516" s="27"/>
      <c r="R516" s="27"/>
      <c r="S516" s="22"/>
      <c r="T516" s="22"/>
      <c r="U516" s="28"/>
    </row>
    <row r="517" ht="15.75" customHeight="1">
      <c r="A517" s="189"/>
      <c r="B517" s="22"/>
      <c r="C517" s="22"/>
      <c r="D517" s="22"/>
      <c r="E517" s="22"/>
      <c r="F517" s="22"/>
      <c r="G517" s="22"/>
      <c r="H517" s="22"/>
      <c r="I517" s="266"/>
      <c r="J517" s="272"/>
      <c r="K517" s="272"/>
      <c r="L517" s="272"/>
      <c r="M517" s="273"/>
      <c r="N517" s="273"/>
      <c r="O517" s="273"/>
      <c r="P517" s="27"/>
      <c r="Q517" s="27"/>
      <c r="R517" s="27"/>
      <c r="S517" s="22"/>
      <c r="T517" s="22"/>
      <c r="U517" s="28"/>
    </row>
    <row r="518" ht="15.75" customHeight="1">
      <c r="A518" s="189"/>
      <c r="B518" s="22"/>
      <c r="C518" s="22"/>
      <c r="D518" s="22"/>
      <c r="E518" s="22"/>
      <c r="F518" s="22"/>
      <c r="G518" s="22"/>
      <c r="H518" s="22"/>
      <c r="I518" s="266"/>
      <c r="J518" s="272"/>
      <c r="K518" s="272"/>
      <c r="L518" s="272"/>
      <c r="M518" s="273"/>
      <c r="N518" s="273"/>
      <c r="O518" s="273"/>
      <c r="P518" s="27"/>
      <c r="Q518" s="27"/>
      <c r="R518" s="27"/>
      <c r="S518" s="22"/>
      <c r="T518" s="22"/>
      <c r="U518" s="28"/>
    </row>
    <row r="519" ht="15.75" customHeight="1">
      <c r="A519" s="189"/>
      <c r="B519" s="22"/>
      <c r="C519" s="22"/>
      <c r="D519" s="22"/>
      <c r="E519" s="22"/>
      <c r="F519" s="22"/>
      <c r="G519" s="22"/>
      <c r="H519" s="22"/>
      <c r="I519" s="266"/>
      <c r="J519" s="272"/>
      <c r="K519" s="272"/>
      <c r="L519" s="272"/>
      <c r="M519" s="273"/>
      <c r="N519" s="273"/>
      <c r="O519" s="273"/>
      <c r="P519" s="27"/>
      <c r="Q519" s="27"/>
      <c r="R519" s="27"/>
      <c r="S519" s="22"/>
      <c r="T519" s="22"/>
      <c r="U519" s="28"/>
    </row>
    <row r="520" ht="15.75" customHeight="1">
      <c r="A520" s="189"/>
      <c r="B520" s="22"/>
      <c r="C520" s="22"/>
      <c r="D520" s="22"/>
      <c r="E520" s="22"/>
      <c r="F520" s="22"/>
      <c r="G520" s="22"/>
      <c r="H520" s="22"/>
      <c r="I520" s="266"/>
      <c r="J520" s="272"/>
      <c r="K520" s="272"/>
      <c r="L520" s="272"/>
      <c r="M520" s="273"/>
      <c r="N520" s="273"/>
      <c r="O520" s="273"/>
      <c r="P520" s="27"/>
      <c r="Q520" s="27"/>
      <c r="R520" s="27"/>
      <c r="S520" s="22"/>
      <c r="T520" s="22"/>
      <c r="U520" s="28"/>
    </row>
    <row r="521" ht="15.75" customHeight="1">
      <c r="A521" s="189"/>
      <c r="B521" s="22"/>
      <c r="C521" s="22"/>
      <c r="D521" s="22"/>
      <c r="E521" s="22"/>
      <c r="F521" s="22"/>
      <c r="G521" s="22"/>
      <c r="H521" s="22"/>
      <c r="I521" s="266"/>
      <c r="J521" s="272"/>
      <c r="K521" s="272"/>
      <c r="L521" s="272"/>
      <c r="M521" s="273"/>
      <c r="N521" s="273"/>
      <c r="O521" s="273"/>
      <c r="P521" s="27"/>
      <c r="Q521" s="27"/>
      <c r="R521" s="27"/>
      <c r="S521" s="22"/>
      <c r="T521" s="22"/>
      <c r="U521" s="28"/>
    </row>
    <row r="522" ht="15.75" customHeight="1">
      <c r="A522" s="189"/>
      <c r="B522" s="22"/>
      <c r="C522" s="22"/>
      <c r="D522" s="22"/>
      <c r="E522" s="22"/>
      <c r="F522" s="22"/>
      <c r="G522" s="22"/>
      <c r="H522" s="22"/>
      <c r="I522" s="266"/>
      <c r="J522" s="272"/>
      <c r="K522" s="272"/>
      <c r="L522" s="272"/>
      <c r="M522" s="273"/>
      <c r="N522" s="273"/>
      <c r="O522" s="273"/>
      <c r="P522" s="27"/>
      <c r="Q522" s="27"/>
      <c r="R522" s="27"/>
      <c r="S522" s="22"/>
      <c r="T522" s="22"/>
      <c r="U522" s="28"/>
    </row>
    <row r="523" ht="15.75" customHeight="1">
      <c r="A523" s="189"/>
      <c r="B523" s="22"/>
      <c r="C523" s="22"/>
      <c r="D523" s="22"/>
      <c r="E523" s="22"/>
      <c r="F523" s="22"/>
      <c r="G523" s="22"/>
      <c r="H523" s="22"/>
      <c r="I523" s="266"/>
      <c r="J523" s="272"/>
      <c r="K523" s="272"/>
      <c r="L523" s="272"/>
      <c r="M523" s="273"/>
      <c r="N523" s="273"/>
      <c r="O523" s="273"/>
      <c r="P523" s="27"/>
      <c r="Q523" s="27"/>
      <c r="R523" s="27"/>
      <c r="S523" s="22"/>
      <c r="T523" s="22"/>
      <c r="U523" s="28"/>
    </row>
    <row r="524" ht="15.75" customHeight="1">
      <c r="A524" s="189"/>
      <c r="B524" s="22"/>
      <c r="C524" s="22"/>
      <c r="D524" s="22"/>
      <c r="E524" s="22"/>
      <c r="F524" s="22"/>
      <c r="G524" s="22"/>
      <c r="H524" s="22"/>
      <c r="I524" s="266"/>
      <c r="J524" s="272"/>
      <c r="K524" s="272"/>
      <c r="L524" s="272"/>
      <c r="M524" s="273"/>
      <c r="N524" s="273"/>
      <c r="O524" s="273"/>
      <c r="P524" s="27"/>
      <c r="Q524" s="27"/>
      <c r="R524" s="27"/>
      <c r="S524" s="22"/>
      <c r="T524" s="22"/>
      <c r="U524" s="28"/>
    </row>
    <row r="525" ht="15.75" customHeight="1">
      <c r="A525" s="189"/>
      <c r="B525" s="22"/>
      <c r="C525" s="22"/>
      <c r="D525" s="22"/>
      <c r="E525" s="22"/>
      <c r="F525" s="22"/>
      <c r="G525" s="22"/>
      <c r="H525" s="22"/>
      <c r="I525" s="266"/>
      <c r="J525" s="272"/>
      <c r="K525" s="272"/>
      <c r="L525" s="272"/>
      <c r="M525" s="273"/>
      <c r="N525" s="273"/>
      <c r="O525" s="273"/>
      <c r="P525" s="27"/>
      <c r="Q525" s="27"/>
      <c r="R525" s="27"/>
      <c r="S525" s="22"/>
      <c r="T525" s="22"/>
      <c r="U525" s="28"/>
    </row>
    <row r="526" ht="15.75" customHeight="1">
      <c r="A526" s="189"/>
      <c r="B526" s="22"/>
      <c r="C526" s="22"/>
      <c r="D526" s="22"/>
      <c r="E526" s="22"/>
      <c r="F526" s="22"/>
      <c r="G526" s="22"/>
      <c r="H526" s="22"/>
      <c r="I526" s="266"/>
      <c r="J526" s="272"/>
      <c r="K526" s="272"/>
      <c r="L526" s="272"/>
      <c r="M526" s="273"/>
      <c r="N526" s="273"/>
      <c r="O526" s="273"/>
      <c r="P526" s="27"/>
      <c r="Q526" s="27"/>
      <c r="R526" s="27"/>
      <c r="S526" s="22"/>
      <c r="T526" s="22"/>
      <c r="U526" s="28"/>
    </row>
    <row r="527" ht="15.75" customHeight="1">
      <c r="A527" s="189"/>
      <c r="B527" s="22"/>
      <c r="C527" s="22"/>
      <c r="D527" s="22"/>
      <c r="E527" s="22"/>
      <c r="F527" s="22"/>
      <c r="G527" s="22"/>
      <c r="H527" s="22"/>
      <c r="I527" s="266"/>
      <c r="J527" s="272"/>
      <c r="K527" s="272"/>
      <c r="L527" s="272"/>
      <c r="M527" s="273"/>
      <c r="N527" s="273"/>
      <c r="O527" s="273"/>
      <c r="P527" s="27"/>
      <c r="Q527" s="27"/>
      <c r="R527" s="27"/>
      <c r="S527" s="22"/>
      <c r="T527" s="22"/>
      <c r="U527" s="28"/>
    </row>
    <row r="528" ht="15.75" customHeight="1">
      <c r="A528" s="189"/>
      <c r="B528" s="22"/>
      <c r="C528" s="22"/>
      <c r="D528" s="22"/>
      <c r="E528" s="22"/>
      <c r="F528" s="22"/>
      <c r="G528" s="22"/>
      <c r="H528" s="22"/>
      <c r="I528" s="266"/>
      <c r="J528" s="272"/>
      <c r="K528" s="272"/>
      <c r="L528" s="272"/>
      <c r="M528" s="273"/>
      <c r="N528" s="273"/>
      <c r="O528" s="273"/>
      <c r="P528" s="27"/>
      <c r="Q528" s="27"/>
      <c r="R528" s="27"/>
      <c r="S528" s="22"/>
      <c r="T528" s="22"/>
      <c r="U528" s="28"/>
    </row>
    <row r="529" ht="15.75" customHeight="1">
      <c r="A529" s="189"/>
      <c r="B529" s="22"/>
      <c r="C529" s="22"/>
      <c r="D529" s="22"/>
      <c r="E529" s="22"/>
      <c r="F529" s="22"/>
      <c r="G529" s="22"/>
      <c r="H529" s="22"/>
      <c r="I529" s="266"/>
      <c r="J529" s="272"/>
      <c r="K529" s="272"/>
      <c r="L529" s="272"/>
      <c r="M529" s="273"/>
      <c r="N529" s="273"/>
      <c r="O529" s="273"/>
      <c r="P529" s="27"/>
      <c r="Q529" s="27"/>
      <c r="R529" s="27"/>
      <c r="S529" s="22"/>
      <c r="T529" s="22"/>
      <c r="U529" s="28"/>
    </row>
    <row r="530" ht="15.75" customHeight="1">
      <c r="A530" s="189"/>
      <c r="B530" s="22"/>
      <c r="C530" s="22"/>
      <c r="D530" s="22"/>
      <c r="E530" s="22"/>
      <c r="F530" s="22"/>
      <c r="G530" s="22"/>
      <c r="H530" s="22"/>
      <c r="I530" s="266"/>
      <c r="J530" s="272"/>
      <c r="K530" s="272"/>
      <c r="L530" s="272"/>
      <c r="M530" s="273"/>
      <c r="N530" s="273"/>
      <c r="O530" s="273"/>
      <c r="P530" s="27"/>
      <c r="Q530" s="27"/>
      <c r="R530" s="27"/>
      <c r="S530" s="22"/>
      <c r="T530" s="22"/>
      <c r="U530" s="28"/>
    </row>
    <row r="531" ht="15.75" customHeight="1">
      <c r="A531" s="189"/>
      <c r="B531" s="22"/>
      <c r="C531" s="22"/>
      <c r="D531" s="22"/>
      <c r="E531" s="22"/>
      <c r="F531" s="22"/>
      <c r="G531" s="22"/>
      <c r="H531" s="22"/>
      <c r="I531" s="266"/>
      <c r="J531" s="272"/>
      <c r="K531" s="272"/>
      <c r="L531" s="272"/>
      <c r="M531" s="273"/>
      <c r="N531" s="273"/>
      <c r="O531" s="273"/>
      <c r="P531" s="27"/>
      <c r="Q531" s="27"/>
      <c r="R531" s="27"/>
      <c r="S531" s="22"/>
      <c r="T531" s="22"/>
      <c r="U531" s="28"/>
    </row>
    <row r="532" ht="15.75" customHeight="1">
      <c r="A532" s="189"/>
      <c r="B532" s="22"/>
      <c r="C532" s="22"/>
      <c r="D532" s="22"/>
      <c r="E532" s="22"/>
      <c r="F532" s="22"/>
      <c r="G532" s="22"/>
      <c r="H532" s="22"/>
      <c r="I532" s="266"/>
      <c r="J532" s="272"/>
      <c r="K532" s="272"/>
      <c r="L532" s="272"/>
      <c r="M532" s="273"/>
      <c r="N532" s="273"/>
      <c r="O532" s="273"/>
      <c r="P532" s="27"/>
      <c r="Q532" s="27"/>
      <c r="R532" s="27"/>
      <c r="S532" s="22"/>
      <c r="T532" s="22"/>
      <c r="U532" s="28"/>
    </row>
    <row r="533" ht="15.75" customHeight="1">
      <c r="A533" s="189"/>
      <c r="B533" s="22"/>
      <c r="C533" s="22"/>
      <c r="D533" s="22"/>
      <c r="E533" s="22"/>
      <c r="F533" s="22"/>
      <c r="G533" s="22"/>
      <c r="H533" s="22"/>
      <c r="I533" s="266"/>
      <c r="J533" s="272"/>
      <c r="K533" s="272"/>
      <c r="L533" s="272"/>
      <c r="M533" s="273"/>
      <c r="N533" s="273"/>
      <c r="O533" s="273"/>
      <c r="P533" s="27"/>
      <c r="Q533" s="27"/>
      <c r="R533" s="27"/>
      <c r="S533" s="22"/>
      <c r="T533" s="22"/>
      <c r="U533" s="28"/>
    </row>
    <row r="534" ht="15.75" customHeight="1">
      <c r="A534" s="189"/>
      <c r="B534" s="22"/>
      <c r="C534" s="22"/>
      <c r="D534" s="22"/>
      <c r="E534" s="22"/>
      <c r="F534" s="22"/>
      <c r="G534" s="22"/>
      <c r="H534" s="22"/>
      <c r="I534" s="266"/>
      <c r="J534" s="272"/>
      <c r="K534" s="272"/>
      <c r="L534" s="272"/>
      <c r="M534" s="273"/>
      <c r="N534" s="273"/>
      <c r="O534" s="273"/>
      <c r="P534" s="27"/>
      <c r="Q534" s="27"/>
      <c r="R534" s="27"/>
      <c r="S534" s="22"/>
      <c r="T534" s="22"/>
      <c r="U534" s="28"/>
    </row>
    <row r="535" ht="15.75" customHeight="1">
      <c r="A535" s="189"/>
      <c r="B535" s="22"/>
      <c r="C535" s="22"/>
      <c r="D535" s="22"/>
      <c r="E535" s="22"/>
      <c r="F535" s="22"/>
      <c r="G535" s="22"/>
      <c r="H535" s="22"/>
      <c r="I535" s="266"/>
      <c r="J535" s="272"/>
      <c r="K535" s="272"/>
      <c r="L535" s="272"/>
      <c r="M535" s="273"/>
      <c r="N535" s="273"/>
      <c r="O535" s="273"/>
      <c r="P535" s="27"/>
      <c r="Q535" s="27"/>
      <c r="R535" s="27"/>
      <c r="S535" s="22"/>
      <c r="T535" s="22"/>
      <c r="U535" s="28"/>
    </row>
    <row r="536" ht="15.75" customHeight="1">
      <c r="A536" s="189"/>
      <c r="B536" s="22"/>
      <c r="C536" s="22"/>
      <c r="D536" s="22"/>
      <c r="E536" s="22"/>
      <c r="F536" s="22"/>
      <c r="G536" s="22"/>
      <c r="H536" s="22"/>
      <c r="I536" s="266"/>
      <c r="J536" s="272"/>
      <c r="K536" s="272"/>
      <c r="L536" s="272"/>
      <c r="M536" s="273"/>
      <c r="N536" s="273"/>
      <c r="O536" s="273"/>
      <c r="P536" s="27"/>
      <c r="Q536" s="27"/>
      <c r="R536" s="27"/>
      <c r="S536" s="22"/>
      <c r="T536" s="22"/>
      <c r="U536" s="28"/>
    </row>
    <row r="537" ht="15.75" customHeight="1">
      <c r="A537" s="189"/>
      <c r="B537" s="22"/>
      <c r="C537" s="22"/>
      <c r="D537" s="22"/>
      <c r="E537" s="22"/>
      <c r="F537" s="22"/>
      <c r="G537" s="22"/>
      <c r="H537" s="22"/>
      <c r="I537" s="266"/>
      <c r="J537" s="272"/>
      <c r="K537" s="272"/>
      <c r="L537" s="272"/>
      <c r="M537" s="273"/>
      <c r="N537" s="273"/>
      <c r="O537" s="273"/>
      <c r="P537" s="27"/>
      <c r="Q537" s="27"/>
      <c r="R537" s="27"/>
      <c r="S537" s="22"/>
      <c r="T537" s="22"/>
      <c r="U537" s="28"/>
    </row>
    <row r="538" ht="15.75" customHeight="1">
      <c r="A538" s="189"/>
      <c r="B538" s="22"/>
      <c r="C538" s="22"/>
      <c r="D538" s="22"/>
      <c r="E538" s="22"/>
      <c r="F538" s="22"/>
      <c r="G538" s="22"/>
      <c r="H538" s="22"/>
      <c r="I538" s="266"/>
      <c r="J538" s="272"/>
      <c r="K538" s="272"/>
      <c r="L538" s="272"/>
      <c r="M538" s="273"/>
      <c r="N538" s="273"/>
      <c r="O538" s="273"/>
      <c r="P538" s="27"/>
      <c r="Q538" s="27"/>
      <c r="R538" s="27"/>
      <c r="S538" s="22"/>
      <c r="T538" s="22"/>
      <c r="U538" s="28"/>
    </row>
    <row r="539" ht="15.75" customHeight="1">
      <c r="A539" s="189"/>
      <c r="B539" s="22"/>
      <c r="C539" s="22"/>
      <c r="D539" s="22"/>
      <c r="E539" s="22"/>
      <c r="F539" s="22"/>
      <c r="G539" s="22"/>
      <c r="H539" s="22"/>
      <c r="I539" s="266"/>
      <c r="J539" s="272"/>
      <c r="K539" s="272"/>
      <c r="L539" s="272"/>
      <c r="M539" s="273"/>
      <c r="N539" s="273"/>
      <c r="O539" s="273"/>
      <c r="P539" s="27"/>
      <c r="Q539" s="27"/>
      <c r="R539" s="27"/>
      <c r="S539" s="22"/>
      <c r="T539" s="22"/>
      <c r="U539" s="28"/>
    </row>
    <row r="540" ht="15.75" customHeight="1">
      <c r="A540" s="189"/>
      <c r="B540" s="22"/>
      <c r="C540" s="22"/>
      <c r="D540" s="22"/>
      <c r="E540" s="22"/>
      <c r="F540" s="22"/>
      <c r="G540" s="22"/>
      <c r="H540" s="22"/>
      <c r="I540" s="266"/>
      <c r="J540" s="272"/>
      <c r="K540" s="272"/>
      <c r="L540" s="272"/>
      <c r="M540" s="273"/>
      <c r="N540" s="273"/>
      <c r="O540" s="273"/>
      <c r="P540" s="27"/>
      <c r="Q540" s="27"/>
      <c r="R540" s="27"/>
      <c r="S540" s="22"/>
      <c r="T540" s="22"/>
      <c r="U540" s="28"/>
    </row>
    <row r="541" ht="15.75" customHeight="1">
      <c r="A541" s="189"/>
      <c r="B541" s="22"/>
      <c r="C541" s="22"/>
      <c r="D541" s="22"/>
      <c r="E541" s="22"/>
      <c r="F541" s="22"/>
      <c r="G541" s="22"/>
      <c r="H541" s="22"/>
      <c r="I541" s="266"/>
      <c r="J541" s="272"/>
      <c r="K541" s="272"/>
      <c r="L541" s="272"/>
      <c r="M541" s="273"/>
      <c r="N541" s="273"/>
      <c r="O541" s="273"/>
      <c r="P541" s="27"/>
      <c r="Q541" s="27"/>
      <c r="R541" s="27"/>
      <c r="S541" s="22"/>
      <c r="T541" s="22"/>
      <c r="U541" s="28"/>
    </row>
    <row r="542" ht="15.75" customHeight="1">
      <c r="A542" s="189"/>
      <c r="B542" s="22"/>
      <c r="C542" s="22"/>
      <c r="D542" s="22"/>
      <c r="E542" s="22"/>
      <c r="F542" s="22"/>
      <c r="G542" s="22"/>
      <c r="H542" s="22"/>
      <c r="I542" s="266"/>
      <c r="J542" s="272"/>
      <c r="K542" s="272"/>
      <c r="L542" s="272"/>
      <c r="M542" s="273"/>
      <c r="N542" s="273"/>
      <c r="O542" s="273"/>
      <c r="P542" s="27"/>
      <c r="Q542" s="27"/>
      <c r="R542" s="27"/>
      <c r="S542" s="22"/>
      <c r="T542" s="22"/>
      <c r="U542" s="28"/>
    </row>
    <row r="543" ht="15.75" customHeight="1">
      <c r="A543" s="189"/>
      <c r="B543" s="22"/>
      <c r="C543" s="22"/>
      <c r="D543" s="22"/>
      <c r="E543" s="22"/>
      <c r="F543" s="22"/>
      <c r="G543" s="22"/>
      <c r="H543" s="22"/>
      <c r="I543" s="266"/>
      <c r="J543" s="272"/>
      <c r="K543" s="272"/>
      <c r="L543" s="272"/>
      <c r="M543" s="273"/>
      <c r="N543" s="273"/>
      <c r="O543" s="273"/>
      <c r="P543" s="27"/>
      <c r="Q543" s="27"/>
      <c r="R543" s="27"/>
      <c r="S543" s="22"/>
      <c r="T543" s="22"/>
      <c r="U543" s="28"/>
    </row>
    <row r="544" ht="15.75" customHeight="1">
      <c r="A544" s="189"/>
      <c r="B544" s="22"/>
      <c r="C544" s="22"/>
      <c r="D544" s="22"/>
      <c r="E544" s="22"/>
      <c r="F544" s="22"/>
      <c r="G544" s="22"/>
      <c r="H544" s="22"/>
      <c r="I544" s="266"/>
      <c r="J544" s="272"/>
      <c r="K544" s="272"/>
      <c r="L544" s="272"/>
      <c r="M544" s="273"/>
      <c r="N544" s="273"/>
      <c r="O544" s="273"/>
      <c r="P544" s="27"/>
      <c r="Q544" s="27"/>
      <c r="R544" s="27"/>
      <c r="S544" s="22"/>
      <c r="T544" s="22"/>
      <c r="U544" s="28"/>
    </row>
    <row r="545" ht="15.75" customHeight="1">
      <c r="A545" s="189"/>
      <c r="B545" s="22"/>
      <c r="C545" s="22"/>
      <c r="D545" s="22"/>
      <c r="E545" s="22"/>
      <c r="F545" s="22"/>
      <c r="G545" s="22"/>
      <c r="H545" s="22"/>
      <c r="I545" s="266"/>
      <c r="J545" s="272"/>
      <c r="K545" s="272"/>
      <c r="L545" s="272"/>
      <c r="M545" s="273"/>
      <c r="N545" s="273"/>
      <c r="O545" s="273"/>
      <c r="P545" s="27"/>
      <c r="Q545" s="27"/>
      <c r="R545" s="27"/>
      <c r="S545" s="22"/>
      <c r="T545" s="22"/>
      <c r="U545" s="28"/>
    </row>
    <row r="546" ht="15.75" customHeight="1">
      <c r="A546" s="189"/>
      <c r="B546" s="22"/>
      <c r="C546" s="22"/>
      <c r="D546" s="22"/>
      <c r="E546" s="22"/>
      <c r="F546" s="22"/>
      <c r="G546" s="22"/>
      <c r="H546" s="22"/>
      <c r="I546" s="266"/>
      <c r="J546" s="272"/>
      <c r="K546" s="272"/>
      <c r="L546" s="272"/>
      <c r="M546" s="273"/>
      <c r="N546" s="273"/>
      <c r="O546" s="273"/>
      <c r="P546" s="27"/>
      <c r="Q546" s="27"/>
      <c r="R546" s="27"/>
      <c r="S546" s="22"/>
      <c r="T546" s="22"/>
      <c r="U546" s="28"/>
    </row>
    <row r="547" ht="15.75" customHeight="1">
      <c r="A547" s="189"/>
      <c r="B547" s="22"/>
      <c r="C547" s="22"/>
      <c r="D547" s="22"/>
      <c r="E547" s="22"/>
      <c r="F547" s="22"/>
      <c r="G547" s="22"/>
      <c r="H547" s="22"/>
      <c r="I547" s="266"/>
      <c r="J547" s="272"/>
      <c r="K547" s="272"/>
      <c r="L547" s="272"/>
      <c r="M547" s="273"/>
      <c r="N547" s="273"/>
      <c r="O547" s="273"/>
      <c r="P547" s="27"/>
      <c r="Q547" s="27"/>
      <c r="R547" s="27"/>
      <c r="S547" s="22"/>
      <c r="T547" s="22"/>
      <c r="U547" s="28"/>
    </row>
    <row r="548" ht="15.75" customHeight="1">
      <c r="A548" s="189"/>
      <c r="B548" s="22"/>
      <c r="C548" s="22"/>
      <c r="D548" s="22"/>
      <c r="E548" s="22"/>
      <c r="F548" s="22"/>
      <c r="G548" s="22"/>
      <c r="H548" s="22"/>
      <c r="I548" s="266"/>
      <c r="J548" s="272"/>
      <c r="K548" s="272"/>
      <c r="L548" s="272"/>
      <c r="M548" s="273"/>
      <c r="N548" s="273"/>
      <c r="O548" s="273"/>
      <c r="P548" s="27"/>
      <c r="Q548" s="27"/>
      <c r="R548" s="27"/>
      <c r="S548" s="22"/>
      <c r="T548" s="22"/>
      <c r="U548" s="28"/>
    </row>
    <row r="549" ht="15.75" customHeight="1">
      <c r="A549" s="189"/>
      <c r="B549" s="22"/>
      <c r="C549" s="22"/>
      <c r="D549" s="22"/>
      <c r="E549" s="22"/>
      <c r="F549" s="22"/>
      <c r="G549" s="22"/>
      <c r="H549" s="22"/>
      <c r="I549" s="266"/>
      <c r="J549" s="272"/>
      <c r="K549" s="272"/>
      <c r="L549" s="272"/>
      <c r="M549" s="273"/>
      <c r="N549" s="273"/>
      <c r="O549" s="273"/>
      <c r="P549" s="27"/>
      <c r="Q549" s="27"/>
      <c r="R549" s="27"/>
      <c r="S549" s="22"/>
      <c r="T549" s="22"/>
      <c r="U549" s="28"/>
    </row>
    <row r="550" ht="15.75" customHeight="1">
      <c r="A550" s="189"/>
      <c r="B550" s="22"/>
      <c r="C550" s="22"/>
      <c r="D550" s="22"/>
      <c r="E550" s="22"/>
      <c r="F550" s="22"/>
      <c r="G550" s="22"/>
      <c r="H550" s="22"/>
      <c r="I550" s="266"/>
      <c r="J550" s="272"/>
      <c r="K550" s="272"/>
      <c r="L550" s="272"/>
      <c r="M550" s="273"/>
      <c r="N550" s="273"/>
      <c r="O550" s="273"/>
      <c r="P550" s="27"/>
      <c r="Q550" s="27"/>
      <c r="R550" s="27"/>
      <c r="S550" s="22"/>
      <c r="T550" s="22"/>
      <c r="U550" s="28"/>
    </row>
    <row r="551" ht="15.75" customHeight="1">
      <c r="A551" s="189"/>
      <c r="B551" s="22"/>
      <c r="C551" s="22"/>
      <c r="D551" s="22"/>
      <c r="E551" s="22"/>
      <c r="F551" s="22"/>
      <c r="G551" s="22"/>
      <c r="H551" s="22"/>
      <c r="I551" s="266"/>
      <c r="J551" s="272"/>
      <c r="K551" s="272"/>
      <c r="L551" s="272"/>
      <c r="M551" s="273"/>
      <c r="N551" s="273"/>
      <c r="O551" s="273"/>
      <c r="P551" s="27"/>
      <c r="Q551" s="27"/>
      <c r="R551" s="27"/>
      <c r="S551" s="22"/>
      <c r="T551" s="22"/>
      <c r="U551" s="28"/>
    </row>
    <row r="552" ht="15.75" customHeight="1">
      <c r="A552" s="189"/>
      <c r="B552" s="22"/>
      <c r="C552" s="22"/>
      <c r="D552" s="22"/>
      <c r="E552" s="22"/>
      <c r="F552" s="22"/>
      <c r="G552" s="22"/>
      <c r="H552" s="22"/>
      <c r="I552" s="266"/>
      <c r="J552" s="272"/>
      <c r="K552" s="272"/>
      <c r="L552" s="272"/>
      <c r="M552" s="273"/>
      <c r="N552" s="273"/>
      <c r="O552" s="273"/>
      <c r="P552" s="27"/>
      <c r="Q552" s="27"/>
      <c r="R552" s="27"/>
      <c r="S552" s="22"/>
      <c r="T552" s="22"/>
      <c r="U552" s="28"/>
    </row>
    <row r="553" ht="15.75" customHeight="1">
      <c r="A553" s="189"/>
      <c r="B553" s="22"/>
      <c r="C553" s="22"/>
      <c r="D553" s="22"/>
      <c r="E553" s="22"/>
      <c r="F553" s="22"/>
      <c r="G553" s="22"/>
      <c r="H553" s="22"/>
      <c r="I553" s="266"/>
      <c r="J553" s="272"/>
      <c r="K553" s="272"/>
      <c r="L553" s="272"/>
      <c r="M553" s="273"/>
      <c r="N553" s="273"/>
      <c r="O553" s="273"/>
      <c r="P553" s="27"/>
      <c r="Q553" s="27"/>
      <c r="R553" s="27"/>
      <c r="S553" s="22"/>
      <c r="T553" s="22"/>
      <c r="U553" s="28"/>
    </row>
    <row r="554" ht="15.75" customHeight="1">
      <c r="A554" s="189"/>
      <c r="B554" s="22"/>
      <c r="C554" s="22"/>
      <c r="D554" s="22"/>
      <c r="E554" s="22"/>
      <c r="F554" s="22"/>
      <c r="G554" s="22"/>
      <c r="H554" s="22"/>
      <c r="I554" s="266"/>
      <c r="J554" s="272"/>
      <c r="K554" s="272"/>
      <c r="L554" s="272"/>
      <c r="M554" s="273"/>
      <c r="N554" s="273"/>
      <c r="O554" s="273"/>
      <c r="P554" s="27"/>
      <c r="Q554" s="27"/>
      <c r="R554" s="27"/>
      <c r="S554" s="22"/>
      <c r="T554" s="22"/>
      <c r="U554" s="28"/>
    </row>
    <row r="555" ht="15.75" customHeight="1">
      <c r="A555" s="189"/>
      <c r="B555" s="22"/>
      <c r="C555" s="22"/>
      <c r="D555" s="22"/>
      <c r="E555" s="22"/>
      <c r="F555" s="22"/>
      <c r="G555" s="22"/>
      <c r="H555" s="22"/>
      <c r="I555" s="266"/>
      <c r="J555" s="272"/>
      <c r="K555" s="272"/>
      <c r="L555" s="272"/>
      <c r="M555" s="273"/>
      <c r="N555" s="273"/>
      <c r="O555" s="273"/>
      <c r="P555" s="27"/>
      <c r="Q555" s="27"/>
      <c r="R555" s="27"/>
      <c r="S555" s="22"/>
      <c r="T555" s="22"/>
      <c r="U555" s="28"/>
    </row>
    <row r="556" ht="15.75" customHeight="1">
      <c r="A556" s="189"/>
      <c r="B556" s="22"/>
      <c r="C556" s="22"/>
      <c r="D556" s="22"/>
      <c r="E556" s="22"/>
      <c r="F556" s="22"/>
      <c r="G556" s="22"/>
      <c r="H556" s="22"/>
      <c r="I556" s="266"/>
      <c r="J556" s="272"/>
      <c r="K556" s="272"/>
      <c r="L556" s="272"/>
      <c r="M556" s="273"/>
      <c r="N556" s="273"/>
      <c r="O556" s="273"/>
      <c r="P556" s="27"/>
      <c r="Q556" s="27"/>
      <c r="R556" s="27"/>
      <c r="S556" s="22"/>
      <c r="T556" s="22"/>
      <c r="U556" s="28"/>
    </row>
    <row r="557" ht="15.75" customHeight="1">
      <c r="A557" s="189"/>
      <c r="B557" s="22"/>
      <c r="C557" s="22"/>
      <c r="D557" s="22"/>
      <c r="E557" s="22"/>
      <c r="F557" s="22"/>
      <c r="G557" s="22"/>
      <c r="H557" s="22"/>
      <c r="I557" s="266"/>
      <c r="J557" s="272"/>
      <c r="K557" s="272"/>
      <c r="L557" s="272"/>
      <c r="M557" s="273"/>
      <c r="N557" s="273"/>
      <c r="O557" s="273"/>
      <c r="P557" s="27"/>
      <c r="Q557" s="27"/>
      <c r="R557" s="27"/>
      <c r="S557" s="22"/>
      <c r="T557" s="22"/>
      <c r="U557" s="28"/>
    </row>
    <row r="558" ht="15.75" customHeight="1">
      <c r="A558" s="189"/>
      <c r="B558" s="22"/>
      <c r="C558" s="22"/>
      <c r="D558" s="22"/>
      <c r="E558" s="22"/>
      <c r="F558" s="22"/>
      <c r="G558" s="22"/>
      <c r="H558" s="22"/>
      <c r="I558" s="266"/>
      <c r="J558" s="272"/>
      <c r="K558" s="272"/>
      <c r="L558" s="272"/>
      <c r="M558" s="273"/>
      <c r="N558" s="273"/>
      <c r="O558" s="273"/>
      <c r="P558" s="27"/>
      <c r="Q558" s="27"/>
      <c r="R558" s="27"/>
      <c r="S558" s="22"/>
      <c r="T558" s="22"/>
      <c r="U558" s="28"/>
    </row>
    <row r="559" ht="15.75" customHeight="1">
      <c r="A559" s="189"/>
      <c r="B559" s="22"/>
      <c r="C559" s="22"/>
      <c r="D559" s="22"/>
      <c r="E559" s="22"/>
      <c r="F559" s="22"/>
      <c r="G559" s="22"/>
      <c r="H559" s="22"/>
      <c r="I559" s="266"/>
      <c r="J559" s="272"/>
      <c r="K559" s="272"/>
      <c r="L559" s="272"/>
      <c r="M559" s="273"/>
      <c r="N559" s="273"/>
      <c r="O559" s="273"/>
      <c r="P559" s="27"/>
      <c r="Q559" s="27"/>
      <c r="R559" s="27"/>
      <c r="S559" s="22"/>
      <c r="T559" s="22"/>
      <c r="U559" s="28"/>
    </row>
    <row r="560" ht="15.75" customHeight="1">
      <c r="A560" s="189"/>
      <c r="B560" s="22"/>
      <c r="C560" s="22"/>
      <c r="D560" s="22"/>
      <c r="E560" s="22"/>
      <c r="F560" s="22"/>
      <c r="G560" s="22"/>
      <c r="H560" s="22"/>
      <c r="I560" s="266"/>
      <c r="J560" s="272"/>
      <c r="K560" s="272"/>
      <c r="L560" s="272"/>
      <c r="M560" s="273"/>
      <c r="N560" s="273"/>
      <c r="O560" s="273"/>
      <c r="P560" s="27"/>
      <c r="Q560" s="27"/>
      <c r="R560" s="27"/>
      <c r="S560" s="22"/>
      <c r="T560" s="22"/>
      <c r="U560" s="28"/>
    </row>
    <row r="561" ht="15.75" customHeight="1">
      <c r="A561" s="189"/>
      <c r="B561" s="22"/>
      <c r="C561" s="22"/>
      <c r="D561" s="22"/>
      <c r="E561" s="22"/>
      <c r="F561" s="22"/>
      <c r="G561" s="22"/>
      <c r="H561" s="22"/>
      <c r="I561" s="266"/>
      <c r="J561" s="272"/>
      <c r="K561" s="272"/>
      <c r="L561" s="272"/>
      <c r="M561" s="273"/>
      <c r="N561" s="273"/>
      <c r="O561" s="273"/>
      <c r="P561" s="27"/>
      <c r="Q561" s="27"/>
      <c r="R561" s="27"/>
      <c r="S561" s="22"/>
      <c r="T561" s="22"/>
      <c r="U561" s="28"/>
    </row>
    <row r="562" ht="15.75" customHeight="1">
      <c r="A562" s="189"/>
      <c r="B562" s="22"/>
      <c r="C562" s="22"/>
      <c r="D562" s="22"/>
      <c r="E562" s="22"/>
      <c r="F562" s="22"/>
      <c r="G562" s="22"/>
      <c r="H562" s="22"/>
      <c r="I562" s="266"/>
      <c r="J562" s="272"/>
      <c r="K562" s="272"/>
      <c r="L562" s="272"/>
      <c r="M562" s="273"/>
      <c r="N562" s="273"/>
      <c r="O562" s="273"/>
      <c r="P562" s="27"/>
      <c r="Q562" s="27"/>
      <c r="R562" s="27"/>
      <c r="S562" s="22"/>
      <c r="T562" s="22"/>
      <c r="U562" s="28"/>
    </row>
    <row r="563" ht="15.75" customHeight="1">
      <c r="A563" s="189"/>
      <c r="B563" s="22"/>
      <c r="C563" s="22"/>
      <c r="D563" s="22"/>
      <c r="E563" s="22"/>
      <c r="F563" s="22"/>
      <c r="G563" s="22"/>
      <c r="H563" s="22"/>
      <c r="I563" s="266"/>
      <c r="J563" s="272"/>
      <c r="K563" s="272"/>
      <c r="L563" s="272"/>
      <c r="M563" s="273"/>
      <c r="N563" s="273"/>
      <c r="O563" s="273"/>
      <c r="P563" s="27"/>
      <c r="Q563" s="27"/>
      <c r="R563" s="27"/>
      <c r="S563" s="22"/>
      <c r="T563" s="22"/>
      <c r="U563" s="28"/>
    </row>
    <row r="564" ht="15.75" customHeight="1">
      <c r="A564" s="189"/>
      <c r="B564" s="22"/>
      <c r="C564" s="22"/>
      <c r="D564" s="22"/>
      <c r="E564" s="22"/>
      <c r="F564" s="22"/>
      <c r="G564" s="22"/>
      <c r="H564" s="22"/>
      <c r="I564" s="266"/>
      <c r="J564" s="272"/>
      <c r="K564" s="272"/>
      <c r="L564" s="272"/>
      <c r="M564" s="273"/>
      <c r="N564" s="273"/>
      <c r="O564" s="273"/>
      <c r="P564" s="27"/>
      <c r="Q564" s="27"/>
      <c r="R564" s="27"/>
      <c r="S564" s="22"/>
      <c r="T564" s="22"/>
      <c r="U564" s="28"/>
    </row>
    <row r="565" ht="15.75" customHeight="1">
      <c r="A565" s="189"/>
      <c r="B565" s="22"/>
      <c r="C565" s="22"/>
      <c r="D565" s="22"/>
      <c r="E565" s="22"/>
      <c r="F565" s="22"/>
      <c r="G565" s="22"/>
      <c r="H565" s="22"/>
      <c r="I565" s="266"/>
      <c r="J565" s="272"/>
      <c r="K565" s="272"/>
      <c r="L565" s="272"/>
      <c r="M565" s="273"/>
      <c r="N565" s="273"/>
      <c r="O565" s="273"/>
      <c r="P565" s="27"/>
      <c r="Q565" s="27"/>
      <c r="R565" s="27"/>
      <c r="S565" s="22"/>
      <c r="T565" s="22"/>
      <c r="U565" s="28"/>
    </row>
    <row r="566" ht="15.75" customHeight="1">
      <c r="A566" s="189"/>
      <c r="B566" s="22"/>
      <c r="C566" s="22"/>
      <c r="D566" s="22"/>
      <c r="E566" s="22"/>
      <c r="F566" s="22"/>
      <c r="G566" s="22"/>
      <c r="H566" s="22"/>
      <c r="I566" s="266"/>
      <c r="J566" s="272"/>
      <c r="K566" s="272"/>
      <c r="L566" s="272"/>
      <c r="M566" s="273"/>
      <c r="N566" s="273"/>
      <c r="O566" s="273"/>
      <c r="P566" s="27"/>
      <c r="Q566" s="27"/>
      <c r="R566" s="27"/>
      <c r="S566" s="22"/>
      <c r="T566" s="22"/>
      <c r="U566" s="28"/>
    </row>
    <row r="567" ht="15.75" customHeight="1">
      <c r="A567" s="189"/>
      <c r="B567" s="22"/>
      <c r="C567" s="22"/>
      <c r="D567" s="22"/>
      <c r="E567" s="22"/>
      <c r="F567" s="22"/>
      <c r="G567" s="22"/>
      <c r="H567" s="22"/>
      <c r="I567" s="266"/>
      <c r="J567" s="272"/>
      <c r="K567" s="272"/>
      <c r="L567" s="272"/>
      <c r="M567" s="273"/>
      <c r="N567" s="273"/>
      <c r="O567" s="273"/>
      <c r="P567" s="27"/>
      <c r="Q567" s="27"/>
      <c r="R567" s="27"/>
      <c r="S567" s="22"/>
      <c r="T567" s="22"/>
      <c r="U567" s="28"/>
    </row>
    <row r="568" ht="15.75" customHeight="1">
      <c r="A568" s="189"/>
      <c r="B568" s="22"/>
      <c r="C568" s="22"/>
      <c r="D568" s="22"/>
      <c r="E568" s="22"/>
      <c r="F568" s="22"/>
      <c r="G568" s="22"/>
      <c r="H568" s="22"/>
      <c r="I568" s="266"/>
      <c r="J568" s="272"/>
      <c r="K568" s="272"/>
      <c r="L568" s="272"/>
      <c r="M568" s="273"/>
      <c r="N568" s="273"/>
      <c r="O568" s="273"/>
      <c r="P568" s="27"/>
      <c r="Q568" s="27"/>
      <c r="R568" s="27"/>
      <c r="S568" s="22"/>
      <c r="T568" s="22"/>
      <c r="U568" s="28"/>
    </row>
    <row r="569" ht="15.75" customHeight="1">
      <c r="A569" s="189"/>
      <c r="B569" s="22"/>
      <c r="C569" s="22"/>
      <c r="D569" s="22"/>
      <c r="E569" s="22"/>
      <c r="F569" s="22"/>
      <c r="G569" s="22"/>
      <c r="H569" s="22"/>
      <c r="I569" s="266"/>
      <c r="J569" s="272"/>
      <c r="K569" s="272"/>
      <c r="L569" s="272"/>
      <c r="M569" s="273"/>
      <c r="N569" s="273"/>
      <c r="O569" s="273"/>
      <c r="P569" s="27"/>
      <c r="Q569" s="27"/>
      <c r="R569" s="27"/>
      <c r="S569" s="22"/>
      <c r="T569" s="22"/>
      <c r="U569" s="28"/>
    </row>
    <row r="570" ht="15.75" customHeight="1">
      <c r="A570" s="189"/>
      <c r="B570" s="22"/>
      <c r="C570" s="22"/>
      <c r="D570" s="22"/>
      <c r="E570" s="22"/>
      <c r="F570" s="22"/>
      <c r="G570" s="22"/>
      <c r="H570" s="22"/>
      <c r="I570" s="266"/>
      <c r="J570" s="272"/>
      <c r="K570" s="272"/>
      <c r="L570" s="272"/>
      <c r="M570" s="273"/>
      <c r="N570" s="273"/>
      <c r="O570" s="273"/>
      <c r="P570" s="27"/>
      <c r="Q570" s="27"/>
      <c r="R570" s="27"/>
      <c r="S570" s="22"/>
      <c r="T570" s="22"/>
      <c r="U570" s="28"/>
    </row>
    <row r="571" ht="15.75" customHeight="1">
      <c r="A571" s="189"/>
      <c r="B571" s="22"/>
      <c r="C571" s="22"/>
      <c r="D571" s="22"/>
      <c r="E571" s="22"/>
      <c r="F571" s="22"/>
      <c r="G571" s="22"/>
      <c r="H571" s="22"/>
      <c r="I571" s="266"/>
      <c r="J571" s="272"/>
      <c r="K571" s="272"/>
      <c r="L571" s="272"/>
      <c r="M571" s="273"/>
      <c r="N571" s="273"/>
      <c r="O571" s="273"/>
      <c r="P571" s="27"/>
      <c r="Q571" s="27"/>
      <c r="R571" s="27"/>
      <c r="S571" s="22"/>
      <c r="T571" s="22"/>
      <c r="U571" s="28"/>
    </row>
    <row r="572" ht="15.75" customHeight="1">
      <c r="A572" s="189"/>
      <c r="B572" s="22"/>
      <c r="C572" s="22"/>
      <c r="D572" s="22"/>
      <c r="E572" s="22"/>
      <c r="F572" s="22"/>
      <c r="G572" s="22"/>
      <c r="H572" s="22"/>
      <c r="I572" s="266"/>
      <c r="J572" s="272"/>
      <c r="K572" s="272"/>
      <c r="L572" s="272"/>
      <c r="M572" s="273"/>
      <c r="N572" s="273"/>
      <c r="O572" s="273"/>
      <c r="P572" s="27"/>
      <c r="Q572" s="27"/>
      <c r="R572" s="27"/>
      <c r="S572" s="22"/>
      <c r="T572" s="22"/>
      <c r="U572" s="28"/>
    </row>
    <row r="573" ht="15.75" customHeight="1">
      <c r="A573" s="189"/>
      <c r="B573" s="22"/>
      <c r="C573" s="22"/>
      <c r="D573" s="22"/>
      <c r="E573" s="22"/>
      <c r="F573" s="22"/>
      <c r="G573" s="22"/>
      <c r="H573" s="22"/>
      <c r="I573" s="266"/>
      <c r="J573" s="272"/>
      <c r="K573" s="272"/>
      <c r="L573" s="272"/>
      <c r="M573" s="273"/>
      <c r="N573" s="273"/>
      <c r="O573" s="273"/>
      <c r="P573" s="27"/>
      <c r="Q573" s="27"/>
      <c r="R573" s="27"/>
      <c r="S573" s="22"/>
      <c r="T573" s="22"/>
      <c r="U573" s="28"/>
    </row>
    <row r="574" ht="15.75" customHeight="1">
      <c r="A574" s="189"/>
      <c r="B574" s="22"/>
      <c r="C574" s="22"/>
      <c r="D574" s="22"/>
      <c r="E574" s="22"/>
      <c r="F574" s="22"/>
      <c r="G574" s="22"/>
      <c r="H574" s="22"/>
      <c r="I574" s="266"/>
      <c r="J574" s="272"/>
      <c r="K574" s="272"/>
      <c r="L574" s="272"/>
      <c r="M574" s="273"/>
      <c r="N574" s="273"/>
      <c r="O574" s="273"/>
      <c r="P574" s="27"/>
      <c r="Q574" s="27"/>
      <c r="R574" s="27"/>
      <c r="S574" s="22"/>
      <c r="T574" s="22"/>
      <c r="U574" s="28"/>
    </row>
    <row r="575" ht="15.75" customHeight="1">
      <c r="A575" s="189"/>
      <c r="B575" s="22"/>
      <c r="C575" s="22"/>
      <c r="D575" s="22"/>
      <c r="E575" s="22"/>
      <c r="F575" s="22"/>
      <c r="G575" s="22"/>
      <c r="H575" s="22"/>
      <c r="I575" s="266"/>
      <c r="J575" s="272"/>
      <c r="K575" s="272"/>
      <c r="L575" s="272"/>
      <c r="M575" s="273"/>
      <c r="N575" s="273"/>
      <c r="O575" s="273"/>
      <c r="P575" s="27"/>
      <c r="Q575" s="27"/>
      <c r="R575" s="27"/>
      <c r="S575" s="22"/>
      <c r="T575" s="22"/>
      <c r="U575" s="28"/>
    </row>
    <row r="576" ht="15.75" customHeight="1">
      <c r="A576" s="189"/>
      <c r="B576" s="22"/>
      <c r="C576" s="22"/>
      <c r="D576" s="22"/>
      <c r="E576" s="22"/>
      <c r="F576" s="22"/>
      <c r="G576" s="22"/>
      <c r="H576" s="22"/>
      <c r="I576" s="266"/>
      <c r="J576" s="272"/>
      <c r="K576" s="272"/>
      <c r="L576" s="272"/>
      <c r="M576" s="273"/>
      <c r="N576" s="273"/>
      <c r="O576" s="273"/>
      <c r="P576" s="27"/>
      <c r="Q576" s="27"/>
      <c r="R576" s="27"/>
      <c r="S576" s="22"/>
      <c r="T576" s="22"/>
      <c r="U576" s="28"/>
    </row>
    <row r="577" ht="15.75" customHeight="1">
      <c r="A577" s="189"/>
      <c r="B577" s="22"/>
      <c r="C577" s="22"/>
      <c r="D577" s="22"/>
      <c r="E577" s="22"/>
      <c r="F577" s="22"/>
      <c r="G577" s="22"/>
      <c r="H577" s="22"/>
      <c r="I577" s="266"/>
      <c r="J577" s="272"/>
      <c r="K577" s="272"/>
      <c r="L577" s="272"/>
      <c r="M577" s="273"/>
      <c r="N577" s="273"/>
      <c r="O577" s="273"/>
      <c r="P577" s="27"/>
      <c r="Q577" s="27"/>
      <c r="R577" s="27"/>
      <c r="S577" s="22"/>
      <c r="T577" s="22"/>
      <c r="U577" s="28"/>
    </row>
    <row r="578" ht="15.75" customHeight="1">
      <c r="A578" s="189"/>
      <c r="B578" s="22"/>
      <c r="C578" s="22"/>
      <c r="D578" s="22"/>
      <c r="E578" s="22"/>
      <c r="F578" s="22"/>
      <c r="G578" s="22"/>
      <c r="H578" s="22"/>
      <c r="I578" s="266"/>
      <c r="J578" s="272"/>
      <c r="K578" s="272"/>
      <c r="L578" s="272"/>
      <c r="M578" s="273"/>
      <c r="N578" s="273"/>
      <c r="O578" s="273"/>
      <c r="P578" s="27"/>
      <c r="Q578" s="27"/>
      <c r="R578" s="27"/>
      <c r="S578" s="22"/>
      <c r="T578" s="22"/>
      <c r="U578" s="28"/>
    </row>
    <row r="579" ht="15.75" customHeight="1">
      <c r="A579" s="189"/>
      <c r="B579" s="22"/>
      <c r="C579" s="22"/>
      <c r="D579" s="22"/>
      <c r="E579" s="22"/>
      <c r="F579" s="22"/>
      <c r="G579" s="22"/>
      <c r="H579" s="22"/>
      <c r="I579" s="266"/>
      <c r="J579" s="272"/>
      <c r="K579" s="272"/>
      <c r="L579" s="272"/>
      <c r="M579" s="273"/>
      <c r="N579" s="273"/>
      <c r="O579" s="273"/>
      <c r="P579" s="27"/>
      <c r="Q579" s="27"/>
      <c r="R579" s="27"/>
      <c r="S579" s="22"/>
      <c r="T579" s="22"/>
      <c r="U579" s="28"/>
    </row>
    <row r="580" ht="15.75" customHeight="1">
      <c r="A580" s="189"/>
      <c r="B580" s="22"/>
      <c r="C580" s="22"/>
      <c r="D580" s="22"/>
      <c r="E580" s="22"/>
      <c r="F580" s="22"/>
      <c r="G580" s="22"/>
      <c r="H580" s="22"/>
      <c r="I580" s="266"/>
      <c r="J580" s="272"/>
      <c r="K580" s="272"/>
      <c r="L580" s="272"/>
      <c r="M580" s="273"/>
      <c r="N580" s="273"/>
      <c r="O580" s="273"/>
      <c r="P580" s="27"/>
      <c r="Q580" s="27"/>
      <c r="R580" s="27"/>
      <c r="S580" s="22"/>
      <c r="T580" s="22"/>
      <c r="U580" s="28"/>
    </row>
    <row r="581" ht="15.75" customHeight="1">
      <c r="A581" s="189"/>
      <c r="B581" s="22"/>
      <c r="C581" s="22"/>
      <c r="D581" s="22"/>
      <c r="E581" s="22"/>
      <c r="F581" s="22"/>
      <c r="G581" s="22"/>
      <c r="H581" s="22"/>
      <c r="I581" s="266"/>
      <c r="J581" s="272"/>
      <c r="K581" s="272"/>
      <c r="L581" s="272"/>
      <c r="M581" s="273"/>
      <c r="N581" s="273"/>
      <c r="O581" s="273"/>
      <c r="P581" s="27"/>
      <c r="Q581" s="27"/>
      <c r="R581" s="27"/>
      <c r="S581" s="22"/>
      <c r="T581" s="22"/>
      <c r="U581" s="28"/>
    </row>
    <row r="582" ht="15.75" customHeight="1">
      <c r="A582" s="189"/>
      <c r="B582" s="22"/>
      <c r="C582" s="22"/>
      <c r="D582" s="22"/>
      <c r="E582" s="22"/>
      <c r="F582" s="22"/>
      <c r="G582" s="22"/>
      <c r="H582" s="22"/>
      <c r="I582" s="266"/>
      <c r="J582" s="272"/>
      <c r="K582" s="272"/>
      <c r="L582" s="272"/>
      <c r="M582" s="273"/>
      <c r="N582" s="273"/>
      <c r="O582" s="273"/>
      <c r="P582" s="27"/>
      <c r="Q582" s="27"/>
      <c r="R582" s="27"/>
      <c r="S582" s="22"/>
      <c r="T582" s="22"/>
      <c r="U582" s="28"/>
    </row>
    <row r="583" ht="15.75" customHeight="1">
      <c r="A583" s="189"/>
      <c r="B583" s="22"/>
      <c r="C583" s="22"/>
      <c r="D583" s="22"/>
      <c r="E583" s="22"/>
      <c r="F583" s="22"/>
      <c r="G583" s="22"/>
      <c r="H583" s="22"/>
      <c r="I583" s="266"/>
      <c r="J583" s="272"/>
      <c r="K583" s="272"/>
      <c r="L583" s="272"/>
      <c r="M583" s="273"/>
      <c r="N583" s="273"/>
      <c r="O583" s="273"/>
      <c r="P583" s="27"/>
      <c r="Q583" s="27"/>
      <c r="R583" s="27"/>
      <c r="S583" s="22"/>
      <c r="T583" s="22"/>
      <c r="U583" s="28"/>
    </row>
    <row r="584" ht="15.75" customHeight="1">
      <c r="A584" s="189"/>
      <c r="B584" s="22"/>
      <c r="C584" s="22"/>
      <c r="D584" s="22"/>
      <c r="E584" s="22"/>
      <c r="F584" s="22"/>
      <c r="G584" s="22"/>
      <c r="H584" s="22"/>
      <c r="I584" s="266"/>
      <c r="J584" s="272"/>
      <c r="K584" s="272"/>
      <c r="L584" s="272"/>
      <c r="M584" s="273"/>
      <c r="N584" s="273"/>
      <c r="O584" s="273"/>
      <c r="P584" s="27"/>
      <c r="Q584" s="27"/>
      <c r="R584" s="27"/>
      <c r="S584" s="22"/>
      <c r="T584" s="22"/>
      <c r="U584" s="28"/>
    </row>
    <row r="585" ht="15.75" customHeight="1">
      <c r="A585" s="189"/>
      <c r="B585" s="22"/>
      <c r="C585" s="22"/>
      <c r="D585" s="22"/>
      <c r="E585" s="22"/>
      <c r="F585" s="22"/>
      <c r="G585" s="22"/>
      <c r="H585" s="22"/>
      <c r="I585" s="266"/>
      <c r="J585" s="272"/>
      <c r="K585" s="272"/>
      <c r="L585" s="272"/>
      <c r="M585" s="273"/>
      <c r="N585" s="273"/>
      <c r="O585" s="273"/>
      <c r="P585" s="27"/>
      <c r="Q585" s="27"/>
      <c r="R585" s="27"/>
      <c r="S585" s="22"/>
      <c r="T585" s="22"/>
      <c r="U585" s="28"/>
    </row>
    <row r="586" ht="15.75" customHeight="1">
      <c r="A586" s="189"/>
      <c r="B586" s="22"/>
      <c r="C586" s="22"/>
      <c r="D586" s="22"/>
      <c r="E586" s="22"/>
      <c r="F586" s="22"/>
      <c r="G586" s="22"/>
      <c r="H586" s="22"/>
      <c r="I586" s="266"/>
      <c r="J586" s="272"/>
      <c r="K586" s="272"/>
      <c r="L586" s="272"/>
      <c r="M586" s="273"/>
      <c r="N586" s="273"/>
      <c r="O586" s="273"/>
      <c r="P586" s="27"/>
      <c r="Q586" s="27"/>
      <c r="R586" s="27"/>
      <c r="S586" s="22"/>
      <c r="T586" s="22"/>
      <c r="U586" s="28"/>
    </row>
    <row r="587" ht="15.75" customHeight="1">
      <c r="A587" s="189"/>
      <c r="B587" s="22"/>
      <c r="C587" s="22"/>
      <c r="D587" s="22"/>
      <c r="E587" s="22"/>
      <c r="F587" s="22"/>
      <c r="G587" s="22"/>
      <c r="H587" s="22"/>
      <c r="I587" s="266"/>
      <c r="J587" s="272"/>
      <c r="K587" s="272"/>
      <c r="L587" s="272"/>
      <c r="M587" s="273"/>
      <c r="N587" s="273"/>
      <c r="O587" s="273"/>
      <c r="P587" s="27"/>
      <c r="Q587" s="27"/>
      <c r="R587" s="27"/>
      <c r="S587" s="22"/>
      <c r="T587" s="22"/>
      <c r="U587" s="28"/>
    </row>
    <row r="588" ht="15.75" customHeight="1">
      <c r="A588" s="189"/>
      <c r="B588" s="22"/>
      <c r="C588" s="22"/>
      <c r="D588" s="22"/>
      <c r="E588" s="22"/>
      <c r="F588" s="22"/>
      <c r="G588" s="22"/>
      <c r="H588" s="22"/>
      <c r="I588" s="266"/>
      <c r="J588" s="272"/>
      <c r="K588" s="272"/>
      <c r="L588" s="272"/>
      <c r="M588" s="273"/>
      <c r="N588" s="273"/>
      <c r="O588" s="273"/>
      <c r="P588" s="27"/>
      <c r="Q588" s="27"/>
      <c r="R588" s="27"/>
      <c r="S588" s="22"/>
      <c r="T588" s="22"/>
      <c r="U588" s="28"/>
    </row>
    <row r="589" ht="15.75" customHeight="1">
      <c r="A589" s="189"/>
      <c r="B589" s="22"/>
      <c r="C589" s="22"/>
      <c r="D589" s="22"/>
      <c r="E589" s="22"/>
      <c r="F589" s="22"/>
      <c r="G589" s="22"/>
      <c r="H589" s="22"/>
      <c r="I589" s="266"/>
      <c r="J589" s="272"/>
      <c r="K589" s="272"/>
      <c r="L589" s="272"/>
      <c r="M589" s="273"/>
      <c r="N589" s="273"/>
      <c r="O589" s="273"/>
      <c r="P589" s="27"/>
      <c r="Q589" s="27"/>
      <c r="R589" s="27"/>
      <c r="S589" s="22"/>
      <c r="T589" s="22"/>
      <c r="U589" s="28"/>
    </row>
    <row r="590" ht="15.75" customHeight="1">
      <c r="A590" s="189"/>
      <c r="B590" s="22"/>
      <c r="C590" s="22"/>
      <c r="D590" s="22"/>
      <c r="E590" s="22"/>
      <c r="F590" s="22"/>
      <c r="G590" s="22"/>
      <c r="H590" s="22"/>
      <c r="I590" s="266"/>
      <c r="J590" s="272"/>
      <c r="K590" s="272"/>
      <c r="L590" s="272"/>
      <c r="M590" s="273"/>
      <c r="N590" s="273"/>
      <c r="O590" s="273"/>
      <c r="P590" s="27"/>
      <c r="Q590" s="27"/>
      <c r="R590" s="27"/>
      <c r="S590" s="22"/>
      <c r="T590" s="22"/>
      <c r="U590" s="28"/>
    </row>
    <row r="591" ht="15.75" customHeight="1">
      <c r="A591" s="189"/>
      <c r="B591" s="22"/>
      <c r="C591" s="22"/>
      <c r="D591" s="22"/>
      <c r="E591" s="22"/>
      <c r="F591" s="22"/>
      <c r="G591" s="22"/>
      <c r="H591" s="22"/>
      <c r="I591" s="266"/>
      <c r="J591" s="272"/>
      <c r="K591" s="272"/>
      <c r="L591" s="272"/>
      <c r="M591" s="273"/>
      <c r="N591" s="273"/>
      <c r="O591" s="273"/>
      <c r="P591" s="27"/>
      <c r="Q591" s="27"/>
      <c r="R591" s="27"/>
      <c r="S591" s="22"/>
      <c r="T591" s="22"/>
      <c r="U591" s="28"/>
    </row>
    <row r="592" ht="15.75" customHeight="1">
      <c r="A592" s="189"/>
      <c r="B592" s="22"/>
      <c r="C592" s="22"/>
      <c r="D592" s="22"/>
      <c r="E592" s="22"/>
      <c r="F592" s="22"/>
      <c r="G592" s="22"/>
      <c r="H592" s="22"/>
      <c r="I592" s="266"/>
      <c r="J592" s="272"/>
      <c r="K592" s="272"/>
      <c r="L592" s="272"/>
      <c r="M592" s="273"/>
      <c r="N592" s="273"/>
      <c r="O592" s="273"/>
      <c r="P592" s="27"/>
      <c r="Q592" s="27"/>
      <c r="R592" s="27"/>
      <c r="S592" s="22"/>
      <c r="T592" s="22"/>
      <c r="U592" s="28"/>
    </row>
    <row r="593" ht="15.75" customHeight="1">
      <c r="A593" s="189"/>
      <c r="B593" s="22"/>
      <c r="C593" s="22"/>
      <c r="D593" s="22"/>
      <c r="E593" s="22"/>
      <c r="F593" s="22"/>
      <c r="G593" s="22"/>
      <c r="H593" s="22"/>
      <c r="I593" s="266"/>
      <c r="J593" s="272"/>
      <c r="K593" s="272"/>
      <c r="L593" s="272"/>
      <c r="M593" s="273"/>
      <c r="N593" s="273"/>
      <c r="O593" s="273"/>
      <c r="P593" s="27"/>
      <c r="Q593" s="27"/>
      <c r="R593" s="27"/>
      <c r="S593" s="22"/>
      <c r="T593" s="22"/>
      <c r="U593" s="28"/>
    </row>
    <row r="594" ht="15.75" customHeight="1">
      <c r="A594" s="189"/>
      <c r="B594" s="22"/>
      <c r="C594" s="22"/>
      <c r="D594" s="22"/>
      <c r="E594" s="22"/>
      <c r="F594" s="22"/>
      <c r="G594" s="22"/>
      <c r="H594" s="22"/>
      <c r="I594" s="266"/>
      <c r="J594" s="272"/>
      <c r="K594" s="272"/>
      <c r="L594" s="272"/>
      <c r="M594" s="273"/>
      <c r="N594" s="273"/>
      <c r="O594" s="273"/>
      <c r="P594" s="27"/>
      <c r="Q594" s="27"/>
      <c r="R594" s="27"/>
      <c r="S594" s="22"/>
      <c r="T594" s="22"/>
      <c r="U594" s="28"/>
    </row>
    <row r="595" ht="15.75" customHeight="1">
      <c r="A595" s="189"/>
      <c r="B595" s="22"/>
      <c r="C595" s="22"/>
      <c r="D595" s="22"/>
      <c r="E595" s="22"/>
      <c r="F595" s="22"/>
      <c r="G595" s="22"/>
      <c r="H595" s="22"/>
      <c r="I595" s="266"/>
      <c r="J595" s="272"/>
      <c r="K595" s="272"/>
      <c r="L595" s="272"/>
      <c r="M595" s="273"/>
      <c r="N595" s="273"/>
      <c r="O595" s="273"/>
      <c r="P595" s="27"/>
      <c r="Q595" s="27"/>
      <c r="R595" s="27"/>
      <c r="S595" s="22"/>
      <c r="T595" s="22"/>
      <c r="U595" s="28"/>
    </row>
    <row r="596" ht="15.75" customHeight="1">
      <c r="A596" s="189"/>
      <c r="B596" s="22"/>
      <c r="C596" s="22"/>
      <c r="D596" s="22"/>
      <c r="E596" s="22"/>
      <c r="F596" s="22"/>
      <c r="G596" s="22"/>
      <c r="H596" s="22"/>
      <c r="I596" s="266"/>
      <c r="J596" s="272"/>
      <c r="K596" s="272"/>
      <c r="L596" s="272"/>
      <c r="M596" s="273"/>
      <c r="N596" s="273"/>
      <c r="O596" s="273"/>
      <c r="P596" s="27"/>
      <c r="Q596" s="27"/>
      <c r="R596" s="27"/>
      <c r="S596" s="22"/>
      <c r="T596" s="22"/>
      <c r="U596" s="28"/>
    </row>
    <row r="597" ht="15.75" customHeight="1">
      <c r="A597" s="189"/>
      <c r="B597" s="22"/>
      <c r="C597" s="22"/>
      <c r="D597" s="22"/>
      <c r="E597" s="22"/>
      <c r="F597" s="22"/>
      <c r="G597" s="22"/>
      <c r="H597" s="22"/>
      <c r="I597" s="266"/>
      <c r="J597" s="272"/>
      <c r="K597" s="272"/>
      <c r="L597" s="272"/>
      <c r="M597" s="273"/>
      <c r="N597" s="273"/>
      <c r="O597" s="273"/>
      <c r="P597" s="27"/>
      <c r="Q597" s="27"/>
      <c r="R597" s="27"/>
      <c r="S597" s="22"/>
      <c r="T597" s="22"/>
      <c r="U597" s="28"/>
    </row>
    <row r="598" ht="15.75" customHeight="1">
      <c r="A598" s="189"/>
      <c r="B598" s="22"/>
      <c r="C598" s="22"/>
      <c r="D598" s="22"/>
      <c r="E598" s="22"/>
      <c r="F598" s="22"/>
      <c r="G598" s="22"/>
      <c r="H598" s="22"/>
      <c r="I598" s="266"/>
      <c r="J598" s="272"/>
      <c r="K598" s="272"/>
      <c r="L598" s="272"/>
      <c r="M598" s="273"/>
      <c r="N598" s="273"/>
      <c r="O598" s="273"/>
      <c r="P598" s="27"/>
      <c r="Q598" s="27"/>
      <c r="R598" s="27"/>
      <c r="S598" s="22"/>
      <c r="T598" s="22"/>
      <c r="U598" s="28"/>
    </row>
    <row r="599" ht="15.75" customHeight="1">
      <c r="A599" s="189"/>
      <c r="B599" s="22"/>
      <c r="C599" s="22"/>
      <c r="D599" s="22"/>
      <c r="E599" s="22"/>
      <c r="F599" s="22"/>
      <c r="G599" s="22"/>
      <c r="H599" s="22"/>
      <c r="I599" s="266"/>
      <c r="J599" s="272"/>
      <c r="K599" s="272"/>
      <c r="L599" s="272"/>
      <c r="M599" s="273"/>
      <c r="N599" s="273"/>
      <c r="O599" s="273"/>
      <c r="P599" s="27"/>
      <c r="Q599" s="27"/>
      <c r="R599" s="27"/>
      <c r="S599" s="22"/>
      <c r="T599" s="22"/>
      <c r="U599" s="28"/>
    </row>
    <row r="600" ht="15.75" customHeight="1">
      <c r="A600" s="189"/>
      <c r="B600" s="22"/>
      <c r="C600" s="22"/>
      <c r="D600" s="22"/>
      <c r="E600" s="22"/>
      <c r="F600" s="22"/>
      <c r="G600" s="22"/>
      <c r="H600" s="22"/>
      <c r="I600" s="266"/>
      <c r="J600" s="272"/>
      <c r="K600" s="272"/>
      <c r="L600" s="272"/>
      <c r="M600" s="273"/>
      <c r="N600" s="273"/>
      <c r="O600" s="273"/>
      <c r="P600" s="27"/>
      <c r="Q600" s="27"/>
      <c r="R600" s="27"/>
      <c r="S600" s="22"/>
      <c r="T600" s="22"/>
      <c r="U600" s="28"/>
    </row>
    <row r="601" ht="15.75" customHeight="1">
      <c r="A601" s="189"/>
      <c r="B601" s="22"/>
      <c r="C601" s="22"/>
      <c r="D601" s="22"/>
      <c r="E601" s="22"/>
      <c r="F601" s="22"/>
      <c r="G601" s="22"/>
      <c r="H601" s="22"/>
      <c r="I601" s="266"/>
      <c r="J601" s="272"/>
      <c r="K601" s="272"/>
      <c r="L601" s="272"/>
      <c r="M601" s="273"/>
      <c r="N601" s="273"/>
      <c r="O601" s="273"/>
      <c r="P601" s="27"/>
      <c r="Q601" s="27"/>
      <c r="R601" s="27"/>
      <c r="S601" s="22"/>
      <c r="T601" s="22"/>
      <c r="U601" s="28"/>
    </row>
    <row r="602" ht="15.75" customHeight="1">
      <c r="A602" s="189"/>
      <c r="B602" s="22"/>
      <c r="C602" s="22"/>
      <c r="D602" s="22"/>
      <c r="E602" s="22"/>
      <c r="F602" s="22"/>
      <c r="G602" s="22"/>
      <c r="H602" s="22"/>
      <c r="I602" s="266"/>
      <c r="J602" s="272"/>
      <c r="K602" s="272"/>
      <c r="L602" s="272"/>
      <c r="M602" s="273"/>
      <c r="N602" s="273"/>
      <c r="O602" s="273"/>
      <c r="P602" s="27"/>
      <c r="Q602" s="27"/>
      <c r="R602" s="27"/>
      <c r="S602" s="22"/>
      <c r="T602" s="22"/>
      <c r="U602" s="28"/>
    </row>
    <row r="603" ht="15.75" customHeight="1">
      <c r="A603" s="189"/>
      <c r="B603" s="22"/>
      <c r="C603" s="22"/>
      <c r="D603" s="22"/>
      <c r="E603" s="22"/>
      <c r="F603" s="22"/>
      <c r="G603" s="22"/>
      <c r="H603" s="22"/>
      <c r="I603" s="266"/>
      <c r="J603" s="272"/>
      <c r="K603" s="272"/>
      <c r="L603" s="272"/>
      <c r="M603" s="273"/>
      <c r="N603" s="273"/>
      <c r="O603" s="273"/>
      <c r="P603" s="27"/>
      <c r="Q603" s="27"/>
      <c r="R603" s="27"/>
      <c r="S603" s="22"/>
      <c r="T603" s="22"/>
      <c r="U603" s="28"/>
    </row>
    <row r="604" ht="15.75" customHeight="1">
      <c r="A604" s="189"/>
      <c r="B604" s="22"/>
      <c r="C604" s="22"/>
      <c r="D604" s="22"/>
      <c r="E604" s="22"/>
      <c r="F604" s="22"/>
      <c r="G604" s="22"/>
      <c r="H604" s="22"/>
      <c r="I604" s="266"/>
      <c r="J604" s="272"/>
      <c r="K604" s="272"/>
      <c r="L604" s="272"/>
      <c r="M604" s="273"/>
      <c r="N604" s="273"/>
      <c r="O604" s="273"/>
      <c r="P604" s="27"/>
      <c r="Q604" s="27"/>
      <c r="R604" s="27"/>
      <c r="S604" s="22"/>
      <c r="T604" s="22"/>
      <c r="U604" s="28"/>
    </row>
    <row r="605" ht="15.75" customHeight="1">
      <c r="A605" s="189"/>
      <c r="B605" s="22"/>
      <c r="C605" s="22"/>
      <c r="D605" s="22"/>
      <c r="E605" s="22"/>
      <c r="F605" s="22"/>
      <c r="G605" s="22"/>
      <c r="H605" s="22"/>
      <c r="I605" s="266"/>
      <c r="J605" s="272"/>
      <c r="K605" s="272"/>
      <c r="L605" s="272"/>
      <c r="M605" s="273"/>
      <c r="N605" s="273"/>
      <c r="O605" s="273"/>
      <c r="P605" s="27"/>
      <c r="Q605" s="27"/>
      <c r="R605" s="27"/>
      <c r="S605" s="22"/>
      <c r="T605" s="22"/>
      <c r="U605" s="28"/>
    </row>
    <row r="606" ht="15.75" customHeight="1">
      <c r="A606" s="189"/>
      <c r="B606" s="22"/>
      <c r="C606" s="22"/>
      <c r="D606" s="22"/>
      <c r="E606" s="22"/>
      <c r="F606" s="22"/>
      <c r="G606" s="22"/>
      <c r="H606" s="22"/>
      <c r="I606" s="266"/>
      <c r="J606" s="272"/>
      <c r="K606" s="272"/>
      <c r="L606" s="272"/>
      <c r="M606" s="273"/>
      <c r="N606" s="273"/>
      <c r="O606" s="273"/>
      <c r="P606" s="27"/>
      <c r="Q606" s="27"/>
      <c r="R606" s="27"/>
      <c r="S606" s="22"/>
      <c r="T606" s="22"/>
      <c r="U606" s="28"/>
    </row>
    <row r="607" ht="15.75" customHeight="1">
      <c r="A607" s="189"/>
      <c r="B607" s="22"/>
      <c r="C607" s="22"/>
      <c r="D607" s="22"/>
      <c r="E607" s="22"/>
      <c r="F607" s="22"/>
      <c r="G607" s="22"/>
      <c r="H607" s="22"/>
      <c r="I607" s="266"/>
      <c r="J607" s="272"/>
      <c r="K607" s="272"/>
      <c r="L607" s="272"/>
      <c r="M607" s="273"/>
      <c r="N607" s="273"/>
      <c r="O607" s="273"/>
      <c r="P607" s="27"/>
      <c r="Q607" s="27"/>
      <c r="R607" s="27"/>
      <c r="S607" s="22"/>
      <c r="T607" s="22"/>
      <c r="U607" s="28"/>
    </row>
    <row r="608" ht="15.75" customHeight="1">
      <c r="A608" s="189"/>
      <c r="B608" s="22"/>
      <c r="C608" s="22"/>
      <c r="D608" s="22"/>
      <c r="E608" s="22"/>
      <c r="F608" s="22"/>
      <c r="G608" s="22"/>
      <c r="H608" s="22"/>
      <c r="I608" s="266"/>
      <c r="J608" s="272"/>
      <c r="K608" s="272"/>
      <c r="L608" s="272"/>
      <c r="M608" s="273"/>
      <c r="N608" s="273"/>
      <c r="O608" s="273"/>
      <c r="P608" s="27"/>
      <c r="Q608" s="27"/>
      <c r="R608" s="27"/>
      <c r="S608" s="22"/>
      <c r="T608" s="22"/>
      <c r="U608" s="28"/>
    </row>
    <row r="609" ht="15.75" customHeight="1">
      <c r="A609" s="189"/>
      <c r="B609" s="22"/>
      <c r="C609" s="22"/>
      <c r="D609" s="22"/>
      <c r="E609" s="22"/>
      <c r="F609" s="22"/>
      <c r="G609" s="22"/>
      <c r="H609" s="22"/>
      <c r="I609" s="266"/>
      <c r="J609" s="272"/>
      <c r="K609" s="272"/>
      <c r="L609" s="272"/>
      <c r="M609" s="273"/>
      <c r="N609" s="273"/>
      <c r="O609" s="273"/>
      <c r="P609" s="27"/>
      <c r="Q609" s="27"/>
      <c r="R609" s="27"/>
      <c r="S609" s="22"/>
      <c r="T609" s="22"/>
      <c r="U609" s="28"/>
    </row>
    <row r="610" ht="15.75" customHeight="1">
      <c r="A610" s="189"/>
      <c r="B610" s="22"/>
      <c r="C610" s="22"/>
      <c r="D610" s="22"/>
      <c r="E610" s="22"/>
      <c r="F610" s="22"/>
      <c r="G610" s="22"/>
      <c r="H610" s="22"/>
      <c r="I610" s="266"/>
      <c r="J610" s="272"/>
      <c r="K610" s="272"/>
      <c r="L610" s="272"/>
      <c r="M610" s="273"/>
      <c r="N610" s="273"/>
      <c r="O610" s="273"/>
      <c r="P610" s="27"/>
      <c r="Q610" s="27"/>
      <c r="R610" s="27"/>
      <c r="S610" s="22"/>
      <c r="T610" s="22"/>
      <c r="U610" s="28"/>
    </row>
    <row r="611" ht="15.75" customHeight="1">
      <c r="A611" s="189"/>
      <c r="B611" s="22"/>
      <c r="C611" s="22"/>
      <c r="D611" s="22"/>
      <c r="E611" s="22"/>
      <c r="F611" s="22"/>
      <c r="G611" s="22"/>
      <c r="H611" s="22"/>
      <c r="I611" s="266"/>
      <c r="J611" s="272"/>
      <c r="K611" s="272"/>
      <c r="L611" s="272"/>
      <c r="M611" s="273"/>
      <c r="N611" s="273"/>
      <c r="O611" s="273"/>
      <c r="P611" s="27"/>
      <c r="Q611" s="27"/>
      <c r="R611" s="27"/>
      <c r="S611" s="22"/>
      <c r="T611" s="22"/>
      <c r="U611" s="28"/>
    </row>
    <row r="612" ht="15.75" customHeight="1">
      <c r="A612" s="189"/>
      <c r="B612" s="22"/>
      <c r="C612" s="22"/>
      <c r="D612" s="22"/>
      <c r="E612" s="22"/>
      <c r="F612" s="22"/>
      <c r="G612" s="22"/>
      <c r="H612" s="22"/>
      <c r="I612" s="266"/>
      <c r="J612" s="272"/>
      <c r="K612" s="272"/>
      <c r="L612" s="272"/>
      <c r="M612" s="273"/>
      <c r="N612" s="273"/>
      <c r="O612" s="273"/>
      <c r="P612" s="27"/>
      <c r="Q612" s="27"/>
      <c r="R612" s="27"/>
      <c r="S612" s="22"/>
      <c r="T612" s="22"/>
      <c r="U612" s="28"/>
    </row>
    <row r="613" ht="15.75" customHeight="1">
      <c r="A613" s="189"/>
      <c r="B613" s="22"/>
      <c r="C613" s="22"/>
      <c r="D613" s="22"/>
      <c r="E613" s="22"/>
      <c r="F613" s="22"/>
      <c r="G613" s="22"/>
      <c r="H613" s="22"/>
      <c r="I613" s="266"/>
      <c r="J613" s="272"/>
      <c r="K613" s="272"/>
      <c r="L613" s="272"/>
      <c r="M613" s="273"/>
      <c r="N613" s="273"/>
      <c r="O613" s="273"/>
      <c r="P613" s="27"/>
      <c r="Q613" s="27"/>
      <c r="R613" s="27"/>
      <c r="S613" s="22"/>
      <c r="T613" s="22"/>
      <c r="U613" s="28"/>
    </row>
    <row r="614" ht="15.75" customHeight="1">
      <c r="A614" s="189"/>
      <c r="B614" s="22"/>
      <c r="C614" s="22"/>
      <c r="D614" s="22"/>
      <c r="E614" s="22"/>
      <c r="F614" s="22"/>
      <c r="G614" s="22"/>
      <c r="H614" s="22"/>
      <c r="I614" s="266"/>
      <c r="J614" s="272"/>
      <c r="K614" s="272"/>
      <c r="L614" s="272"/>
      <c r="M614" s="273"/>
      <c r="N614" s="273"/>
      <c r="O614" s="273"/>
      <c r="P614" s="27"/>
      <c r="Q614" s="27"/>
      <c r="R614" s="27"/>
      <c r="S614" s="22"/>
      <c r="T614" s="22"/>
      <c r="U614" s="28"/>
    </row>
    <row r="615" ht="15.75" customHeight="1">
      <c r="A615" s="189"/>
      <c r="B615" s="22"/>
      <c r="C615" s="22"/>
      <c r="D615" s="22"/>
      <c r="E615" s="22"/>
      <c r="F615" s="22"/>
      <c r="G615" s="22"/>
      <c r="H615" s="22"/>
      <c r="I615" s="266"/>
      <c r="J615" s="272"/>
      <c r="K615" s="272"/>
      <c r="L615" s="272"/>
      <c r="M615" s="273"/>
      <c r="N615" s="273"/>
      <c r="O615" s="273"/>
      <c r="P615" s="27"/>
      <c r="Q615" s="27"/>
      <c r="R615" s="27"/>
      <c r="S615" s="22"/>
      <c r="T615" s="22"/>
      <c r="U615" s="28"/>
    </row>
    <row r="616" ht="15.75" customHeight="1">
      <c r="A616" s="189"/>
      <c r="B616" s="22"/>
      <c r="C616" s="22"/>
      <c r="D616" s="22"/>
      <c r="E616" s="22"/>
      <c r="F616" s="22"/>
      <c r="G616" s="22"/>
      <c r="H616" s="22"/>
      <c r="I616" s="266"/>
      <c r="J616" s="272"/>
      <c r="K616" s="272"/>
      <c r="L616" s="272"/>
      <c r="M616" s="273"/>
      <c r="N616" s="273"/>
      <c r="O616" s="273"/>
      <c r="P616" s="27"/>
      <c r="Q616" s="27"/>
      <c r="R616" s="27"/>
      <c r="S616" s="22"/>
      <c r="T616" s="22"/>
      <c r="U616" s="28"/>
    </row>
    <row r="617" ht="15.75" customHeight="1">
      <c r="A617" s="189"/>
      <c r="B617" s="22"/>
      <c r="C617" s="22"/>
      <c r="D617" s="22"/>
      <c r="E617" s="22"/>
      <c r="F617" s="22"/>
      <c r="G617" s="22"/>
      <c r="H617" s="22"/>
      <c r="I617" s="266"/>
      <c r="J617" s="272"/>
      <c r="K617" s="272"/>
      <c r="L617" s="272"/>
      <c r="M617" s="273"/>
      <c r="N617" s="273"/>
      <c r="O617" s="273"/>
      <c r="P617" s="27"/>
      <c r="Q617" s="27"/>
      <c r="R617" s="27"/>
      <c r="S617" s="22"/>
      <c r="T617" s="22"/>
      <c r="U617" s="28"/>
    </row>
    <row r="618" ht="15.75" customHeight="1">
      <c r="A618" s="189"/>
      <c r="B618" s="22"/>
      <c r="C618" s="22"/>
      <c r="D618" s="22"/>
      <c r="E618" s="22"/>
      <c r="F618" s="22"/>
      <c r="G618" s="22"/>
      <c r="H618" s="22"/>
      <c r="I618" s="266"/>
      <c r="J618" s="272"/>
      <c r="K618" s="272"/>
      <c r="L618" s="272"/>
      <c r="M618" s="273"/>
      <c r="N618" s="273"/>
      <c r="O618" s="273"/>
      <c r="P618" s="27"/>
      <c r="Q618" s="27"/>
      <c r="R618" s="27"/>
      <c r="S618" s="22"/>
      <c r="T618" s="22"/>
      <c r="U618" s="28"/>
    </row>
    <row r="619" ht="15.75" customHeight="1">
      <c r="A619" s="189"/>
      <c r="B619" s="22"/>
      <c r="C619" s="22"/>
      <c r="D619" s="22"/>
      <c r="E619" s="22"/>
      <c r="F619" s="22"/>
      <c r="G619" s="22"/>
      <c r="H619" s="22"/>
      <c r="I619" s="266"/>
      <c r="J619" s="272"/>
      <c r="K619" s="272"/>
      <c r="L619" s="272"/>
      <c r="M619" s="273"/>
      <c r="N619" s="273"/>
      <c r="O619" s="273"/>
      <c r="P619" s="27"/>
      <c r="Q619" s="27"/>
      <c r="R619" s="27"/>
      <c r="S619" s="22"/>
      <c r="T619" s="22"/>
      <c r="U619" s="28"/>
    </row>
    <row r="620" ht="15.75" customHeight="1">
      <c r="A620" s="189"/>
      <c r="B620" s="22"/>
      <c r="C620" s="22"/>
      <c r="D620" s="22"/>
      <c r="E620" s="22"/>
      <c r="F620" s="22"/>
      <c r="G620" s="22"/>
      <c r="H620" s="22"/>
      <c r="I620" s="266"/>
      <c r="J620" s="272"/>
      <c r="K620" s="272"/>
      <c r="L620" s="272"/>
      <c r="M620" s="273"/>
      <c r="N620" s="273"/>
      <c r="O620" s="273"/>
      <c r="P620" s="27"/>
      <c r="Q620" s="27"/>
      <c r="R620" s="27"/>
      <c r="S620" s="22"/>
      <c r="T620" s="22"/>
      <c r="U620" s="28"/>
    </row>
    <row r="621" ht="15.75" customHeight="1">
      <c r="A621" s="189"/>
      <c r="B621" s="22"/>
      <c r="C621" s="22"/>
      <c r="D621" s="22"/>
      <c r="E621" s="22"/>
      <c r="F621" s="22"/>
      <c r="G621" s="22"/>
      <c r="H621" s="22"/>
      <c r="I621" s="266"/>
      <c r="J621" s="272"/>
      <c r="K621" s="272"/>
      <c r="L621" s="272"/>
      <c r="M621" s="273"/>
      <c r="N621" s="273"/>
      <c r="O621" s="273"/>
      <c r="P621" s="27"/>
      <c r="Q621" s="27"/>
      <c r="R621" s="27"/>
      <c r="S621" s="22"/>
      <c r="T621" s="22"/>
      <c r="U621" s="28"/>
    </row>
    <row r="622" ht="15.75" customHeight="1">
      <c r="A622" s="189"/>
      <c r="B622" s="22"/>
      <c r="C622" s="22"/>
      <c r="D622" s="22"/>
      <c r="E622" s="22"/>
      <c r="F622" s="22"/>
      <c r="G622" s="22"/>
      <c r="H622" s="22"/>
      <c r="I622" s="266"/>
      <c r="J622" s="272"/>
      <c r="K622" s="272"/>
      <c r="L622" s="272"/>
      <c r="M622" s="273"/>
      <c r="N622" s="273"/>
      <c r="O622" s="273"/>
      <c r="P622" s="27"/>
      <c r="Q622" s="27"/>
      <c r="R622" s="27"/>
      <c r="S622" s="22"/>
      <c r="T622" s="22"/>
      <c r="U622" s="28"/>
    </row>
    <row r="623" ht="15.75" customHeight="1">
      <c r="A623" s="189"/>
      <c r="B623" s="22"/>
      <c r="C623" s="22"/>
      <c r="D623" s="22"/>
      <c r="E623" s="22"/>
      <c r="F623" s="22"/>
      <c r="G623" s="22"/>
      <c r="H623" s="22"/>
      <c r="I623" s="266"/>
      <c r="J623" s="272"/>
      <c r="K623" s="272"/>
      <c r="L623" s="272"/>
      <c r="M623" s="273"/>
      <c r="N623" s="273"/>
      <c r="O623" s="273"/>
      <c r="P623" s="27"/>
      <c r="Q623" s="27"/>
      <c r="R623" s="27"/>
      <c r="S623" s="22"/>
      <c r="T623" s="22"/>
      <c r="U623" s="28"/>
    </row>
    <row r="624" ht="15.75" customHeight="1">
      <c r="A624" s="189"/>
      <c r="B624" s="22"/>
      <c r="C624" s="22"/>
      <c r="D624" s="22"/>
      <c r="E624" s="22"/>
      <c r="F624" s="22"/>
      <c r="G624" s="22"/>
      <c r="H624" s="22"/>
      <c r="I624" s="266"/>
      <c r="J624" s="272"/>
      <c r="K624" s="272"/>
      <c r="L624" s="272"/>
      <c r="M624" s="273"/>
      <c r="N624" s="273"/>
      <c r="O624" s="273"/>
      <c r="P624" s="27"/>
      <c r="Q624" s="27"/>
      <c r="R624" s="27"/>
      <c r="S624" s="22"/>
      <c r="T624" s="22"/>
      <c r="U624" s="28"/>
    </row>
    <row r="625" ht="15.75" customHeight="1">
      <c r="A625" s="189"/>
      <c r="B625" s="22"/>
      <c r="C625" s="22"/>
      <c r="D625" s="22"/>
      <c r="E625" s="22"/>
      <c r="F625" s="22"/>
      <c r="G625" s="22"/>
      <c r="H625" s="22"/>
      <c r="I625" s="266"/>
      <c r="J625" s="272"/>
      <c r="K625" s="272"/>
      <c r="L625" s="272"/>
      <c r="M625" s="273"/>
      <c r="N625" s="273"/>
      <c r="O625" s="273"/>
      <c r="P625" s="27"/>
      <c r="Q625" s="27"/>
      <c r="R625" s="27"/>
      <c r="S625" s="22"/>
      <c r="T625" s="22"/>
      <c r="U625" s="28"/>
    </row>
    <row r="626" ht="15.75" customHeight="1">
      <c r="A626" s="189"/>
      <c r="B626" s="22"/>
      <c r="C626" s="22"/>
      <c r="D626" s="22"/>
      <c r="E626" s="22"/>
      <c r="F626" s="22"/>
      <c r="G626" s="22"/>
      <c r="H626" s="22"/>
      <c r="I626" s="266"/>
      <c r="J626" s="272"/>
      <c r="K626" s="272"/>
      <c r="L626" s="272"/>
      <c r="M626" s="273"/>
      <c r="N626" s="273"/>
      <c r="O626" s="273"/>
      <c r="P626" s="27"/>
      <c r="Q626" s="27"/>
      <c r="R626" s="27"/>
      <c r="S626" s="22"/>
      <c r="T626" s="22"/>
      <c r="U626" s="28"/>
    </row>
    <row r="627" ht="15.75" customHeight="1">
      <c r="A627" s="189"/>
      <c r="B627" s="22"/>
      <c r="C627" s="22"/>
      <c r="D627" s="22"/>
      <c r="E627" s="22"/>
      <c r="F627" s="22"/>
      <c r="G627" s="22"/>
      <c r="H627" s="22"/>
      <c r="I627" s="266"/>
      <c r="J627" s="272"/>
      <c r="K627" s="272"/>
      <c r="L627" s="272"/>
      <c r="M627" s="273"/>
      <c r="N627" s="273"/>
      <c r="O627" s="273"/>
      <c r="P627" s="27"/>
      <c r="Q627" s="27"/>
      <c r="R627" s="27"/>
      <c r="S627" s="22"/>
      <c r="T627" s="22"/>
      <c r="U627" s="28"/>
    </row>
    <row r="628" ht="15.75" customHeight="1">
      <c r="A628" s="189"/>
      <c r="B628" s="22"/>
      <c r="C628" s="22"/>
      <c r="D628" s="22"/>
      <c r="E628" s="22"/>
      <c r="F628" s="22"/>
      <c r="G628" s="22"/>
      <c r="H628" s="22"/>
      <c r="I628" s="266"/>
      <c r="J628" s="272"/>
      <c r="K628" s="272"/>
      <c r="L628" s="272"/>
      <c r="M628" s="273"/>
      <c r="N628" s="273"/>
      <c r="O628" s="273"/>
      <c r="P628" s="27"/>
      <c r="Q628" s="27"/>
      <c r="R628" s="27"/>
      <c r="S628" s="22"/>
      <c r="T628" s="22"/>
      <c r="U628" s="28"/>
    </row>
    <row r="629" ht="15.75" customHeight="1">
      <c r="A629" s="189"/>
      <c r="B629" s="22"/>
      <c r="C629" s="22"/>
      <c r="D629" s="22"/>
      <c r="E629" s="22"/>
      <c r="F629" s="22"/>
      <c r="G629" s="22"/>
      <c r="H629" s="22"/>
      <c r="I629" s="266"/>
      <c r="J629" s="272"/>
      <c r="K629" s="272"/>
      <c r="L629" s="272"/>
      <c r="M629" s="273"/>
      <c r="N629" s="273"/>
      <c r="O629" s="273"/>
      <c r="P629" s="27"/>
      <c r="Q629" s="27"/>
      <c r="R629" s="27"/>
      <c r="S629" s="22"/>
      <c r="T629" s="22"/>
      <c r="U629" s="28"/>
    </row>
    <row r="630" ht="15.75" customHeight="1">
      <c r="A630" s="189"/>
      <c r="B630" s="22"/>
      <c r="C630" s="22"/>
      <c r="D630" s="22"/>
      <c r="E630" s="22"/>
      <c r="F630" s="22"/>
      <c r="G630" s="22"/>
      <c r="H630" s="22"/>
      <c r="I630" s="266"/>
      <c r="J630" s="272"/>
      <c r="K630" s="272"/>
      <c r="L630" s="272"/>
      <c r="M630" s="273"/>
      <c r="N630" s="273"/>
      <c r="O630" s="273"/>
      <c r="P630" s="27"/>
      <c r="Q630" s="27"/>
      <c r="R630" s="27"/>
      <c r="S630" s="22"/>
      <c r="T630" s="22"/>
      <c r="U630" s="28"/>
    </row>
    <row r="631" ht="15.75" customHeight="1">
      <c r="A631" s="189"/>
      <c r="B631" s="22"/>
      <c r="C631" s="22"/>
      <c r="D631" s="22"/>
      <c r="E631" s="22"/>
      <c r="F631" s="22"/>
      <c r="G631" s="22"/>
      <c r="H631" s="22"/>
      <c r="I631" s="266"/>
      <c r="J631" s="272"/>
      <c r="K631" s="272"/>
      <c r="L631" s="272"/>
      <c r="M631" s="273"/>
      <c r="N631" s="273"/>
      <c r="O631" s="273"/>
      <c r="P631" s="27"/>
      <c r="Q631" s="27"/>
      <c r="R631" s="27"/>
      <c r="S631" s="22"/>
      <c r="T631" s="22"/>
      <c r="U631" s="28"/>
    </row>
    <row r="632" ht="15.75" customHeight="1">
      <c r="A632" s="189"/>
      <c r="B632" s="22"/>
      <c r="C632" s="22"/>
      <c r="D632" s="22"/>
      <c r="E632" s="22"/>
      <c r="F632" s="22"/>
      <c r="G632" s="22"/>
      <c r="H632" s="22"/>
      <c r="I632" s="266"/>
      <c r="J632" s="272"/>
      <c r="K632" s="272"/>
      <c r="L632" s="272"/>
      <c r="M632" s="273"/>
      <c r="N632" s="273"/>
      <c r="O632" s="273"/>
      <c r="P632" s="27"/>
      <c r="Q632" s="27"/>
      <c r="R632" s="27"/>
      <c r="S632" s="22"/>
      <c r="T632" s="22"/>
      <c r="U632" s="28"/>
    </row>
    <row r="633" ht="15.75" customHeight="1">
      <c r="A633" s="189"/>
      <c r="B633" s="22"/>
      <c r="C633" s="22"/>
      <c r="D633" s="22"/>
      <c r="E633" s="22"/>
      <c r="F633" s="22"/>
      <c r="G633" s="22"/>
      <c r="H633" s="22"/>
      <c r="I633" s="266"/>
      <c r="J633" s="272"/>
      <c r="K633" s="272"/>
      <c r="L633" s="272"/>
      <c r="M633" s="273"/>
      <c r="N633" s="273"/>
      <c r="O633" s="273"/>
      <c r="P633" s="27"/>
      <c r="Q633" s="27"/>
      <c r="R633" s="27"/>
      <c r="S633" s="22"/>
      <c r="T633" s="22"/>
      <c r="U633" s="28"/>
    </row>
    <row r="634" ht="15.75" customHeight="1">
      <c r="A634" s="189"/>
      <c r="B634" s="22"/>
      <c r="C634" s="22"/>
      <c r="D634" s="22"/>
      <c r="E634" s="22"/>
      <c r="F634" s="22"/>
      <c r="G634" s="22"/>
      <c r="H634" s="22"/>
      <c r="I634" s="266"/>
      <c r="J634" s="272"/>
      <c r="K634" s="272"/>
      <c r="L634" s="272"/>
      <c r="M634" s="273"/>
      <c r="N634" s="273"/>
      <c r="O634" s="273"/>
      <c r="P634" s="27"/>
      <c r="Q634" s="27"/>
      <c r="R634" s="27"/>
      <c r="S634" s="22"/>
      <c r="T634" s="22"/>
      <c r="U634" s="28"/>
    </row>
    <row r="635" ht="15.75" customHeight="1">
      <c r="A635" s="189"/>
      <c r="B635" s="22"/>
      <c r="C635" s="22"/>
      <c r="D635" s="22"/>
      <c r="E635" s="22"/>
      <c r="F635" s="22"/>
      <c r="G635" s="22"/>
      <c r="H635" s="22"/>
      <c r="I635" s="266"/>
      <c r="J635" s="272"/>
      <c r="K635" s="272"/>
      <c r="L635" s="272"/>
      <c r="M635" s="273"/>
      <c r="N635" s="273"/>
      <c r="O635" s="273"/>
      <c r="P635" s="27"/>
      <c r="Q635" s="27"/>
      <c r="R635" s="27"/>
      <c r="S635" s="22"/>
      <c r="T635" s="22"/>
      <c r="U635" s="28"/>
    </row>
    <row r="636" ht="15.75" customHeight="1">
      <c r="A636" s="189"/>
      <c r="B636" s="22"/>
      <c r="C636" s="22"/>
      <c r="D636" s="22"/>
      <c r="E636" s="22"/>
      <c r="F636" s="22"/>
      <c r="G636" s="22"/>
      <c r="H636" s="22"/>
      <c r="I636" s="266"/>
      <c r="J636" s="272"/>
      <c r="K636" s="272"/>
      <c r="L636" s="272"/>
      <c r="M636" s="273"/>
      <c r="N636" s="273"/>
      <c r="O636" s="273"/>
      <c r="P636" s="27"/>
      <c r="Q636" s="27"/>
      <c r="R636" s="27"/>
      <c r="S636" s="22"/>
      <c r="T636" s="22"/>
      <c r="U636" s="28"/>
    </row>
    <row r="637" ht="15.75" customHeight="1">
      <c r="A637" s="189"/>
      <c r="B637" s="22"/>
      <c r="C637" s="22"/>
      <c r="D637" s="22"/>
      <c r="E637" s="22"/>
      <c r="F637" s="22"/>
      <c r="G637" s="22"/>
      <c r="H637" s="22"/>
      <c r="I637" s="266"/>
      <c r="J637" s="272"/>
      <c r="K637" s="272"/>
      <c r="L637" s="272"/>
      <c r="M637" s="273"/>
      <c r="N637" s="273"/>
      <c r="O637" s="273"/>
      <c r="P637" s="27"/>
      <c r="Q637" s="27"/>
      <c r="R637" s="27"/>
      <c r="S637" s="22"/>
      <c r="T637" s="22"/>
      <c r="U637" s="28"/>
    </row>
    <row r="638" ht="15.75" customHeight="1">
      <c r="A638" s="189"/>
      <c r="B638" s="22"/>
      <c r="C638" s="22"/>
      <c r="D638" s="22"/>
      <c r="E638" s="22"/>
      <c r="F638" s="22"/>
      <c r="G638" s="22"/>
      <c r="H638" s="22"/>
      <c r="I638" s="266"/>
      <c r="J638" s="272"/>
      <c r="K638" s="272"/>
      <c r="L638" s="272"/>
      <c r="M638" s="273"/>
      <c r="N638" s="273"/>
      <c r="O638" s="273"/>
      <c r="P638" s="27"/>
      <c r="Q638" s="27"/>
      <c r="R638" s="27"/>
      <c r="S638" s="22"/>
      <c r="T638" s="22"/>
      <c r="U638" s="28"/>
    </row>
    <row r="639" ht="15.75" customHeight="1">
      <c r="A639" s="189"/>
      <c r="B639" s="22"/>
      <c r="C639" s="22"/>
      <c r="D639" s="22"/>
      <c r="E639" s="22"/>
      <c r="F639" s="22"/>
      <c r="G639" s="22"/>
      <c r="H639" s="22"/>
      <c r="I639" s="266"/>
      <c r="J639" s="272"/>
      <c r="K639" s="272"/>
      <c r="L639" s="272"/>
      <c r="M639" s="273"/>
      <c r="N639" s="273"/>
      <c r="O639" s="273"/>
      <c r="P639" s="27"/>
      <c r="Q639" s="27"/>
      <c r="R639" s="27"/>
      <c r="S639" s="22"/>
      <c r="T639" s="22"/>
      <c r="U639" s="28"/>
    </row>
    <row r="640" ht="15.75" customHeight="1">
      <c r="A640" s="189"/>
      <c r="B640" s="22"/>
      <c r="C640" s="22"/>
      <c r="D640" s="22"/>
      <c r="E640" s="22"/>
      <c r="F640" s="22"/>
      <c r="G640" s="22"/>
      <c r="H640" s="22"/>
      <c r="I640" s="266"/>
      <c r="J640" s="272"/>
      <c r="K640" s="272"/>
      <c r="L640" s="272"/>
      <c r="M640" s="273"/>
      <c r="N640" s="273"/>
      <c r="O640" s="273"/>
      <c r="P640" s="27"/>
      <c r="Q640" s="27"/>
      <c r="R640" s="27"/>
      <c r="S640" s="22"/>
      <c r="T640" s="22"/>
      <c r="U640" s="28"/>
    </row>
    <row r="641" ht="15.75" customHeight="1">
      <c r="A641" s="189"/>
      <c r="B641" s="22"/>
      <c r="C641" s="22"/>
      <c r="D641" s="22"/>
      <c r="E641" s="22"/>
      <c r="F641" s="22"/>
      <c r="G641" s="22"/>
      <c r="H641" s="22"/>
      <c r="I641" s="266"/>
      <c r="J641" s="272"/>
      <c r="K641" s="272"/>
      <c r="L641" s="272"/>
      <c r="M641" s="273"/>
      <c r="N641" s="273"/>
      <c r="O641" s="273"/>
      <c r="P641" s="27"/>
      <c r="Q641" s="27"/>
      <c r="R641" s="27"/>
      <c r="S641" s="22"/>
      <c r="T641" s="22"/>
      <c r="U641" s="28"/>
    </row>
    <row r="642" ht="15.75" customHeight="1">
      <c r="A642" s="189"/>
      <c r="B642" s="22"/>
      <c r="C642" s="22"/>
      <c r="D642" s="22"/>
      <c r="E642" s="22"/>
      <c r="F642" s="22"/>
      <c r="G642" s="22"/>
      <c r="H642" s="22"/>
      <c r="I642" s="266"/>
      <c r="J642" s="272"/>
      <c r="K642" s="272"/>
      <c r="L642" s="272"/>
      <c r="M642" s="273"/>
      <c r="N642" s="273"/>
      <c r="O642" s="273"/>
      <c r="P642" s="27"/>
      <c r="Q642" s="27"/>
      <c r="R642" s="27"/>
      <c r="S642" s="22"/>
      <c r="T642" s="22"/>
      <c r="U642" s="28"/>
    </row>
    <row r="643" ht="15.75" customHeight="1">
      <c r="A643" s="189"/>
      <c r="B643" s="22"/>
      <c r="C643" s="22"/>
      <c r="D643" s="22"/>
      <c r="E643" s="22"/>
      <c r="F643" s="22"/>
      <c r="G643" s="22"/>
      <c r="H643" s="22"/>
      <c r="I643" s="266"/>
      <c r="J643" s="272"/>
      <c r="K643" s="272"/>
      <c r="L643" s="272"/>
      <c r="M643" s="273"/>
      <c r="N643" s="273"/>
      <c r="O643" s="273"/>
      <c r="P643" s="27"/>
      <c r="Q643" s="27"/>
      <c r="R643" s="27"/>
      <c r="S643" s="22"/>
      <c r="T643" s="22"/>
      <c r="U643" s="28"/>
    </row>
    <row r="644" ht="15.75" customHeight="1">
      <c r="A644" s="189"/>
      <c r="B644" s="22"/>
      <c r="C644" s="22"/>
      <c r="D644" s="22"/>
      <c r="E644" s="22"/>
      <c r="F644" s="22"/>
      <c r="G644" s="22"/>
      <c r="H644" s="22"/>
      <c r="I644" s="266"/>
      <c r="J644" s="272"/>
      <c r="K644" s="272"/>
      <c r="L644" s="272"/>
      <c r="M644" s="273"/>
      <c r="N644" s="273"/>
      <c r="O644" s="273"/>
      <c r="P644" s="27"/>
      <c r="Q644" s="27"/>
      <c r="R644" s="27"/>
      <c r="S644" s="22"/>
      <c r="T644" s="22"/>
      <c r="U644" s="28"/>
    </row>
    <row r="645" ht="15.75" customHeight="1">
      <c r="A645" s="189"/>
      <c r="B645" s="22"/>
      <c r="C645" s="22"/>
      <c r="D645" s="22"/>
      <c r="E645" s="22"/>
      <c r="F645" s="22"/>
      <c r="G645" s="22"/>
      <c r="H645" s="22"/>
      <c r="I645" s="266"/>
      <c r="J645" s="272"/>
      <c r="K645" s="272"/>
      <c r="L645" s="272"/>
      <c r="M645" s="273"/>
      <c r="N645" s="273"/>
      <c r="O645" s="273"/>
      <c r="P645" s="27"/>
      <c r="Q645" s="27"/>
      <c r="R645" s="27"/>
      <c r="S645" s="22"/>
      <c r="T645" s="22"/>
      <c r="U645" s="28"/>
    </row>
    <row r="646" ht="15.75" customHeight="1">
      <c r="A646" s="189"/>
      <c r="B646" s="22"/>
      <c r="C646" s="22"/>
      <c r="D646" s="22"/>
      <c r="E646" s="22"/>
      <c r="F646" s="22"/>
      <c r="G646" s="22"/>
      <c r="H646" s="22"/>
      <c r="I646" s="266"/>
      <c r="J646" s="272"/>
      <c r="K646" s="272"/>
      <c r="L646" s="272"/>
      <c r="M646" s="273"/>
      <c r="N646" s="273"/>
      <c r="O646" s="273"/>
      <c r="P646" s="27"/>
      <c r="Q646" s="27"/>
      <c r="R646" s="27"/>
      <c r="S646" s="22"/>
      <c r="T646" s="22"/>
      <c r="U646" s="28"/>
    </row>
    <row r="647" ht="15.75" customHeight="1">
      <c r="A647" s="189"/>
      <c r="B647" s="22"/>
      <c r="C647" s="22"/>
      <c r="D647" s="22"/>
      <c r="E647" s="22"/>
      <c r="F647" s="22"/>
      <c r="G647" s="22"/>
      <c r="H647" s="22"/>
      <c r="I647" s="266"/>
      <c r="J647" s="272"/>
      <c r="K647" s="272"/>
      <c r="L647" s="272"/>
      <c r="M647" s="273"/>
      <c r="N647" s="273"/>
      <c r="O647" s="273"/>
      <c r="P647" s="27"/>
      <c r="Q647" s="27"/>
      <c r="R647" s="27"/>
      <c r="S647" s="22"/>
      <c r="T647" s="22"/>
      <c r="U647" s="28"/>
    </row>
    <row r="648" ht="15.75" customHeight="1">
      <c r="A648" s="189"/>
      <c r="B648" s="22"/>
      <c r="C648" s="22"/>
      <c r="D648" s="22"/>
      <c r="E648" s="22"/>
      <c r="F648" s="22"/>
      <c r="G648" s="22"/>
      <c r="H648" s="22"/>
      <c r="I648" s="266"/>
      <c r="J648" s="272"/>
      <c r="K648" s="272"/>
      <c r="L648" s="272"/>
      <c r="M648" s="273"/>
      <c r="N648" s="273"/>
      <c r="O648" s="273"/>
      <c r="P648" s="27"/>
      <c r="Q648" s="27"/>
      <c r="R648" s="27"/>
      <c r="S648" s="22"/>
      <c r="T648" s="22"/>
      <c r="U648" s="28"/>
    </row>
    <row r="649" ht="15.75" customHeight="1">
      <c r="A649" s="189"/>
      <c r="B649" s="22"/>
      <c r="C649" s="22"/>
      <c r="D649" s="22"/>
      <c r="E649" s="22"/>
      <c r="F649" s="22"/>
      <c r="G649" s="22"/>
      <c r="H649" s="22"/>
      <c r="I649" s="266"/>
      <c r="J649" s="272"/>
      <c r="K649" s="272"/>
      <c r="L649" s="272"/>
      <c r="M649" s="273"/>
      <c r="N649" s="273"/>
      <c r="O649" s="273"/>
      <c r="P649" s="27"/>
      <c r="Q649" s="27"/>
      <c r="R649" s="27"/>
      <c r="S649" s="22"/>
      <c r="T649" s="22"/>
      <c r="U649" s="28"/>
    </row>
    <row r="650" ht="15.75" customHeight="1">
      <c r="A650" s="189"/>
      <c r="B650" s="22"/>
      <c r="C650" s="22"/>
      <c r="D650" s="22"/>
      <c r="E650" s="22"/>
      <c r="F650" s="22"/>
      <c r="G650" s="22"/>
      <c r="H650" s="22"/>
      <c r="I650" s="266"/>
      <c r="J650" s="272"/>
      <c r="K650" s="272"/>
      <c r="L650" s="272"/>
      <c r="M650" s="273"/>
      <c r="N650" s="273"/>
      <c r="O650" s="273"/>
      <c r="P650" s="27"/>
      <c r="Q650" s="27"/>
      <c r="R650" s="27"/>
      <c r="S650" s="22"/>
      <c r="T650" s="22"/>
      <c r="U650" s="28"/>
    </row>
    <row r="651" ht="15.75" customHeight="1">
      <c r="A651" s="189"/>
      <c r="B651" s="22"/>
      <c r="C651" s="22"/>
      <c r="D651" s="22"/>
      <c r="E651" s="22"/>
      <c r="F651" s="22"/>
      <c r="G651" s="22"/>
      <c r="H651" s="22"/>
      <c r="I651" s="266"/>
      <c r="J651" s="272"/>
      <c r="K651" s="272"/>
      <c r="L651" s="272"/>
      <c r="M651" s="273"/>
      <c r="N651" s="273"/>
      <c r="O651" s="273"/>
      <c r="P651" s="27"/>
      <c r="Q651" s="27"/>
      <c r="R651" s="27"/>
      <c r="S651" s="22"/>
      <c r="T651" s="22"/>
      <c r="U651" s="28"/>
    </row>
    <row r="652" ht="15.75" customHeight="1">
      <c r="A652" s="189"/>
      <c r="B652" s="22"/>
      <c r="C652" s="22"/>
      <c r="D652" s="22"/>
      <c r="E652" s="22"/>
      <c r="F652" s="22"/>
      <c r="G652" s="22"/>
      <c r="H652" s="22"/>
      <c r="I652" s="266"/>
      <c r="J652" s="272"/>
      <c r="K652" s="272"/>
      <c r="L652" s="272"/>
      <c r="M652" s="273"/>
      <c r="N652" s="273"/>
      <c r="O652" s="273"/>
      <c r="P652" s="27"/>
      <c r="Q652" s="27"/>
      <c r="R652" s="27"/>
      <c r="S652" s="22"/>
      <c r="T652" s="22"/>
      <c r="U652" s="28"/>
    </row>
    <row r="653" ht="15.75" customHeight="1">
      <c r="A653" s="189"/>
      <c r="B653" s="22"/>
      <c r="C653" s="22"/>
      <c r="D653" s="22"/>
      <c r="E653" s="22"/>
      <c r="F653" s="22"/>
      <c r="G653" s="22"/>
      <c r="H653" s="22"/>
      <c r="I653" s="266"/>
      <c r="J653" s="272"/>
      <c r="K653" s="272"/>
      <c r="L653" s="272"/>
      <c r="M653" s="273"/>
      <c r="N653" s="273"/>
      <c r="O653" s="273"/>
      <c r="P653" s="27"/>
      <c r="Q653" s="27"/>
      <c r="R653" s="27"/>
      <c r="S653" s="22"/>
      <c r="T653" s="22"/>
      <c r="U653" s="28"/>
    </row>
    <row r="654" ht="15.75" customHeight="1">
      <c r="A654" s="189"/>
      <c r="B654" s="22"/>
      <c r="C654" s="22"/>
      <c r="D654" s="22"/>
      <c r="E654" s="22"/>
      <c r="F654" s="22"/>
      <c r="G654" s="22"/>
      <c r="H654" s="22"/>
      <c r="I654" s="266"/>
      <c r="J654" s="272"/>
      <c r="K654" s="272"/>
      <c r="L654" s="272"/>
      <c r="M654" s="273"/>
      <c r="N654" s="273"/>
      <c r="O654" s="273"/>
      <c r="P654" s="27"/>
      <c r="Q654" s="27"/>
      <c r="R654" s="27"/>
      <c r="S654" s="22"/>
      <c r="T654" s="22"/>
      <c r="U654" s="28"/>
    </row>
    <row r="655" ht="15.75" customHeight="1">
      <c r="A655" s="189"/>
      <c r="B655" s="22"/>
      <c r="C655" s="22"/>
      <c r="D655" s="22"/>
      <c r="E655" s="22"/>
      <c r="F655" s="22"/>
      <c r="G655" s="22"/>
      <c r="H655" s="22"/>
      <c r="I655" s="266"/>
      <c r="J655" s="272"/>
      <c r="K655" s="272"/>
      <c r="L655" s="272"/>
      <c r="M655" s="273"/>
      <c r="N655" s="273"/>
      <c r="O655" s="273"/>
      <c r="P655" s="27"/>
      <c r="Q655" s="27"/>
      <c r="R655" s="27"/>
      <c r="S655" s="22"/>
      <c r="T655" s="22"/>
      <c r="U655" s="28"/>
    </row>
    <row r="656" ht="15.75" customHeight="1">
      <c r="A656" s="189"/>
      <c r="B656" s="22"/>
      <c r="C656" s="22"/>
      <c r="D656" s="22"/>
      <c r="E656" s="22"/>
      <c r="F656" s="22"/>
      <c r="G656" s="22"/>
      <c r="H656" s="22"/>
      <c r="I656" s="266"/>
      <c r="J656" s="272"/>
      <c r="K656" s="272"/>
      <c r="L656" s="272"/>
      <c r="M656" s="273"/>
      <c r="N656" s="273"/>
      <c r="O656" s="273"/>
      <c r="P656" s="27"/>
      <c r="Q656" s="27"/>
      <c r="R656" s="27"/>
      <c r="S656" s="22"/>
      <c r="T656" s="22"/>
      <c r="U656" s="28"/>
    </row>
    <row r="657" ht="15.75" customHeight="1">
      <c r="A657" s="189"/>
      <c r="B657" s="22"/>
      <c r="C657" s="22"/>
      <c r="D657" s="22"/>
      <c r="E657" s="22"/>
      <c r="F657" s="22"/>
      <c r="G657" s="22"/>
      <c r="H657" s="22"/>
      <c r="I657" s="266"/>
      <c r="J657" s="272"/>
      <c r="K657" s="272"/>
      <c r="L657" s="272"/>
      <c r="M657" s="273"/>
      <c r="N657" s="273"/>
      <c r="O657" s="273"/>
      <c r="P657" s="27"/>
      <c r="Q657" s="27"/>
      <c r="R657" s="27"/>
      <c r="S657" s="22"/>
      <c r="T657" s="22"/>
      <c r="U657" s="28"/>
    </row>
    <row r="658" ht="15.75" customHeight="1">
      <c r="A658" s="189"/>
      <c r="B658" s="22"/>
      <c r="C658" s="22"/>
      <c r="D658" s="22"/>
      <c r="E658" s="22"/>
      <c r="F658" s="22"/>
      <c r="G658" s="22"/>
      <c r="H658" s="22"/>
      <c r="I658" s="266"/>
      <c r="J658" s="272"/>
      <c r="K658" s="272"/>
      <c r="L658" s="272"/>
      <c r="M658" s="273"/>
      <c r="N658" s="273"/>
      <c r="O658" s="273"/>
      <c r="P658" s="27"/>
      <c r="Q658" s="27"/>
      <c r="R658" s="27"/>
      <c r="S658" s="22"/>
      <c r="T658" s="22"/>
      <c r="U658" s="28"/>
    </row>
    <row r="659" ht="15.75" customHeight="1">
      <c r="A659" s="189"/>
      <c r="B659" s="22"/>
      <c r="C659" s="22"/>
      <c r="D659" s="22"/>
      <c r="E659" s="22"/>
      <c r="F659" s="22"/>
      <c r="G659" s="22"/>
      <c r="H659" s="22"/>
      <c r="I659" s="266"/>
      <c r="J659" s="272"/>
      <c r="K659" s="272"/>
      <c r="L659" s="272"/>
      <c r="M659" s="273"/>
      <c r="N659" s="273"/>
      <c r="O659" s="273"/>
      <c r="P659" s="27"/>
      <c r="Q659" s="27"/>
      <c r="R659" s="27"/>
      <c r="S659" s="22"/>
      <c r="T659" s="22"/>
      <c r="U659" s="28"/>
    </row>
    <row r="660" ht="15.75" customHeight="1">
      <c r="A660" s="189"/>
      <c r="B660" s="22"/>
      <c r="C660" s="22"/>
      <c r="D660" s="22"/>
      <c r="E660" s="22"/>
      <c r="F660" s="22"/>
      <c r="G660" s="22"/>
      <c r="H660" s="22"/>
      <c r="I660" s="266"/>
      <c r="J660" s="272"/>
      <c r="K660" s="272"/>
      <c r="L660" s="272"/>
      <c r="M660" s="273"/>
      <c r="N660" s="273"/>
      <c r="O660" s="273"/>
      <c r="P660" s="27"/>
      <c r="Q660" s="27"/>
      <c r="R660" s="27"/>
      <c r="S660" s="22"/>
      <c r="T660" s="22"/>
      <c r="U660" s="28"/>
    </row>
    <row r="661" ht="15.75" customHeight="1">
      <c r="A661" s="189"/>
      <c r="B661" s="22"/>
      <c r="C661" s="22"/>
      <c r="D661" s="22"/>
      <c r="E661" s="22"/>
      <c r="F661" s="22"/>
      <c r="G661" s="22"/>
      <c r="H661" s="22"/>
      <c r="I661" s="266"/>
      <c r="J661" s="272"/>
      <c r="K661" s="272"/>
      <c r="L661" s="272"/>
      <c r="M661" s="273"/>
      <c r="N661" s="273"/>
      <c r="O661" s="273"/>
      <c r="P661" s="27"/>
      <c r="Q661" s="27"/>
      <c r="R661" s="27"/>
      <c r="S661" s="22"/>
      <c r="T661" s="22"/>
      <c r="U661" s="28"/>
    </row>
    <row r="662" ht="15.75" customHeight="1">
      <c r="A662" s="189"/>
      <c r="B662" s="22"/>
      <c r="C662" s="22"/>
      <c r="D662" s="22"/>
      <c r="E662" s="22"/>
      <c r="F662" s="22"/>
      <c r="G662" s="22"/>
      <c r="H662" s="22"/>
      <c r="I662" s="266"/>
      <c r="J662" s="272"/>
      <c r="K662" s="272"/>
      <c r="L662" s="272"/>
      <c r="M662" s="273"/>
      <c r="N662" s="273"/>
      <c r="O662" s="273"/>
      <c r="P662" s="27"/>
      <c r="Q662" s="27"/>
      <c r="R662" s="27"/>
      <c r="S662" s="22"/>
      <c r="T662" s="22"/>
      <c r="U662" s="28"/>
    </row>
    <row r="663" ht="15.75" customHeight="1">
      <c r="A663" s="189"/>
      <c r="B663" s="22"/>
      <c r="C663" s="22"/>
      <c r="D663" s="22"/>
      <c r="E663" s="22"/>
      <c r="F663" s="22"/>
      <c r="G663" s="22"/>
      <c r="H663" s="22"/>
      <c r="I663" s="266"/>
      <c r="J663" s="272"/>
      <c r="K663" s="272"/>
      <c r="L663" s="272"/>
      <c r="M663" s="273"/>
      <c r="N663" s="273"/>
      <c r="O663" s="273"/>
      <c r="P663" s="27"/>
      <c r="Q663" s="27"/>
      <c r="R663" s="27"/>
      <c r="S663" s="22"/>
      <c r="T663" s="22"/>
      <c r="U663" s="28"/>
    </row>
    <row r="664" ht="15.75" customHeight="1">
      <c r="A664" s="189"/>
      <c r="B664" s="22"/>
      <c r="C664" s="22"/>
      <c r="D664" s="22"/>
      <c r="E664" s="22"/>
      <c r="F664" s="22"/>
      <c r="G664" s="22"/>
      <c r="H664" s="22"/>
      <c r="I664" s="266"/>
      <c r="J664" s="272"/>
      <c r="K664" s="272"/>
      <c r="L664" s="272"/>
      <c r="M664" s="273"/>
      <c r="N664" s="273"/>
      <c r="O664" s="273"/>
      <c r="P664" s="27"/>
      <c r="Q664" s="27"/>
      <c r="R664" s="27"/>
      <c r="S664" s="22"/>
      <c r="T664" s="22"/>
      <c r="U664" s="28"/>
    </row>
    <row r="665" ht="15.75" customHeight="1">
      <c r="A665" s="189"/>
      <c r="B665" s="22"/>
      <c r="C665" s="22"/>
      <c r="D665" s="22"/>
      <c r="E665" s="22"/>
      <c r="F665" s="22"/>
      <c r="G665" s="22"/>
      <c r="H665" s="22"/>
      <c r="I665" s="266"/>
      <c r="J665" s="272"/>
      <c r="K665" s="272"/>
      <c r="L665" s="272"/>
      <c r="M665" s="273"/>
      <c r="N665" s="273"/>
      <c r="O665" s="273"/>
      <c r="P665" s="27"/>
      <c r="Q665" s="27"/>
      <c r="R665" s="27"/>
      <c r="S665" s="22"/>
      <c r="T665" s="22"/>
      <c r="U665" s="28"/>
    </row>
    <row r="666" ht="15.75" customHeight="1">
      <c r="A666" s="189"/>
      <c r="B666" s="22"/>
      <c r="C666" s="22"/>
      <c r="D666" s="22"/>
      <c r="E666" s="22"/>
      <c r="F666" s="22"/>
      <c r="G666" s="22"/>
      <c r="H666" s="22"/>
      <c r="I666" s="266"/>
      <c r="J666" s="272"/>
      <c r="K666" s="272"/>
      <c r="L666" s="272"/>
      <c r="M666" s="273"/>
      <c r="N666" s="273"/>
      <c r="O666" s="273"/>
      <c r="P666" s="27"/>
      <c r="Q666" s="27"/>
      <c r="R666" s="27"/>
      <c r="S666" s="22"/>
      <c r="T666" s="22"/>
      <c r="U666" s="28"/>
    </row>
    <row r="667" ht="15.75" customHeight="1">
      <c r="A667" s="189"/>
      <c r="B667" s="22"/>
      <c r="C667" s="22"/>
      <c r="D667" s="22"/>
      <c r="E667" s="22"/>
      <c r="F667" s="22"/>
      <c r="G667" s="22"/>
      <c r="H667" s="22"/>
      <c r="I667" s="266"/>
      <c r="J667" s="272"/>
      <c r="K667" s="272"/>
      <c r="L667" s="272"/>
      <c r="M667" s="273"/>
      <c r="N667" s="273"/>
      <c r="O667" s="273"/>
      <c r="P667" s="27"/>
      <c r="Q667" s="27"/>
      <c r="R667" s="27"/>
      <c r="S667" s="22"/>
      <c r="T667" s="22"/>
      <c r="U667" s="28"/>
    </row>
    <row r="668" ht="15.75" customHeight="1">
      <c r="A668" s="189"/>
      <c r="B668" s="22"/>
      <c r="C668" s="22"/>
      <c r="D668" s="22"/>
      <c r="E668" s="22"/>
      <c r="F668" s="22"/>
      <c r="G668" s="22"/>
      <c r="H668" s="22"/>
      <c r="I668" s="266"/>
      <c r="J668" s="272"/>
      <c r="K668" s="272"/>
      <c r="L668" s="272"/>
      <c r="M668" s="273"/>
      <c r="N668" s="273"/>
      <c r="O668" s="273"/>
      <c r="P668" s="27"/>
      <c r="Q668" s="27"/>
      <c r="R668" s="27"/>
      <c r="S668" s="22"/>
      <c r="T668" s="22"/>
      <c r="U668" s="28"/>
    </row>
    <row r="669" ht="15.75" customHeight="1">
      <c r="A669" s="189"/>
      <c r="B669" s="22"/>
      <c r="C669" s="22"/>
      <c r="D669" s="22"/>
      <c r="E669" s="22"/>
      <c r="F669" s="22"/>
      <c r="G669" s="22"/>
      <c r="H669" s="22"/>
      <c r="I669" s="266"/>
      <c r="J669" s="272"/>
      <c r="K669" s="272"/>
      <c r="L669" s="272"/>
      <c r="M669" s="273"/>
      <c r="N669" s="273"/>
      <c r="O669" s="273"/>
      <c r="P669" s="27"/>
      <c r="Q669" s="27"/>
      <c r="R669" s="27"/>
      <c r="S669" s="22"/>
      <c r="T669" s="22"/>
      <c r="U669" s="28"/>
    </row>
    <row r="670" ht="15.75" customHeight="1">
      <c r="A670" s="189"/>
      <c r="B670" s="22"/>
      <c r="C670" s="22"/>
      <c r="D670" s="22"/>
      <c r="E670" s="22"/>
      <c r="F670" s="22"/>
      <c r="G670" s="22"/>
      <c r="H670" s="22"/>
      <c r="I670" s="266"/>
      <c r="J670" s="272"/>
      <c r="K670" s="272"/>
      <c r="L670" s="272"/>
      <c r="M670" s="273"/>
      <c r="N670" s="273"/>
      <c r="O670" s="273"/>
      <c r="P670" s="27"/>
      <c r="Q670" s="27"/>
      <c r="R670" s="27"/>
      <c r="S670" s="22"/>
      <c r="T670" s="22"/>
      <c r="U670" s="28"/>
    </row>
    <row r="671" ht="15.75" customHeight="1">
      <c r="A671" s="189"/>
      <c r="B671" s="22"/>
      <c r="C671" s="22"/>
      <c r="D671" s="22"/>
      <c r="E671" s="22"/>
      <c r="F671" s="22"/>
      <c r="G671" s="22"/>
      <c r="H671" s="22"/>
      <c r="I671" s="266"/>
      <c r="J671" s="272"/>
      <c r="K671" s="272"/>
      <c r="L671" s="272"/>
      <c r="M671" s="273"/>
      <c r="N671" s="273"/>
      <c r="O671" s="273"/>
      <c r="P671" s="27"/>
      <c r="Q671" s="27"/>
      <c r="R671" s="27"/>
      <c r="S671" s="22"/>
      <c r="T671" s="22"/>
      <c r="U671" s="28"/>
    </row>
    <row r="672" ht="15.75" customHeight="1">
      <c r="A672" s="189"/>
      <c r="B672" s="22"/>
      <c r="C672" s="22"/>
      <c r="D672" s="22"/>
      <c r="E672" s="22"/>
      <c r="F672" s="22"/>
      <c r="G672" s="22"/>
      <c r="H672" s="22"/>
      <c r="I672" s="266"/>
      <c r="J672" s="272"/>
      <c r="K672" s="272"/>
      <c r="L672" s="272"/>
      <c r="M672" s="273"/>
      <c r="N672" s="273"/>
      <c r="O672" s="273"/>
      <c r="P672" s="27"/>
      <c r="Q672" s="27"/>
      <c r="R672" s="27"/>
      <c r="S672" s="22"/>
      <c r="T672" s="22"/>
      <c r="U672" s="28"/>
    </row>
    <row r="673" ht="15.75" customHeight="1">
      <c r="A673" s="189"/>
      <c r="B673" s="22"/>
      <c r="C673" s="22"/>
      <c r="D673" s="22"/>
      <c r="E673" s="22"/>
      <c r="F673" s="22"/>
      <c r="G673" s="22"/>
      <c r="H673" s="22"/>
      <c r="I673" s="266"/>
      <c r="J673" s="272"/>
      <c r="K673" s="272"/>
      <c r="L673" s="272"/>
      <c r="M673" s="273"/>
      <c r="N673" s="273"/>
      <c r="O673" s="273"/>
      <c r="P673" s="27"/>
      <c r="Q673" s="27"/>
      <c r="R673" s="27"/>
      <c r="S673" s="22"/>
      <c r="T673" s="22"/>
      <c r="U673" s="28"/>
    </row>
    <row r="674" ht="15.75" customHeight="1">
      <c r="A674" s="189"/>
      <c r="B674" s="22"/>
      <c r="C674" s="22"/>
      <c r="D674" s="22"/>
      <c r="E674" s="22"/>
      <c r="F674" s="22"/>
      <c r="G674" s="22"/>
      <c r="H674" s="22"/>
      <c r="I674" s="266"/>
      <c r="J674" s="272"/>
      <c r="K674" s="272"/>
      <c r="L674" s="272"/>
      <c r="M674" s="273"/>
      <c r="N674" s="273"/>
      <c r="O674" s="273"/>
      <c r="P674" s="27"/>
      <c r="Q674" s="27"/>
      <c r="R674" s="27"/>
      <c r="S674" s="22"/>
      <c r="T674" s="22"/>
      <c r="U674" s="28"/>
    </row>
    <row r="675" ht="15.75" customHeight="1">
      <c r="A675" s="189"/>
      <c r="B675" s="22"/>
      <c r="C675" s="22"/>
      <c r="D675" s="22"/>
      <c r="E675" s="22"/>
      <c r="F675" s="22"/>
      <c r="G675" s="22"/>
      <c r="H675" s="22"/>
      <c r="I675" s="266"/>
      <c r="J675" s="272"/>
      <c r="K675" s="272"/>
      <c r="L675" s="272"/>
      <c r="M675" s="273"/>
      <c r="N675" s="273"/>
      <c r="O675" s="273"/>
      <c r="P675" s="27"/>
      <c r="Q675" s="27"/>
      <c r="R675" s="27"/>
      <c r="S675" s="22"/>
      <c r="T675" s="22"/>
      <c r="U675" s="28"/>
    </row>
    <row r="676" ht="15.75" customHeight="1">
      <c r="A676" s="189"/>
      <c r="B676" s="22"/>
      <c r="C676" s="22"/>
      <c r="D676" s="22"/>
      <c r="E676" s="22"/>
      <c r="F676" s="22"/>
      <c r="G676" s="22"/>
      <c r="H676" s="22"/>
      <c r="I676" s="266"/>
      <c r="J676" s="272"/>
      <c r="K676" s="272"/>
      <c r="L676" s="272"/>
      <c r="M676" s="273"/>
      <c r="N676" s="273"/>
      <c r="O676" s="273"/>
      <c r="P676" s="27"/>
      <c r="Q676" s="27"/>
      <c r="R676" s="27"/>
      <c r="S676" s="22"/>
      <c r="T676" s="22"/>
      <c r="U676" s="28"/>
    </row>
    <row r="677" ht="15.75" customHeight="1">
      <c r="A677" s="189"/>
      <c r="B677" s="22"/>
      <c r="C677" s="22"/>
      <c r="D677" s="22"/>
      <c r="E677" s="22"/>
      <c r="F677" s="22"/>
      <c r="G677" s="22"/>
      <c r="H677" s="22"/>
      <c r="I677" s="266"/>
      <c r="J677" s="272"/>
      <c r="K677" s="272"/>
      <c r="L677" s="272"/>
      <c r="M677" s="273"/>
      <c r="N677" s="273"/>
      <c r="O677" s="273"/>
      <c r="P677" s="27"/>
      <c r="Q677" s="27"/>
      <c r="R677" s="27"/>
      <c r="S677" s="22"/>
      <c r="T677" s="22"/>
      <c r="U677" s="28"/>
    </row>
    <row r="678" ht="15.75" customHeight="1">
      <c r="A678" s="189"/>
      <c r="B678" s="22"/>
      <c r="C678" s="22"/>
      <c r="D678" s="22"/>
      <c r="E678" s="22"/>
      <c r="F678" s="22"/>
      <c r="G678" s="22"/>
      <c r="H678" s="22"/>
      <c r="I678" s="266"/>
      <c r="J678" s="272"/>
      <c r="K678" s="272"/>
      <c r="L678" s="272"/>
      <c r="M678" s="273"/>
      <c r="N678" s="273"/>
      <c r="O678" s="273"/>
      <c r="P678" s="27"/>
      <c r="Q678" s="27"/>
      <c r="R678" s="27"/>
      <c r="S678" s="22"/>
      <c r="T678" s="22"/>
      <c r="U678" s="28"/>
    </row>
    <row r="679" ht="15.75" customHeight="1">
      <c r="A679" s="189"/>
      <c r="B679" s="22"/>
      <c r="C679" s="22"/>
      <c r="D679" s="22"/>
      <c r="E679" s="22"/>
      <c r="F679" s="22"/>
      <c r="G679" s="22"/>
      <c r="H679" s="22"/>
      <c r="I679" s="266"/>
      <c r="J679" s="272"/>
      <c r="K679" s="272"/>
      <c r="L679" s="272"/>
      <c r="M679" s="273"/>
      <c r="N679" s="273"/>
      <c r="O679" s="273"/>
      <c r="P679" s="27"/>
      <c r="Q679" s="27"/>
      <c r="R679" s="27"/>
      <c r="S679" s="22"/>
      <c r="T679" s="22"/>
      <c r="U679" s="28"/>
    </row>
    <row r="680" ht="15.75" customHeight="1">
      <c r="A680" s="189"/>
      <c r="B680" s="22"/>
      <c r="C680" s="22"/>
      <c r="D680" s="22"/>
      <c r="E680" s="22"/>
      <c r="F680" s="22"/>
      <c r="G680" s="22"/>
      <c r="H680" s="22"/>
      <c r="I680" s="266"/>
      <c r="J680" s="272"/>
      <c r="K680" s="272"/>
      <c r="L680" s="272"/>
      <c r="M680" s="273"/>
      <c r="N680" s="273"/>
      <c r="O680" s="273"/>
      <c r="P680" s="27"/>
      <c r="Q680" s="27"/>
      <c r="R680" s="27"/>
      <c r="S680" s="22"/>
      <c r="T680" s="22"/>
      <c r="U680" s="28"/>
    </row>
    <row r="681" ht="15.75" customHeight="1">
      <c r="A681" s="189"/>
      <c r="B681" s="22"/>
      <c r="C681" s="22"/>
      <c r="D681" s="22"/>
      <c r="E681" s="22"/>
      <c r="F681" s="22"/>
      <c r="G681" s="22"/>
      <c r="H681" s="22"/>
      <c r="I681" s="266"/>
      <c r="J681" s="272"/>
      <c r="K681" s="272"/>
      <c r="L681" s="272"/>
      <c r="M681" s="273"/>
      <c r="N681" s="273"/>
      <c r="O681" s="273"/>
      <c r="P681" s="27"/>
      <c r="Q681" s="27"/>
      <c r="R681" s="27"/>
      <c r="S681" s="22"/>
      <c r="T681" s="22"/>
      <c r="U681" s="28"/>
    </row>
    <row r="682" ht="15.75" customHeight="1">
      <c r="A682" s="189"/>
      <c r="B682" s="22"/>
      <c r="C682" s="22"/>
      <c r="D682" s="22"/>
      <c r="E682" s="22"/>
      <c r="F682" s="22"/>
      <c r="G682" s="22"/>
      <c r="H682" s="22"/>
      <c r="I682" s="266"/>
      <c r="J682" s="272"/>
      <c r="K682" s="272"/>
      <c r="L682" s="272"/>
      <c r="M682" s="273"/>
      <c r="N682" s="273"/>
      <c r="O682" s="273"/>
      <c r="P682" s="27"/>
      <c r="Q682" s="27"/>
      <c r="R682" s="27"/>
      <c r="S682" s="22"/>
      <c r="T682" s="22"/>
      <c r="U682" s="28"/>
    </row>
    <row r="683" ht="15.75" customHeight="1">
      <c r="A683" s="189"/>
      <c r="B683" s="22"/>
      <c r="C683" s="22"/>
      <c r="D683" s="22"/>
      <c r="E683" s="22"/>
      <c r="F683" s="22"/>
      <c r="G683" s="22"/>
      <c r="H683" s="22"/>
      <c r="I683" s="266"/>
      <c r="J683" s="272"/>
      <c r="K683" s="272"/>
      <c r="L683" s="272"/>
      <c r="M683" s="273"/>
      <c r="N683" s="273"/>
      <c r="O683" s="273"/>
      <c r="P683" s="27"/>
      <c r="Q683" s="27"/>
      <c r="R683" s="27"/>
      <c r="S683" s="22"/>
      <c r="T683" s="22"/>
      <c r="U683" s="28"/>
    </row>
    <row r="684" ht="15.75" customHeight="1">
      <c r="A684" s="189"/>
      <c r="B684" s="22"/>
      <c r="C684" s="22"/>
      <c r="D684" s="22"/>
      <c r="E684" s="22"/>
      <c r="F684" s="22"/>
      <c r="G684" s="22"/>
      <c r="H684" s="22"/>
      <c r="I684" s="266"/>
      <c r="J684" s="272"/>
      <c r="K684" s="272"/>
      <c r="L684" s="272"/>
      <c r="M684" s="273"/>
      <c r="N684" s="273"/>
      <c r="O684" s="273"/>
      <c r="P684" s="27"/>
      <c r="Q684" s="27"/>
      <c r="R684" s="27"/>
      <c r="S684" s="22"/>
      <c r="T684" s="22"/>
      <c r="U684" s="28"/>
    </row>
    <row r="685" ht="15.75" customHeight="1">
      <c r="A685" s="189"/>
      <c r="B685" s="22"/>
      <c r="C685" s="22"/>
      <c r="D685" s="22"/>
      <c r="E685" s="22"/>
      <c r="F685" s="22"/>
      <c r="G685" s="22"/>
      <c r="H685" s="22"/>
      <c r="I685" s="266"/>
      <c r="J685" s="272"/>
      <c r="K685" s="272"/>
      <c r="L685" s="272"/>
      <c r="M685" s="273"/>
      <c r="N685" s="273"/>
      <c r="O685" s="273"/>
      <c r="P685" s="27"/>
      <c r="Q685" s="27"/>
      <c r="R685" s="27"/>
      <c r="S685" s="22"/>
      <c r="T685" s="22"/>
      <c r="U685" s="28"/>
    </row>
    <row r="686" ht="15.75" customHeight="1">
      <c r="A686" s="189"/>
      <c r="B686" s="22"/>
      <c r="C686" s="22"/>
      <c r="D686" s="22"/>
      <c r="E686" s="22"/>
      <c r="F686" s="22"/>
      <c r="G686" s="22"/>
      <c r="H686" s="22"/>
      <c r="I686" s="266"/>
      <c r="J686" s="272"/>
      <c r="K686" s="272"/>
      <c r="L686" s="272"/>
      <c r="M686" s="273"/>
      <c r="N686" s="273"/>
      <c r="O686" s="273"/>
      <c r="P686" s="27"/>
      <c r="Q686" s="27"/>
      <c r="R686" s="27"/>
      <c r="S686" s="22"/>
      <c r="T686" s="22"/>
      <c r="U686" s="28"/>
    </row>
    <row r="687" ht="15.75" customHeight="1">
      <c r="A687" s="189"/>
      <c r="B687" s="22"/>
      <c r="C687" s="22"/>
      <c r="D687" s="22"/>
      <c r="E687" s="22"/>
      <c r="F687" s="22"/>
      <c r="G687" s="22"/>
      <c r="H687" s="22"/>
      <c r="I687" s="266"/>
      <c r="J687" s="272"/>
      <c r="K687" s="272"/>
      <c r="L687" s="272"/>
      <c r="M687" s="273"/>
      <c r="N687" s="273"/>
      <c r="O687" s="273"/>
      <c r="P687" s="27"/>
      <c r="Q687" s="27"/>
      <c r="R687" s="27"/>
      <c r="S687" s="22"/>
      <c r="T687" s="22"/>
      <c r="U687" s="28"/>
    </row>
    <row r="688" ht="15.75" customHeight="1">
      <c r="A688" s="189"/>
      <c r="B688" s="22"/>
      <c r="C688" s="22"/>
      <c r="D688" s="22"/>
      <c r="E688" s="22"/>
      <c r="F688" s="22"/>
      <c r="G688" s="22"/>
      <c r="H688" s="22"/>
      <c r="I688" s="266"/>
      <c r="J688" s="272"/>
      <c r="K688" s="272"/>
      <c r="L688" s="272"/>
      <c r="M688" s="273"/>
      <c r="N688" s="273"/>
      <c r="O688" s="273"/>
      <c r="P688" s="27"/>
      <c r="Q688" s="27"/>
      <c r="R688" s="27"/>
      <c r="S688" s="22"/>
      <c r="T688" s="22"/>
      <c r="U688" s="28"/>
    </row>
    <row r="689" ht="15.75" customHeight="1">
      <c r="A689" s="189"/>
      <c r="B689" s="22"/>
      <c r="C689" s="22"/>
      <c r="D689" s="22"/>
      <c r="E689" s="22"/>
      <c r="F689" s="22"/>
      <c r="G689" s="22"/>
      <c r="H689" s="22"/>
      <c r="I689" s="266"/>
      <c r="J689" s="272"/>
      <c r="K689" s="272"/>
      <c r="L689" s="272"/>
      <c r="M689" s="273"/>
      <c r="N689" s="273"/>
      <c r="O689" s="273"/>
      <c r="P689" s="27"/>
      <c r="Q689" s="27"/>
      <c r="R689" s="27"/>
      <c r="S689" s="22"/>
      <c r="T689" s="22"/>
      <c r="U689" s="28"/>
    </row>
    <row r="690" ht="15.75" customHeight="1">
      <c r="A690" s="189"/>
      <c r="B690" s="22"/>
      <c r="C690" s="22"/>
      <c r="D690" s="22"/>
      <c r="E690" s="22"/>
      <c r="F690" s="22"/>
      <c r="G690" s="22"/>
      <c r="H690" s="22"/>
      <c r="I690" s="266"/>
      <c r="J690" s="272"/>
      <c r="K690" s="272"/>
      <c r="L690" s="272"/>
      <c r="M690" s="273"/>
      <c r="N690" s="273"/>
      <c r="O690" s="273"/>
      <c r="P690" s="27"/>
      <c r="Q690" s="27"/>
      <c r="R690" s="27"/>
      <c r="S690" s="22"/>
      <c r="T690" s="22"/>
      <c r="U690" s="28"/>
    </row>
    <row r="691" ht="15.75" customHeight="1">
      <c r="A691" s="189"/>
      <c r="B691" s="22"/>
      <c r="C691" s="22"/>
      <c r="D691" s="22"/>
      <c r="E691" s="22"/>
      <c r="F691" s="22"/>
      <c r="G691" s="22"/>
      <c r="H691" s="22"/>
      <c r="I691" s="266"/>
      <c r="J691" s="272"/>
      <c r="K691" s="272"/>
      <c r="L691" s="272"/>
      <c r="M691" s="273"/>
      <c r="N691" s="273"/>
      <c r="O691" s="273"/>
      <c r="P691" s="27"/>
      <c r="Q691" s="27"/>
      <c r="R691" s="27"/>
      <c r="S691" s="22"/>
      <c r="T691" s="22"/>
      <c r="U691" s="28"/>
    </row>
    <row r="692" ht="15.75" customHeight="1">
      <c r="A692" s="189"/>
      <c r="B692" s="22"/>
      <c r="C692" s="22"/>
      <c r="D692" s="22"/>
      <c r="E692" s="22"/>
      <c r="F692" s="22"/>
      <c r="G692" s="22"/>
      <c r="H692" s="22"/>
      <c r="I692" s="266"/>
      <c r="J692" s="272"/>
      <c r="K692" s="272"/>
      <c r="L692" s="272"/>
      <c r="M692" s="273"/>
      <c r="N692" s="273"/>
      <c r="O692" s="273"/>
      <c r="P692" s="27"/>
      <c r="Q692" s="27"/>
      <c r="R692" s="27"/>
      <c r="S692" s="22"/>
      <c r="T692" s="22"/>
      <c r="U692" s="28"/>
    </row>
    <row r="693" ht="15.75" customHeight="1">
      <c r="A693" s="189"/>
      <c r="B693" s="22"/>
      <c r="C693" s="22"/>
      <c r="D693" s="22"/>
      <c r="E693" s="22"/>
      <c r="F693" s="22"/>
      <c r="G693" s="22"/>
      <c r="H693" s="22"/>
      <c r="I693" s="266"/>
      <c r="J693" s="272"/>
      <c r="K693" s="272"/>
      <c r="L693" s="272"/>
      <c r="M693" s="273"/>
      <c r="N693" s="273"/>
      <c r="O693" s="273"/>
      <c r="P693" s="27"/>
      <c r="Q693" s="27"/>
      <c r="R693" s="27"/>
      <c r="S693" s="22"/>
      <c r="T693" s="22"/>
      <c r="U693" s="28"/>
    </row>
    <row r="694" ht="15.75" customHeight="1">
      <c r="A694" s="189"/>
      <c r="B694" s="22"/>
      <c r="C694" s="22"/>
      <c r="D694" s="22"/>
      <c r="E694" s="22"/>
      <c r="F694" s="22"/>
      <c r="G694" s="22"/>
      <c r="H694" s="22"/>
      <c r="I694" s="266"/>
      <c r="J694" s="272"/>
      <c r="K694" s="272"/>
      <c r="L694" s="272"/>
      <c r="M694" s="273"/>
      <c r="N694" s="273"/>
      <c r="O694" s="273"/>
      <c r="P694" s="27"/>
      <c r="Q694" s="27"/>
      <c r="R694" s="27"/>
      <c r="S694" s="22"/>
      <c r="T694" s="22"/>
      <c r="U694" s="28"/>
    </row>
    <row r="695" ht="15.75" customHeight="1">
      <c r="A695" s="189"/>
      <c r="B695" s="22"/>
      <c r="C695" s="22"/>
      <c r="D695" s="22"/>
      <c r="E695" s="22"/>
      <c r="F695" s="22"/>
      <c r="G695" s="22"/>
      <c r="H695" s="22"/>
      <c r="I695" s="266"/>
      <c r="J695" s="272"/>
      <c r="K695" s="272"/>
      <c r="L695" s="272"/>
      <c r="M695" s="273"/>
      <c r="N695" s="273"/>
      <c r="O695" s="273"/>
      <c r="P695" s="27"/>
      <c r="Q695" s="27"/>
      <c r="R695" s="27"/>
      <c r="S695" s="22"/>
      <c r="T695" s="22"/>
      <c r="U695" s="28"/>
    </row>
    <row r="696" ht="15.75" customHeight="1">
      <c r="A696" s="189"/>
      <c r="B696" s="22"/>
      <c r="C696" s="22"/>
      <c r="D696" s="22"/>
      <c r="E696" s="22"/>
      <c r="F696" s="22"/>
      <c r="G696" s="22"/>
      <c r="H696" s="22"/>
      <c r="I696" s="266"/>
      <c r="J696" s="272"/>
      <c r="K696" s="272"/>
      <c r="L696" s="272"/>
      <c r="M696" s="273"/>
      <c r="N696" s="273"/>
      <c r="O696" s="273"/>
      <c r="P696" s="27"/>
      <c r="Q696" s="27"/>
      <c r="R696" s="27"/>
      <c r="S696" s="22"/>
      <c r="T696" s="22"/>
      <c r="U696" s="28"/>
    </row>
    <row r="697" ht="15.75" customHeight="1">
      <c r="A697" s="189"/>
      <c r="B697" s="22"/>
      <c r="C697" s="22"/>
      <c r="D697" s="22"/>
      <c r="E697" s="22"/>
      <c r="F697" s="22"/>
      <c r="G697" s="22"/>
      <c r="H697" s="22"/>
      <c r="I697" s="266"/>
      <c r="J697" s="272"/>
      <c r="K697" s="272"/>
      <c r="L697" s="272"/>
      <c r="M697" s="273"/>
      <c r="N697" s="273"/>
      <c r="O697" s="273"/>
      <c r="P697" s="27"/>
      <c r="Q697" s="27"/>
      <c r="R697" s="27"/>
      <c r="S697" s="22"/>
      <c r="T697" s="22"/>
      <c r="U697" s="28"/>
    </row>
    <row r="698" ht="15.75" customHeight="1">
      <c r="A698" s="189"/>
      <c r="B698" s="22"/>
      <c r="C698" s="22"/>
      <c r="D698" s="22"/>
      <c r="E698" s="22"/>
      <c r="F698" s="22"/>
      <c r="G698" s="22"/>
      <c r="H698" s="22"/>
      <c r="I698" s="266"/>
      <c r="J698" s="272"/>
      <c r="K698" s="272"/>
      <c r="L698" s="272"/>
      <c r="M698" s="273"/>
      <c r="N698" s="273"/>
      <c r="O698" s="273"/>
      <c r="P698" s="27"/>
      <c r="Q698" s="27"/>
      <c r="R698" s="27"/>
      <c r="S698" s="22"/>
      <c r="T698" s="22"/>
      <c r="U698" s="28"/>
    </row>
    <row r="699" ht="15.75" customHeight="1">
      <c r="A699" s="189"/>
      <c r="B699" s="22"/>
      <c r="C699" s="22"/>
      <c r="D699" s="22"/>
      <c r="E699" s="22"/>
      <c r="F699" s="22"/>
      <c r="G699" s="22"/>
      <c r="H699" s="22"/>
      <c r="I699" s="266"/>
      <c r="J699" s="272"/>
      <c r="K699" s="272"/>
      <c r="L699" s="272"/>
      <c r="M699" s="273"/>
      <c r="N699" s="273"/>
      <c r="O699" s="273"/>
      <c r="P699" s="27"/>
      <c r="Q699" s="27"/>
      <c r="R699" s="27"/>
      <c r="S699" s="22"/>
      <c r="T699" s="22"/>
      <c r="U699" s="28"/>
    </row>
    <row r="700" ht="15.75" customHeight="1">
      <c r="A700" s="189"/>
      <c r="B700" s="22"/>
      <c r="C700" s="22"/>
      <c r="D700" s="22"/>
      <c r="E700" s="22"/>
      <c r="F700" s="22"/>
      <c r="G700" s="22"/>
      <c r="H700" s="22"/>
      <c r="I700" s="266"/>
      <c r="J700" s="272"/>
      <c r="K700" s="272"/>
      <c r="L700" s="272"/>
      <c r="M700" s="273"/>
      <c r="N700" s="273"/>
      <c r="O700" s="273"/>
      <c r="P700" s="27"/>
      <c r="Q700" s="27"/>
      <c r="R700" s="27"/>
      <c r="S700" s="22"/>
      <c r="T700" s="22"/>
      <c r="U700" s="28"/>
    </row>
    <row r="701" ht="15.75" customHeight="1">
      <c r="A701" s="189"/>
      <c r="B701" s="22"/>
      <c r="C701" s="22"/>
      <c r="D701" s="22"/>
      <c r="E701" s="22"/>
      <c r="F701" s="22"/>
      <c r="G701" s="22"/>
      <c r="H701" s="22"/>
      <c r="I701" s="266"/>
      <c r="J701" s="272"/>
      <c r="K701" s="272"/>
      <c r="L701" s="272"/>
      <c r="M701" s="273"/>
      <c r="N701" s="273"/>
      <c r="O701" s="273"/>
      <c r="P701" s="27"/>
      <c r="Q701" s="27"/>
      <c r="R701" s="27"/>
      <c r="S701" s="22"/>
      <c r="T701" s="22"/>
      <c r="U701" s="28"/>
    </row>
    <row r="702" ht="15.75" customHeight="1">
      <c r="A702" s="189"/>
      <c r="B702" s="22"/>
      <c r="C702" s="22"/>
      <c r="D702" s="22"/>
      <c r="E702" s="22"/>
      <c r="F702" s="22"/>
      <c r="G702" s="22"/>
      <c r="H702" s="22"/>
      <c r="I702" s="266"/>
      <c r="J702" s="272"/>
      <c r="K702" s="272"/>
      <c r="L702" s="272"/>
      <c r="M702" s="273"/>
      <c r="N702" s="273"/>
      <c r="O702" s="273"/>
      <c r="P702" s="27"/>
      <c r="Q702" s="27"/>
      <c r="R702" s="27"/>
      <c r="S702" s="22"/>
      <c r="T702" s="22"/>
      <c r="U702" s="28"/>
    </row>
    <row r="703" ht="15.75" customHeight="1">
      <c r="A703" s="189"/>
      <c r="B703" s="22"/>
      <c r="C703" s="22"/>
      <c r="D703" s="22"/>
      <c r="E703" s="22"/>
      <c r="F703" s="22"/>
      <c r="G703" s="22"/>
      <c r="H703" s="22"/>
      <c r="I703" s="266"/>
      <c r="J703" s="272"/>
      <c r="K703" s="272"/>
      <c r="L703" s="272"/>
      <c r="M703" s="273"/>
      <c r="N703" s="273"/>
      <c r="O703" s="273"/>
      <c r="P703" s="27"/>
      <c r="Q703" s="27"/>
      <c r="R703" s="27"/>
      <c r="S703" s="22"/>
      <c r="T703" s="22"/>
      <c r="U703" s="28"/>
    </row>
    <row r="704" ht="15.75" customHeight="1">
      <c r="A704" s="189"/>
      <c r="B704" s="22"/>
      <c r="C704" s="22"/>
      <c r="D704" s="22"/>
      <c r="E704" s="22"/>
      <c r="F704" s="22"/>
      <c r="G704" s="22"/>
      <c r="H704" s="22"/>
      <c r="I704" s="266"/>
      <c r="J704" s="272"/>
      <c r="K704" s="272"/>
      <c r="L704" s="272"/>
      <c r="M704" s="273"/>
      <c r="N704" s="273"/>
      <c r="O704" s="273"/>
      <c r="P704" s="27"/>
      <c r="Q704" s="27"/>
      <c r="R704" s="27"/>
      <c r="S704" s="22"/>
      <c r="T704" s="22"/>
      <c r="U704" s="28"/>
    </row>
    <row r="705" ht="15.75" customHeight="1">
      <c r="A705" s="189"/>
      <c r="B705" s="22"/>
      <c r="C705" s="22"/>
      <c r="D705" s="22"/>
      <c r="E705" s="22"/>
      <c r="F705" s="22"/>
      <c r="G705" s="22"/>
      <c r="H705" s="22"/>
      <c r="I705" s="266"/>
      <c r="J705" s="272"/>
      <c r="K705" s="272"/>
      <c r="L705" s="272"/>
      <c r="M705" s="273"/>
      <c r="N705" s="273"/>
      <c r="O705" s="273"/>
      <c r="P705" s="27"/>
      <c r="Q705" s="27"/>
      <c r="R705" s="27"/>
      <c r="S705" s="22"/>
      <c r="T705" s="22"/>
      <c r="U705" s="28"/>
    </row>
    <row r="706" ht="15.75" customHeight="1">
      <c r="A706" s="189"/>
      <c r="B706" s="22"/>
      <c r="C706" s="22"/>
      <c r="D706" s="22"/>
      <c r="E706" s="22"/>
      <c r="F706" s="22"/>
      <c r="G706" s="22"/>
      <c r="H706" s="22"/>
      <c r="I706" s="266"/>
      <c r="J706" s="272"/>
      <c r="K706" s="272"/>
      <c r="L706" s="272"/>
      <c r="M706" s="273"/>
      <c r="N706" s="273"/>
      <c r="O706" s="273"/>
      <c r="P706" s="27"/>
      <c r="Q706" s="27"/>
      <c r="R706" s="27"/>
      <c r="S706" s="22"/>
      <c r="T706" s="22"/>
      <c r="U706" s="28"/>
    </row>
    <row r="707" ht="15.75" customHeight="1">
      <c r="A707" s="189"/>
      <c r="B707" s="22"/>
      <c r="C707" s="22"/>
      <c r="D707" s="22"/>
      <c r="E707" s="22"/>
      <c r="F707" s="22"/>
      <c r="G707" s="22"/>
      <c r="H707" s="22"/>
      <c r="I707" s="266"/>
      <c r="J707" s="272"/>
      <c r="K707" s="272"/>
      <c r="L707" s="272"/>
      <c r="M707" s="273"/>
      <c r="N707" s="273"/>
      <c r="O707" s="273"/>
      <c r="P707" s="27"/>
      <c r="Q707" s="27"/>
      <c r="R707" s="27"/>
      <c r="S707" s="22"/>
      <c r="T707" s="22"/>
      <c r="U707" s="28"/>
    </row>
    <row r="708" ht="15.75" customHeight="1">
      <c r="A708" s="189"/>
      <c r="B708" s="22"/>
      <c r="C708" s="22"/>
      <c r="D708" s="22"/>
      <c r="E708" s="22"/>
      <c r="F708" s="22"/>
      <c r="G708" s="22"/>
      <c r="H708" s="22"/>
      <c r="I708" s="266"/>
      <c r="J708" s="272"/>
      <c r="K708" s="272"/>
      <c r="L708" s="272"/>
      <c r="M708" s="273"/>
      <c r="N708" s="273"/>
      <c r="O708" s="273"/>
      <c r="P708" s="27"/>
      <c r="Q708" s="27"/>
      <c r="R708" s="27"/>
      <c r="S708" s="22"/>
      <c r="T708" s="22"/>
      <c r="U708" s="28"/>
    </row>
    <row r="709" ht="15.75" customHeight="1">
      <c r="A709" s="189"/>
      <c r="B709" s="22"/>
      <c r="C709" s="22"/>
      <c r="D709" s="22"/>
      <c r="E709" s="22"/>
      <c r="F709" s="22"/>
      <c r="G709" s="22"/>
      <c r="H709" s="22"/>
      <c r="I709" s="266"/>
      <c r="J709" s="272"/>
      <c r="K709" s="272"/>
      <c r="L709" s="272"/>
      <c r="M709" s="273"/>
      <c r="N709" s="273"/>
      <c r="O709" s="273"/>
      <c r="P709" s="27"/>
      <c r="Q709" s="27"/>
      <c r="R709" s="27"/>
      <c r="S709" s="22"/>
      <c r="T709" s="22"/>
      <c r="U709" s="28"/>
    </row>
    <row r="710" ht="15.75" customHeight="1">
      <c r="A710" s="189"/>
      <c r="B710" s="22"/>
      <c r="C710" s="22"/>
      <c r="D710" s="22"/>
      <c r="E710" s="22"/>
      <c r="F710" s="22"/>
      <c r="G710" s="22"/>
      <c r="H710" s="22"/>
      <c r="I710" s="266"/>
      <c r="J710" s="272"/>
      <c r="K710" s="272"/>
      <c r="L710" s="272"/>
      <c r="M710" s="273"/>
      <c r="N710" s="273"/>
      <c r="O710" s="273"/>
      <c r="P710" s="27"/>
      <c r="Q710" s="27"/>
      <c r="R710" s="27"/>
      <c r="S710" s="22"/>
      <c r="T710" s="22"/>
      <c r="U710" s="28"/>
    </row>
    <row r="711" ht="15.75" customHeight="1">
      <c r="A711" s="189"/>
      <c r="B711" s="22"/>
      <c r="C711" s="22"/>
      <c r="D711" s="22"/>
      <c r="E711" s="22"/>
      <c r="F711" s="22"/>
      <c r="G711" s="22"/>
      <c r="H711" s="22"/>
      <c r="I711" s="266"/>
      <c r="J711" s="272"/>
      <c r="K711" s="272"/>
      <c r="L711" s="272"/>
      <c r="M711" s="273"/>
      <c r="N711" s="273"/>
      <c r="O711" s="273"/>
      <c r="P711" s="27"/>
      <c r="Q711" s="27"/>
      <c r="R711" s="27"/>
      <c r="S711" s="22"/>
      <c r="T711" s="22"/>
      <c r="U711" s="28"/>
    </row>
    <row r="712" ht="15.75" customHeight="1">
      <c r="A712" s="189"/>
      <c r="B712" s="22"/>
      <c r="C712" s="22"/>
      <c r="D712" s="22"/>
      <c r="E712" s="22"/>
      <c r="F712" s="22"/>
      <c r="G712" s="22"/>
      <c r="H712" s="22"/>
      <c r="I712" s="266"/>
      <c r="J712" s="272"/>
      <c r="K712" s="272"/>
      <c r="L712" s="272"/>
      <c r="M712" s="273"/>
      <c r="N712" s="273"/>
      <c r="O712" s="273"/>
      <c r="P712" s="27"/>
      <c r="Q712" s="27"/>
      <c r="R712" s="27"/>
      <c r="S712" s="22"/>
      <c r="T712" s="22"/>
      <c r="U712" s="28"/>
    </row>
    <row r="713" ht="15.75" customHeight="1">
      <c r="A713" s="189"/>
      <c r="B713" s="22"/>
      <c r="C713" s="22"/>
      <c r="D713" s="22"/>
      <c r="E713" s="22"/>
      <c r="F713" s="22"/>
      <c r="G713" s="22"/>
      <c r="H713" s="22"/>
      <c r="I713" s="266"/>
      <c r="J713" s="272"/>
      <c r="K713" s="272"/>
      <c r="L713" s="272"/>
      <c r="M713" s="273"/>
      <c r="N713" s="273"/>
      <c r="O713" s="273"/>
      <c r="P713" s="27"/>
      <c r="Q713" s="27"/>
      <c r="R713" s="27"/>
      <c r="S713" s="22"/>
      <c r="T713" s="22"/>
      <c r="U713" s="28"/>
    </row>
    <row r="714" ht="15.75" customHeight="1">
      <c r="A714" s="189"/>
      <c r="B714" s="22"/>
      <c r="C714" s="22"/>
      <c r="D714" s="22"/>
      <c r="E714" s="22"/>
      <c r="F714" s="22"/>
      <c r="G714" s="22"/>
      <c r="H714" s="22"/>
      <c r="I714" s="266"/>
      <c r="J714" s="272"/>
      <c r="K714" s="272"/>
      <c r="L714" s="272"/>
      <c r="M714" s="273"/>
      <c r="N714" s="273"/>
      <c r="O714" s="273"/>
      <c r="P714" s="27"/>
      <c r="Q714" s="27"/>
      <c r="R714" s="27"/>
      <c r="S714" s="22"/>
      <c r="T714" s="22"/>
      <c r="U714" s="28"/>
    </row>
    <row r="715" ht="15.75" customHeight="1">
      <c r="A715" s="189"/>
      <c r="B715" s="22"/>
      <c r="C715" s="22"/>
      <c r="D715" s="22"/>
      <c r="E715" s="22"/>
      <c r="F715" s="22"/>
      <c r="G715" s="22"/>
      <c r="H715" s="22"/>
      <c r="I715" s="266"/>
      <c r="J715" s="272"/>
      <c r="K715" s="272"/>
      <c r="L715" s="272"/>
      <c r="M715" s="273"/>
      <c r="N715" s="273"/>
      <c r="O715" s="273"/>
      <c r="P715" s="27"/>
      <c r="Q715" s="27"/>
      <c r="R715" s="27"/>
      <c r="S715" s="22"/>
      <c r="T715" s="22"/>
      <c r="U715" s="28"/>
    </row>
    <row r="716" ht="15.75" customHeight="1">
      <c r="A716" s="189"/>
      <c r="B716" s="22"/>
      <c r="C716" s="22"/>
      <c r="D716" s="22"/>
      <c r="E716" s="22"/>
      <c r="F716" s="22"/>
      <c r="G716" s="22"/>
      <c r="H716" s="22"/>
      <c r="I716" s="266"/>
      <c r="J716" s="272"/>
      <c r="K716" s="272"/>
      <c r="L716" s="272"/>
      <c r="M716" s="273"/>
      <c r="N716" s="273"/>
      <c r="O716" s="273"/>
      <c r="P716" s="27"/>
      <c r="Q716" s="27"/>
      <c r="R716" s="27"/>
      <c r="S716" s="22"/>
      <c r="T716" s="22"/>
      <c r="U716" s="28"/>
    </row>
    <row r="717" ht="15.75" customHeight="1">
      <c r="A717" s="189"/>
      <c r="B717" s="22"/>
      <c r="C717" s="22"/>
      <c r="D717" s="22"/>
      <c r="E717" s="22"/>
      <c r="F717" s="22"/>
      <c r="G717" s="22"/>
      <c r="H717" s="22"/>
      <c r="I717" s="266"/>
      <c r="J717" s="272"/>
      <c r="K717" s="272"/>
      <c r="L717" s="272"/>
      <c r="M717" s="273"/>
      <c r="N717" s="273"/>
      <c r="O717" s="273"/>
      <c r="P717" s="27"/>
      <c r="Q717" s="27"/>
      <c r="R717" s="27"/>
      <c r="S717" s="22"/>
      <c r="T717" s="22"/>
      <c r="U717" s="28"/>
    </row>
    <row r="718" ht="15.75" customHeight="1">
      <c r="A718" s="189"/>
      <c r="B718" s="22"/>
      <c r="C718" s="22"/>
      <c r="D718" s="22"/>
      <c r="E718" s="22"/>
      <c r="F718" s="22"/>
      <c r="G718" s="22"/>
      <c r="H718" s="22"/>
      <c r="I718" s="266"/>
      <c r="J718" s="272"/>
      <c r="K718" s="272"/>
      <c r="L718" s="272"/>
      <c r="M718" s="273"/>
      <c r="N718" s="273"/>
      <c r="O718" s="273"/>
      <c r="P718" s="27"/>
      <c r="Q718" s="27"/>
      <c r="R718" s="27"/>
      <c r="S718" s="22"/>
      <c r="T718" s="22"/>
      <c r="U718" s="28"/>
    </row>
    <row r="719" ht="15.75" customHeight="1">
      <c r="A719" s="189"/>
      <c r="B719" s="22"/>
      <c r="C719" s="22"/>
      <c r="D719" s="22"/>
      <c r="E719" s="22"/>
      <c r="F719" s="22"/>
      <c r="G719" s="22"/>
      <c r="H719" s="22"/>
      <c r="I719" s="266"/>
      <c r="J719" s="272"/>
      <c r="K719" s="272"/>
      <c r="L719" s="272"/>
      <c r="M719" s="273"/>
      <c r="N719" s="273"/>
      <c r="O719" s="273"/>
      <c r="P719" s="27"/>
      <c r="Q719" s="27"/>
      <c r="R719" s="27"/>
      <c r="S719" s="22"/>
      <c r="T719" s="22"/>
      <c r="U719" s="28"/>
    </row>
    <row r="720" ht="15.75" customHeight="1">
      <c r="A720" s="189"/>
      <c r="B720" s="22"/>
      <c r="C720" s="22"/>
      <c r="D720" s="22"/>
      <c r="E720" s="22"/>
      <c r="F720" s="22"/>
      <c r="G720" s="22"/>
      <c r="H720" s="22"/>
      <c r="I720" s="266"/>
      <c r="J720" s="272"/>
      <c r="K720" s="272"/>
      <c r="L720" s="272"/>
      <c r="M720" s="273"/>
      <c r="N720" s="273"/>
      <c r="O720" s="273"/>
      <c r="P720" s="27"/>
      <c r="Q720" s="27"/>
      <c r="R720" s="27"/>
      <c r="S720" s="22"/>
      <c r="T720" s="22"/>
      <c r="U720" s="28"/>
    </row>
    <row r="721" ht="15.75" customHeight="1">
      <c r="A721" s="189"/>
      <c r="B721" s="22"/>
      <c r="C721" s="22"/>
      <c r="D721" s="22"/>
      <c r="E721" s="22"/>
      <c r="F721" s="22"/>
      <c r="G721" s="22"/>
      <c r="H721" s="22"/>
      <c r="I721" s="266"/>
      <c r="J721" s="272"/>
      <c r="K721" s="272"/>
      <c r="L721" s="272"/>
      <c r="M721" s="273"/>
      <c r="N721" s="273"/>
      <c r="O721" s="273"/>
      <c r="P721" s="27"/>
      <c r="Q721" s="27"/>
      <c r="R721" s="27"/>
      <c r="S721" s="22"/>
      <c r="T721" s="22"/>
      <c r="U721" s="28"/>
    </row>
    <row r="722" ht="15.75" customHeight="1">
      <c r="A722" s="189"/>
      <c r="B722" s="22"/>
      <c r="C722" s="22"/>
      <c r="D722" s="22"/>
      <c r="E722" s="22"/>
      <c r="F722" s="22"/>
      <c r="G722" s="22"/>
      <c r="H722" s="22"/>
      <c r="I722" s="266"/>
      <c r="J722" s="272"/>
      <c r="K722" s="272"/>
      <c r="L722" s="272"/>
      <c r="M722" s="273"/>
      <c r="N722" s="273"/>
      <c r="O722" s="273"/>
      <c r="P722" s="27"/>
      <c r="Q722" s="27"/>
      <c r="R722" s="27"/>
      <c r="S722" s="22"/>
      <c r="T722" s="22"/>
      <c r="U722" s="28"/>
    </row>
    <row r="723" ht="15.75" customHeight="1">
      <c r="A723" s="189"/>
      <c r="B723" s="22"/>
      <c r="C723" s="22"/>
      <c r="D723" s="22"/>
      <c r="E723" s="22"/>
      <c r="F723" s="22"/>
      <c r="G723" s="22"/>
      <c r="H723" s="22"/>
      <c r="I723" s="266"/>
      <c r="J723" s="272"/>
      <c r="K723" s="272"/>
      <c r="L723" s="272"/>
      <c r="M723" s="273"/>
      <c r="N723" s="273"/>
      <c r="O723" s="273"/>
      <c r="P723" s="27"/>
      <c r="Q723" s="27"/>
      <c r="R723" s="27"/>
      <c r="S723" s="22"/>
      <c r="T723" s="22"/>
      <c r="U723" s="28"/>
    </row>
    <row r="724" ht="15.75" customHeight="1">
      <c r="A724" s="189"/>
      <c r="B724" s="22"/>
      <c r="C724" s="22"/>
      <c r="D724" s="22"/>
      <c r="E724" s="22"/>
      <c r="F724" s="22"/>
      <c r="G724" s="22"/>
      <c r="H724" s="22"/>
      <c r="I724" s="266"/>
      <c r="J724" s="272"/>
      <c r="K724" s="272"/>
      <c r="L724" s="272"/>
      <c r="M724" s="273"/>
      <c r="N724" s="273"/>
      <c r="O724" s="273"/>
      <c r="P724" s="27"/>
      <c r="Q724" s="27"/>
      <c r="R724" s="27"/>
      <c r="S724" s="22"/>
      <c r="T724" s="22"/>
      <c r="U724" s="28"/>
    </row>
    <row r="725" ht="15.75" customHeight="1">
      <c r="A725" s="189"/>
      <c r="B725" s="22"/>
      <c r="C725" s="22"/>
      <c r="D725" s="22"/>
      <c r="E725" s="22"/>
      <c r="F725" s="22"/>
      <c r="G725" s="22"/>
      <c r="H725" s="22"/>
      <c r="I725" s="266"/>
      <c r="J725" s="272"/>
      <c r="K725" s="272"/>
      <c r="L725" s="272"/>
      <c r="M725" s="273"/>
      <c r="N725" s="273"/>
      <c r="O725" s="273"/>
      <c r="P725" s="27"/>
      <c r="Q725" s="27"/>
      <c r="R725" s="27"/>
      <c r="S725" s="22"/>
      <c r="T725" s="22"/>
      <c r="U725" s="28"/>
    </row>
    <row r="726" ht="15.75" customHeight="1">
      <c r="A726" s="189"/>
      <c r="B726" s="22"/>
      <c r="C726" s="22"/>
      <c r="D726" s="22"/>
      <c r="E726" s="22"/>
      <c r="F726" s="22"/>
      <c r="G726" s="22"/>
      <c r="H726" s="22"/>
      <c r="I726" s="266"/>
      <c r="J726" s="272"/>
      <c r="K726" s="272"/>
      <c r="L726" s="272"/>
      <c r="M726" s="273"/>
      <c r="N726" s="273"/>
      <c r="O726" s="273"/>
      <c r="P726" s="27"/>
      <c r="Q726" s="27"/>
      <c r="R726" s="27"/>
      <c r="S726" s="22"/>
      <c r="T726" s="22"/>
      <c r="U726" s="28"/>
    </row>
    <row r="727" ht="15.75" customHeight="1">
      <c r="A727" s="189"/>
      <c r="B727" s="22"/>
      <c r="C727" s="22"/>
      <c r="D727" s="22"/>
      <c r="E727" s="22"/>
      <c r="F727" s="22"/>
      <c r="G727" s="22"/>
      <c r="H727" s="22"/>
      <c r="I727" s="266"/>
      <c r="J727" s="272"/>
      <c r="K727" s="272"/>
      <c r="L727" s="272"/>
      <c r="M727" s="273"/>
      <c r="N727" s="273"/>
      <c r="O727" s="273"/>
      <c r="P727" s="27"/>
      <c r="Q727" s="27"/>
      <c r="R727" s="27"/>
      <c r="S727" s="22"/>
      <c r="T727" s="22"/>
      <c r="U727" s="28"/>
    </row>
    <row r="728" ht="15.75" customHeight="1">
      <c r="A728" s="189"/>
      <c r="B728" s="22"/>
      <c r="C728" s="22"/>
      <c r="D728" s="22"/>
      <c r="E728" s="22"/>
      <c r="F728" s="22"/>
      <c r="G728" s="22"/>
      <c r="H728" s="22"/>
      <c r="I728" s="266"/>
      <c r="J728" s="272"/>
      <c r="K728" s="272"/>
      <c r="L728" s="272"/>
      <c r="M728" s="273"/>
      <c r="N728" s="273"/>
      <c r="O728" s="273"/>
      <c r="P728" s="27"/>
      <c r="Q728" s="27"/>
      <c r="R728" s="27"/>
      <c r="S728" s="22"/>
      <c r="T728" s="22"/>
      <c r="U728" s="28"/>
    </row>
    <row r="729" ht="15.75" customHeight="1">
      <c r="A729" s="189"/>
      <c r="B729" s="22"/>
      <c r="C729" s="22"/>
      <c r="D729" s="22"/>
      <c r="E729" s="22"/>
      <c r="F729" s="22"/>
      <c r="G729" s="22"/>
      <c r="H729" s="22"/>
      <c r="I729" s="266"/>
      <c r="J729" s="272"/>
      <c r="K729" s="272"/>
      <c r="L729" s="272"/>
      <c r="M729" s="273"/>
      <c r="N729" s="273"/>
      <c r="O729" s="273"/>
      <c r="P729" s="27"/>
      <c r="Q729" s="27"/>
      <c r="R729" s="27"/>
      <c r="S729" s="22"/>
      <c r="T729" s="22"/>
      <c r="U729" s="28"/>
    </row>
    <row r="730" ht="15.75" customHeight="1">
      <c r="A730" s="189"/>
      <c r="B730" s="22"/>
      <c r="C730" s="22"/>
      <c r="D730" s="22"/>
      <c r="E730" s="22"/>
      <c r="F730" s="22"/>
      <c r="G730" s="22"/>
      <c r="H730" s="22"/>
      <c r="I730" s="266"/>
      <c r="J730" s="272"/>
      <c r="K730" s="272"/>
      <c r="L730" s="272"/>
      <c r="M730" s="273"/>
      <c r="N730" s="273"/>
      <c r="O730" s="273"/>
      <c r="P730" s="27"/>
      <c r="Q730" s="27"/>
      <c r="R730" s="27"/>
      <c r="S730" s="22"/>
      <c r="T730" s="22"/>
      <c r="U730" s="28"/>
    </row>
    <row r="731" ht="15.75" customHeight="1">
      <c r="A731" s="189"/>
      <c r="B731" s="22"/>
      <c r="C731" s="22"/>
      <c r="D731" s="22"/>
      <c r="E731" s="22"/>
      <c r="F731" s="22"/>
      <c r="G731" s="22"/>
      <c r="H731" s="22"/>
      <c r="I731" s="266"/>
      <c r="J731" s="272"/>
      <c r="K731" s="272"/>
      <c r="L731" s="272"/>
      <c r="M731" s="273"/>
      <c r="N731" s="273"/>
      <c r="O731" s="273"/>
      <c r="P731" s="27"/>
      <c r="Q731" s="27"/>
      <c r="R731" s="27"/>
      <c r="S731" s="22"/>
      <c r="T731" s="22"/>
      <c r="U731" s="28"/>
    </row>
    <row r="732" ht="15.75" customHeight="1">
      <c r="A732" s="189"/>
      <c r="B732" s="22"/>
      <c r="C732" s="22"/>
      <c r="D732" s="22"/>
      <c r="E732" s="22"/>
      <c r="F732" s="22"/>
      <c r="G732" s="22"/>
      <c r="H732" s="22"/>
      <c r="I732" s="266"/>
      <c r="J732" s="272"/>
      <c r="K732" s="272"/>
      <c r="L732" s="272"/>
      <c r="M732" s="273"/>
      <c r="N732" s="273"/>
      <c r="O732" s="273"/>
      <c r="P732" s="27"/>
      <c r="Q732" s="27"/>
      <c r="R732" s="27"/>
      <c r="S732" s="22"/>
      <c r="T732" s="22"/>
      <c r="U732" s="28"/>
    </row>
    <row r="733" ht="15.75" customHeight="1">
      <c r="A733" s="189"/>
      <c r="B733" s="22"/>
      <c r="C733" s="22"/>
      <c r="D733" s="22"/>
      <c r="E733" s="22"/>
      <c r="F733" s="22"/>
      <c r="G733" s="22"/>
      <c r="H733" s="22"/>
      <c r="I733" s="266"/>
      <c r="J733" s="272"/>
      <c r="K733" s="272"/>
      <c r="L733" s="272"/>
      <c r="M733" s="273"/>
      <c r="N733" s="273"/>
      <c r="O733" s="273"/>
      <c r="P733" s="27"/>
      <c r="Q733" s="27"/>
      <c r="R733" s="27"/>
      <c r="S733" s="22"/>
      <c r="T733" s="22"/>
      <c r="U733" s="28"/>
    </row>
    <row r="734" ht="15.75" customHeight="1">
      <c r="A734" s="189"/>
      <c r="B734" s="22"/>
      <c r="C734" s="22"/>
      <c r="D734" s="22"/>
      <c r="E734" s="22"/>
      <c r="F734" s="22"/>
      <c r="G734" s="22"/>
      <c r="H734" s="22"/>
      <c r="I734" s="266"/>
      <c r="J734" s="272"/>
      <c r="K734" s="272"/>
      <c r="L734" s="272"/>
      <c r="M734" s="273"/>
      <c r="N734" s="273"/>
      <c r="O734" s="273"/>
      <c r="P734" s="27"/>
      <c r="Q734" s="27"/>
      <c r="R734" s="27"/>
      <c r="S734" s="22"/>
      <c r="T734" s="22"/>
      <c r="U734" s="28"/>
    </row>
    <row r="735" ht="15.75" customHeight="1">
      <c r="A735" s="189"/>
      <c r="B735" s="22"/>
      <c r="C735" s="22"/>
      <c r="D735" s="22"/>
      <c r="E735" s="22"/>
      <c r="F735" s="22"/>
      <c r="G735" s="22"/>
      <c r="H735" s="22"/>
      <c r="I735" s="266"/>
      <c r="J735" s="272"/>
      <c r="K735" s="272"/>
      <c r="L735" s="272"/>
      <c r="M735" s="273"/>
      <c r="N735" s="273"/>
      <c r="O735" s="273"/>
      <c r="P735" s="27"/>
      <c r="Q735" s="27"/>
      <c r="R735" s="27"/>
      <c r="S735" s="22"/>
      <c r="T735" s="22"/>
      <c r="U735" s="28"/>
    </row>
    <row r="736" ht="15.75" customHeight="1">
      <c r="A736" s="189"/>
      <c r="B736" s="22"/>
      <c r="C736" s="22"/>
      <c r="D736" s="22"/>
      <c r="E736" s="22"/>
      <c r="F736" s="22"/>
      <c r="G736" s="22"/>
      <c r="H736" s="22"/>
      <c r="I736" s="266"/>
      <c r="J736" s="272"/>
      <c r="K736" s="272"/>
      <c r="L736" s="272"/>
      <c r="M736" s="273"/>
      <c r="N736" s="273"/>
      <c r="O736" s="273"/>
      <c r="P736" s="27"/>
      <c r="Q736" s="27"/>
      <c r="R736" s="27"/>
      <c r="S736" s="22"/>
      <c r="T736" s="22"/>
      <c r="U736" s="28"/>
    </row>
    <row r="737" ht="15.75" customHeight="1">
      <c r="A737" s="189"/>
      <c r="B737" s="22"/>
      <c r="C737" s="22"/>
      <c r="D737" s="22"/>
      <c r="E737" s="22"/>
      <c r="F737" s="22"/>
      <c r="G737" s="22"/>
      <c r="H737" s="22"/>
      <c r="I737" s="266"/>
      <c r="J737" s="272"/>
      <c r="K737" s="272"/>
      <c r="L737" s="272"/>
      <c r="M737" s="273"/>
      <c r="N737" s="273"/>
      <c r="O737" s="273"/>
      <c r="P737" s="27"/>
      <c r="Q737" s="27"/>
      <c r="R737" s="27"/>
      <c r="S737" s="22"/>
      <c r="T737" s="22"/>
      <c r="U737" s="28"/>
    </row>
    <row r="738" ht="15.75" customHeight="1">
      <c r="A738" s="189"/>
      <c r="B738" s="22"/>
      <c r="C738" s="22"/>
      <c r="D738" s="22"/>
      <c r="E738" s="22"/>
      <c r="F738" s="22"/>
      <c r="G738" s="22"/>
      <c r="H738" s="22"/>
      <c r="I738" s="266"/>
      <c r="J738" s="272"/>
      <c r="K738" s="272"/>
      <c r="L738" s="272"/>
      <c r="M738" s="273"/>
      <c r="N738" s="273"/>
      <c r="O738" s="273"/>
      <c r="P738" s="27"/>
      <c r="Q738" s="27"/>
      <c r="R738" s="27"/>
      <c r="S738" s="22"/>
      <c r="T738" s="22"/>
      <c r="U738" s="28"/>
    </row>
    <row r="739" ht="15.75" customHeight="1">
      <c r="A739" s="189"/>
      <c r="B739" s="22"/>
      <c r="C739" s="22"/>
      <c r="D739" s="22"/>
      <c r="E739" s="22"/>
      <c r="F739" s="22"/>
      <c r="G739" s="22"/>
      <c r="H739" s="22"/>
      <c r="I739" s="266"/>
      <c r="J739" s="272"/>
      <c r="K739" s="272"/>
      <c r="L739" s="272"/>
      <c r="M739" s="273"/>
      <c r="N739" s="273"/>
      <c r="O739" s="273"/>
      <c r="P739" s="27"/>
      <c r="Q739" s="27"/>
      <c r="R739" s="27"/>
      <c r="S739" s="22"/>
      <c r="T739" s="22"/>
      <c r="U739" s="28"/>
    </row>
    <row r="740" ht="15.75" customHeight="1">
      <c r="A740" s="189"/>
      <c r="B740" s="22"/>
      <c r="C740" s="22"/>
      <c r="D740" s="22"/>
      <c r="E740" s="22"/>
      <c r="F740" s="22"/>
      <c r="G740" s="22"/>
      <c r="H740" s="22"/>
      <c r="I740" s="266"/>
      <c r="J740" s="272"/>
      <c r="K740" s="272"/>
      <c r="L740" s="272"/>
      <c r="M740" s="273"/>
      <c r="N740" s="273"/>
      <c r="O740" s="273"/>
      <c r="P740" s="27"/>
      <c r="Q740" s="27"/>
      <c r="R740" s="27"/>
      <c r="S740" s="22"/>
      <c r="T740" s="22"/>
      <c r="U740" s="28"/>
    </row>
    <row r="741" ht="15.75" customHeight="1">
      <c r="A741" s="189"/>
      <c r="B741" s="22"/>
      <c r="C741" s="22"/>
      <c r="D741" s="22"/>
      <c r="E741" s="22"/>
      <c r="F741" s="22"/>
      <c r="G741" s="22"/>
      <c r="H741" s="22"/>
      <c r="I741" s="266"/>
      <c r="J741" s="272"/>
      <c r="K741" s="272"/>
      <c r="L741" s="272"/>
      <c r="M741" s="273"/>
      <c r="N741" s="273"/>
      <c r="O741" s="273"/>
      <c r="P741" s="27"/>
      <c r="Q741" s="27"/>
      <c r="R741" s="27"/>
      <c r="S741" s="22"/>
      <c r="T741" s="22"/>
      <c r="U741" s="28"/>
    </row>
    <row r="742" ht="15.75" customHeight="1">
      <c r="A742" s="189"/>
      <c r="B742" s="22"/>
      <c r="C742" s="22"/>
      <c r="D742" s="22"/>
      <c r="E742" s="22"/>
      <c r="F742" s="22"/>
      <c r="G742" s="22"/>
      <c r="H742" s="22"/>
      <c r="I742" s="266"/>
      <c r="J742" s="272"/>
      <c r="K742" s="272"/>
      <c r="L742" s="272"/>
      <c r="M742" s="273"/>
      <c r="N742" s="273"/>
      <c r="O742" s="273"/>
      <c r="P742" s="27"/>
      <c r="Q742" s="27"/>
      <c r="R742" s="27"/>
      <c r="S742" s="22"/>
      <c r="T742" s="22"/>
      <c r="U742" s="28"/>
    </row>
    <row r="743" ht="15.75" customHeight="1">
      <c r="A743" s="189"/>
      <c r="B743" s="22"/>
      <c r="C743" s="22"/>
      <c r="D743" s="22"/>
      <c r="E743" s="22"/>
      <c r="F743" s="22"/>
      <c r="G743" s="22"/>
      <c r="H743" s="22"/>
      <c r="I743" s="266"/>
      <c r="J743" s="272"/>
      <c r="K743" s="272"/>
      <c r="L743" s="272"/>
      <c r="M743" s="273"/>
      <c r="N743" s="273"/>
      <c r="O743" s="273"/>
      <c r="P743" s="27"/>
      <c r="Q743" s="27"/>
      <c r="R743" s="27"/>
      <c r="S743" s="22"/>
      <c r="T743" s="22"/>
      <c r="U743" s="28"/>
    </row>
    <row r="744" ht="15.75" customHeight="1">
      <c r="A744" s="189"/>
      <c r="B744" s="22"/>
      <c r="C744" s="22"/>
      <c r="D744" s="22"/>
      <c r="E744" s="22"/>
      <c r="F744" s="22"/>
      <c r="G744" s="22"/>
      <c r="H744" s="22"/>
      <c r="I744" s="266"/>
      <c r="J744" s="272"/>
      <c r="K744" s="272"/>
      <c r="L744" s="272"/>
      <c r="M744" s="273"/>
      <c r="N744" s="273"/>
      <c r="O744" s="273"/>
      <c r="P744" s="27"/>
      <c r="Q744" s="27"/>
      <c r="R744" s="27"/>
      <c r="S744" s="22"/>
      <c r="T744" s="22"/>
      <c r="U744" s="28"/>
    </row>
    <row r="745" ht="15.75" customHeight="1">
      <c r="A745" s="189"/>
      <c r="B745" s="22"/>
      <c r="C745" s="22"/>
      <c r="D745" s="22"/>
      <c r="E745" s="22"/>
      <c r="F745" s="22"/>
      <c r="G745" s="22"/>
      <c r="H745" s="22"/>
      <c r="I745" s="266"/>
      <c r="J745" s="272"/>
      <c r="K745" s="272"/>
      <c r="L745" s="272"/>
      <c r="M745" s="273"/>
      <c r="N745" s="273"/>
      <c r="O745" s="273"/>
      <c r="P745" s="27"/>
      <c r="Q745" s="27"/>
      <c r="R745" s="27"/>
      <c r="S745" s="22"/>
      <c r="T745" s="22"/>
      <c r="U745" s="28"/>
    </row>
    <row r="746" ht="15.75" customHeight="1">
      <c r="A746" s="189"/>
      <c r="B746" s="22"/>
      <c r="C746" s="22"/>
      <c r="D746" s="22"/>
      <c r="E746" s="22"/>
      <c r="F746" s="22"/>
      <c r="G746" s="22"/>
      <c r="H746" s="22"/>
      <c r="I746" s="266"/>
      <c r="J746" s="272"/>
      <c r="K746" s="272"/>
      <c r="L746" s="272"/>
      <c r="M746" s="273"/>
      <c r="N746" s="273"/>
      <c r="O746" s="273"/>
      <c r="P746" s="27"/>
      <c r="Q746" s="27"/>
      <c r="R746" s="27"/>
      <c r="S746" s="22"/>
      <c r="T746" s="22"/>
      <c r="U746" s="28"/>
    </row>
    <row r="747" ht="15.75" customHeight="1">
      <c r="A747" s="189"/>
      <c r="B747" s="22"/>
      <c r="C747" s="22"/>
      <c r="D747" s="22"/>
      <c r="E747" s="22"/>
      <c r="F747" s="22"/>
      <c r="G747" s="22"/>
      <c r="H747" s="22"/>
      <c r="I747" s="266"/>
      <c r="J747" s="272"/>
      <c r="K747" s="272"/>
      <c r="L747" s="272"/>
      <c r="M747" s="273"/>
      <c r="N747" s="273"/>
      <c r="O747" s="273"/>
      <c r="P747" s="27"/>
      <c r="Q747" s="27"/>
      <c r="R747" s="27"/>
      <c r="S747" s="22"/>
      <c r="T747" s="22"/>
      <c r="U747" s="28"/>
    </row>
    <row r="748" ht="15.75" customHeight="1">
      <c r="A748" s="189"/>
      <c r="B748" s="22"/>
      <c r="C748" s="22"/>
      <c r="D748" s="22"/>
      <c r="E748" s="22"/>
      <c r="F748" s="22"/>
      <c r="G748" s="22"/>
      <c r="H748" s="22"/>
      <c r="I748" s="266"/>
      <c r="J748" s="272"/>
      <c r="K748" s="272"/>
      <c r="L748" s="272"/>
      <c r="M748" s="273"/>
      <c r="N748" s="273"/>
      <c r="O748" s="273"/>
      <c r="P748" s="27"/>
      <c r="Q748" s="27"/>
      <c r="R748" s="27"/>
      <c r="S748" s="22"/>
      <c r="T748" s="22"/>
      <c r="U748" s="28"/>
    </row>
    <row r="749" ht="15.75" customHeight="1">
      <c r="A749" s="189"/>
      <c r="B749" s="22"/>
      <c r="C749" s="22"/>
      <c r="D749" s="22"/>
      <c r="E749" s="22"/>
      <c r="F749" s="22"/>
      <c r="G749" s="22"/>
      <c r="H749" s="22"/>
      <c r="I749" s="266"/>
      <c r="J749" s="272"/>
      <c r="K749" s="272"/>
      <c r="L749" s="272"/>
      <c r="M749" s="273"/>
      <c r="N749" s="273"/>
      <c r="O749" s="273"/>
      <c r="P749" s="27"/>
      <c r="Q749" s="27"/>
      <c r="R749" s="27"/>
      <c r="S749" s="22"/>
      <c r="T749" s="22"/>
      <c r="U749" s="28"/>
    </row>
    <row r="750" ht="15.75" customHeight="1">
      <c r="A750" s="189"/>
      <c r="B750" s="22"/>
      <c r="C750" s="22"/>
      <c r="D750" s="22"/>
      <c r="E750" s="22"/>
      <c r="F750" s="22"/>
      <c r="G750" s="22"/>
      <c r="H750" s="22"/>
      <c r="I750" s="266"/>
      <c r="J750" s="272"/>
      <c r="K750" s="272"/>
      <c r="L750" s="272"/>
      <c r="M750" s="273"/>
      <c r="N750" s="273"/>
      <c r="O750" s="273"/>
      <c r="P750" s="27"/>
      <c r="Q750" s="27"/>
      <c r="R750" s="27"/>
      <c r="S750" s="22"/>
      <c r="T750" s="22"/>
      <c r="U750" s="28"/>
    </row>
    <row r="751" ht="15.75" customHeight="1">
      <c r="A751" s="189"/>
      <c r="B751" s="22"/>
      <c r="C751" s="22"/>
      <c r="D751" s="22"/>
      <c r="E751" s="22"/>
      <c r="F751" s="22"/>
      <c r="G751" s="22"/>
      <c r="H751" s="22"/>
      <c r="I751" s="266"/>
      <c r="J751" s="272"/>
      <c r="K751" s="272"/>
      <c r="L751" s="272"/>
      <c r="M751" s="273"/>
      <c r="N751" s="273"/>
      <c r="O751" s="273"/>
      <c r="P751" s="27"/>
      <c r="Q751" s="27"/>
      <c r="R751" s="27"/>
      <c r="S751" s="22"/>
      <c r="T751" s="22"/>
      <c r="U751" s="28"/>
    </row>
    <row r="752" ht="15.75" customHeight="1">
      <c r="A752" s="189"/>
      <c r="B752" s="22"/>
      <c r="C752" s="22"/>
      <c r="D752" s="22"/>
      <c r="E752" s="22"/>
      <c r="F752" s="22"/>
      <c r="G752" s="22"/>
      <c r="H752" s="22"/>
      <c r="I752" s="266"/>
      <c r="J752" s="272"/>
      <c r="K752" s="272"/>
      <c r="L752" s="272"/>
      <c r="M752" s="273"/>
      <c r="N752" s="273"/>
      <c r="O752" s="273"/>
      <c r="P752" s="27"/>
      <c r="Q752" s="27"/>
      <c r="R752" s="27"/>
      <c r="S752" s="22"/>
      <c r="T752" s="22"/>
      <c r="U752" s="28"/>
    </row>
    <row r="753" ht="15.75" customHeight="1">
      <c r="A753" s="189"/>
      <c r="B753" s="22"/>
      <c r="C753" s="22"/>
      <c r="D753" s="22"/>
      <c r="E753" s="22"/>
      <c r="F753" s="22"/>
      <c r="G753" s="22"/>
      <c r="H753" s="22"/>
      <c r="I753" s="266"/>
      <c r="J753" s="272"/>
      <c r="K753" s="272"/>
      <c r="L753" s="272"/>
      <c r="M753" s="273"/>
      <c r="N753" s="273"/>
      <c r="O753" s="273"/>
      <c r="P753" s="27"/>
      <c r="Q753" s="27"/>
      <c r="R753" s="27"/>
      <c r="S753" s="22"/>
      <c r="T753" s="22"/>
      <c r="U753" s="28"/>
    </row>
    <row r="754" ht="15.75" customHeight="1">
      <c r="A754" s="189"/>
      <c r="B754" s="22"/>
      <c r="C754" s="22"/>
      <c r="D754" s="22"/>
      <c r="E754" s="22"/>
      <c r="F754" s="22"/>
      <c r="G754" s="22"/>
      <c r="H754" s="22"/>
      <c r="I754" s="266"/>
      <c r="J754" s="272"/>
      <c r="K754" s="272"/>
      <c r="L754" s="272"/>
      <c r="M754" s="273"/>
      <c r="N754" s="273"/>
      <c r="O754" s="273"/>
      <c r="P754" s="27"/>
      <c r="Q754" s="27"/>
      <c r="R754" s="27"/>
      <c r="S754" s="22"/>
      <c r="T754" s="22"/>
      <c r="U754" s="28"/>
    </row>
    <row r="755" ht="15.75" customHeight="1">
      <c r="A755" s="189"/>
      <c r="B755" s="22"/>
      <c r="C755" s="22"/>
      <c r="D755" s="22"/>
      <c r="E755" s="22"/>
      <c r="F755" s="22"/>
      <c r="G755" s="22"/>
      <c r="H755" s="22"/>
      <c r="I755" s="266"/>
      <c r="J755" s="272"/>
      <c r="K755" s="272"/>
      <c r="L755" s="272"/>
      <c r="M755" s="273"/>
      <c r="N755" s="273"/>
      <c r="O755" s="273"/>
      <c r="P755" s="27"/>
      <c r="Q755" s="27"/>
      <c r="R755" s="27"/>
      <c r="S755" s="22"/>
      <c r="T755" s="22"/>
      <c r="U755" s="28"/>
    </row>
    <row r="756" ht="15.75" customHeight="1">
      <c r="A756" s="189"/>
      <c r="B756" s="22"/>
      <c r="C756" s="22"/>
      <c r="D756" s="22"/>
      <c r="E756" s="22"/>
      <c r="F756" s="22"/>
      <c r="G756" s="22"/>
      <c r="H756" s="22"/>
      <c r="I756" s="266"/>
      <c r="J756" s="272"/>
      <c r="K756" s="272"/>
      <c r="L756" s="272"/>
      <c r="M756" s="273"/>
      <c r="N756" s="273"/>
      <c r="O756" s="273"/>
      <c r="P756" s="27"/>
      <c r="Q756" s="27"/>
      <c r="R756" s="27"/>
      <c r="S756" s="22"/>
      <c r="T756" s="22"/>
      <c r="U756" s="28"/>
    </row>
    <row r="757" ht="15.75" customHeight="1">
      <c r="A757" s="189"/>
      <c r="B757" s="22"/>
      <c r="C757" s="22"/>
      <c r="D757" s="22"/>
      <c r="E757" s="22"/>
      <c r="F757" s="22"/>
      <c r="G757" s="22"/>
      <c r="H757" s="22"/>
      <c r="I757" s="266"/>
      <c r="J757" s="272"/>
      <c r="K757" s="272"/>
      <c r="L757" s="272"/>
      <c r="M757" s="273"/>
      <c r="N757" s="273"/>
      <c r="O757" s="273"/>
      <c r="P757" s="27"/>
      <c r="Q757" s="27"/>
      <c r="R757" s="27"/>
      <c r="S757" s="22"/>
      <c r="T757" s="22"/>
      <c r="U757" s="28"/>
    </row>
    <row r="758" ht="15.75" customHeight="1">
      <c r="A758" s="189"/>
      <c r="B758" s="22"/>
      <c r="C758" s="22"/>
      <c r="D758" s="22"/>
      <c r="E758" s="22"/>
      <c r="F758" s="22"/>
      <c r="G758" s="22"/>
      <c r="H758" s="22"/>
      <c r="I758" s="266"/>
      <c r="J758" s="272"/>
      <c r="K758" s="272"/>
      <c r="L758" s="272"/>
      <c r="M758" s="273"/>
      <c r="N758" s="273"/>
      <c r="O758" s="273"/>
      <c r="P758" s="27"/>
      <c r="Q758" s="27"/>
      <c r="R758" s="27"/>
      <c r="S758" s="22"/>
      <c r="T758" s="22"/>
      <c r="U758" s="28"/>
    </row>
    <row r="759" ht="15.75" customHeight="1">
      <c r="A759" s="189"/>
      <c r="B759" s="22"/>
      <c r="C759" s="22"/>
      <c r="D759" s="22"/>
      <c r="E759" s="22"/>
      <c r="F759" s="22"/>
      <c r="G759" s="22"/>
      <c r="H759" s="22"/>
      <c r="I759" s="266"/>
      <c r="J759" s="272"/>
      <c r="K759" s="272"/>
      <c r="L759" s="272"/>
      <c r="M759" s="273"/>
      <c r="N759" s="273"/>
      <c r="O759" s="273"/>
      <c r="P759" s="27"/>
      <c r="Q759" s="27"/>
      <c r="R759" s="27"/>
      <c r="S759" s="22"/>
      <c r="T759" s="22"/>
      <c r="U759" s="28"/>
    </row>
    <row r="760" ht="15.75" customHeight="1">
      <c r="A760" s="189"/>
      <c r="B760" s="22"/>
      <c r="C760" s="22"/>
      <c r="D760" s="22"/>
      <c r="E760" s="22"/>
      <c r="F760" s="22"/>
      <c r="G760" s="22"/>
      <c r="H760" s="22"/>
      <c r="I760" s="266"/>
      <c r="J760" s="272"/>
      <c r="K760" s="272"/>
      <c r="L760" s="272"/>
      <c r="M760" s="273"/>
      <c r="N760" s="273"/>
      <c r="O760" s="273"/>
      <c r="P760" s="27"/>
      <c r="Q760" s="27"/>
      <c r="R760" s="27"/>
      <c r="S760" s="22"/>
      <c r="T760" s="22"/>
      <c r="U760" s="28"/>
    </row>
    <row r="761" ht="15.75" customHeight="1">
      <c r="A761" s="189"/>
      <c r="B761" s="22"/>
      <c r="C761" s="22"/>
      <c r="D761" s="22"/>
      <c r="E761" s="22"/>
      <c r="F761" s="22"/>
      <c r="G761" s="22"/>
      <c r="H761" s="22"/>
      <c r="I761" s="266"/>
      <c r="J761" s="272"/>
      <c r="K761" s="272"/>
      <c r="L761" s="272"/>
      <c r="M761" s="273"/>
      <c r="N761" s="273"/>
      <c r="O761" s="273"/>
      <c r="P761" s="27"/>
      <c r="Q761" s="27"/>
      <c r="R761" s="27"/>
      <c r="S761" s="22"/>
      <c r="T761" s="22"/>
      <c r="U761" s="28"/>
    </row>
    <row r="762" ht="15.75" customHeight="1">
      <c r="A762" s="189"/>
      <c r="B762" s="22"/>
      <c r="C762" s="22"/>
      <c r="D762" s="22"/>
      <c r="E762" s="22"/>
      <c r="F762" s="22"/>
      <c r="G762" s="22"/>
      <c r="H762" s="22"/>
      <c r="I762" s="266"/>
      <c r="J762" s="272"/>
      <c r="K762" s="272"/>
      <c r="L762" s="272"/>
      <c r="M762" s="273"/>
      <c r="N762" s="273"/>
      <c r="O762" s="273"/>
      <c r="P762" s="27"/>
      <c r="Q762" s="27"/>
      <c r="R762" s="27"/>
      <c r="S762" s="22"/>
      <c r="T762" s="22"/>
      <c r="U762" s="28"/>
    </row>
    <row r="763" ht="15.75" customHeight="1">
      <c r="A763" s="189"/>
      <c r="B763" s="22"/>
      <c r="C763" s="22"/>
      <c r="D763" s="22"/>
      <c r="E763" s="22"/>
      <c r="F763" s="22"/>
      <c r="G763" s="22"/>
      <c r="H763" s="22"/>
      <c r="I763" s="266"/>
      <c r="J763" s="272"/>
      <c r="K763" s="272"/>
      <c r="L763" s="272"/>
      <c r="M763" s="273"/>
      <c r="N763" s="273"/>
      <c r="O763" s="273"/>
      <c r="P763" s="27"/>
      <c r="Q763" s="27"/>
      <c r="R763" s="27"/>
      <c r="S763" s="22"/>
      <c r="T763" s="22"/>
      <c r="U763" s="28"/>
    </row>
    <row r="764" ht="15.75" customHeight="1">
      <c r="A764" s="189"/>
      <c r="B764" s="22"/>
      <c r="C764" s="22"/>
      <c r="D764" s="22"/>
      <c r="E764" s="22"/>
      <c r="F764" s="22"/>
      <c r="G764" s="22"/>
      <c r="H764" s="22"/>
      <c r="I764" s="266"/>
      <c r="J764" s="272"/>
      <c r="K764" s="272"/>
      <c r="L764" s="272"/>
      <c r="M764" s="273"/>
      <c r="N764" s="273"/>
      <c r="O764" s="273"/>
      <c r="P764" s="27"/>
      <c r="Q764" s="27"/>
      <c r="R764" s="27"/>
      <c r="S764" s="22"/>
      <c r="T764" s="22"/>
      <c r="U764" s="28"/>
    </row>
    <row r="765" ht="15.75" customHeight="1">
      <c r="A765" s="189"/>
      <c r="B765" s="22"/>
      <c r="C765" s="22"/>
      <c r="D765" s="22"/>
      <c r="E765" s="22"/>
      <c r="F765" s="22"/>
      <c r="G765" s="22"/>
      <c r="H765" s="22"/>
      <c r="I765" s="266"/>
      <c r="J765" s="272"/>
      <c r="K765" s="272"/>
      <c r="L765" s="272"/>
      <c r="M765" s="273"/>
      <c r="N765" s="273"/>
      <c r="O765" s="273"/>
      <c r="P765" s="27"/>
      <c r="Q765" s="27"/>
      <c r="R765" s="27"/>
      <c r="S765" s="22"/>
      <c r="T765" s="22"/>
      <c r="U765" s="28"/>
    </row>
    <row r="766" ht="15.75" customHeight="1">
      <c r="A766" s="189"/>
      <c r="B766" s="22"/>
      <c r="C766" s="22"/>
      <c r="D766" s="22"/>
      <c r="E766" s="22"/>
      <c r="F766" s="22"/>
      <c r="G766" s="22"/>
      <c r="H766" s="22"/>
      <c r="I766" s="266"/>
      <c r="J766" s="272"/>
      <c r="K766" s="272"/>
      <c r="L766" s="272"/>
      <c r="M766" s="273"/>
      <c r="N766" s="273"/>
      <c r="O766" s="273"/>
      <c r="P766" s="27"/>
      <c r="Q766" s="27"/>
      <c r="R766" s="27"/>
      <c r="S766" s="22"/>
      <c r="T766" s="22"/>
      <c r="U766" s="28"/>
    </row>
    <row r="767" ht="15.75" customHeight="1">
      <c r="A767" s="189"/>
      <c r="B767" s="22"/>
      <c r="C767" s="22"/>
      <c r="D767" s="22"/>
      <c r="E767" s="22"/>
      <c r="F767" s="22"/>
      <c r="G767" s="22"/>
      <c r="H767" s="22"/>
      <c r="I767" s="266"/>
      <c r="J767" s="272"/>
      <c r="K767" s="272"/>
      <c r="L767" s="272"/>
      <c r="M767" s="273"/>
      <c r="N767" s="273"/>
      <c r="O767" s="273"/>
      <c r="P767" s="27"/>
      <c r="Q767" s="27"/>
      <c r="R767" s="27"/>
      <c r="S767" s="22"/>
      <c r="T767" s="22"/>
      <c r="U767" s="28"/>
    </row>
    <row r="768" ht="15.75" customHeight="1">
      <c r="A768" s="189"/>
      <c r="B768" s="22"/>
      <c r="C768" s="22"/>
      <c r="D768" s="22"/>
      <c r="E768" s="22"/>
      <c r="F768" s="22"/>
      <c r="G768" s="22"/>
      <c r="H768" s="22"/>
      <c r="I768" s="266"/>
      <c r="J768" s="272"/>
      <c r="K768" s="272"/>
      <c r="L768" s="272"/>
      <c r="M768" s="273"/>
      <c r="N768" s="273"/>
      <c r="O768" s="273"/>
      <c r="P768" s="27"/>
      <c r="Q768" s="27"/>
      <c r="R768" s="27"/>
      <c r="S768" s="22"/>
      <c r="T768" s="22"/>
      <c r="U768" s="28"/>
    </row>
    <row r="769" ht="15.75" customHeight="1">
      <c r="A769" s="189"/>
      <c r="B769" s="22"/>
      <c r="C769" s="22"/>
      <c r="D769" s="22"/>
      <c r="E769" s="22"/>
      <c r="F769" s="22"/>
      <c r="G769" s="22"/>
      <c r="H769" s="22"/>
      <c r="I769" s="266"/>
      <c r="J769" s="272"/>
      <c r="K769" s="272"/>
      <c r="L769" s="272"/>
      <c r="M769" s="273"/>
      <c r="N769" s="273"/>
      <c r="O769" s="273"/>
      <c r="P769" s="27"/>
      <c r="Q769" s="27"/>
      <c r="R769" s="27"/>
      <c r="S769" s="22"/>
      <c r="T769" s="22"/>
      <c r="U769" s="28"/>
    </row>
    <row r="770" ht="15.75" customHeight="1">
      <c r="A770" s="189"/>
      <c r="B770" s="22"/>
      <c r="C770" s="22"/>
      <c r="D770" s="22"/>
      <c r="E770" s="22"/>
      <c r="F770" s="22"/>
      <c r="G770" s="22"/>
      <c r="H770" s="22"/>
      <c r="I770" s="266"/>
      <c r="J770" s="272"/>
      <c r="K770" s="272"/>
      <c r="L770" s="272"/>
      <c r="M770" s="273"/>
      <c r="N770" s="273"/>
      <c r="O770" s="273"/>
      <c r="P770" s="27"/>
      <c r="Q770" s="27"/>
      <c r="R770" s="27"/>
      <c r="S770" s="22"/>
      <c r="T770" s="22"/>
      <c r="U770" s="28"/>
    </row>
    <row r="771" ht="15.75" customHeight="1">
      <c r="A771" s="189"/>
      <c r="B771" s="22"/>
      <c r="C771" s="22"/>
      <c r="D771" s="22"/>
      <c r="E771" s="22"/>
      <c r="F771" s="22"/>
      <c r="G771" s="22"/>
      <c r="H771" s="22"/>
      <c r="I771" s="266"/>
      <c r="J771" s="272"/>
      <c r="K771" s="272"/>
      <c r="L771" s="272"/>
      <c r="M771" s="273"/>
      <c r="N771" s="273"/>
      <c r="O771" s="273"/>
      <c r="P771" s="27"/>
      <c r="Q771" s="27"/>
      <c r="R771" s="27"/>
      <c r="S771" s="22"/>
      <c r="T771" s="22"/>
      <c r="U771" s="28"/>
    </row>
    <row r="772" ht="15.75" customHeight="1">
      <c r="A772" s="189"/>
      <c r="B772" s="22"/>
      <c r="C772" s="22"/>
      <c r="D772" s="22"/>
      <c r="E772" s="22"/>
      <c r="F772" s="22"/>
      <c r="G772" s="22"/>
      <c r="H772" s="22"/>
      <c r="I772" s="266"/>
      <c r="J772" s="272"/>
      <c r="K772" s="272"/>
      <c r="L772" s="272"/>
      <c r="M772" s="273"/>
      <c r="N772" s="273"/>
      <c r="O772" s="273"/>
      <c r="P772" s="27"/>
      <c r="Q772" s="27"/>
      <c r="R772" s="27"/>
      <c r="S772" s="22"/>
      <c r="T772" s="22"/>
      <c r="U772" s="28"/>
    </row>
    <row r="773" ht="15.75" customHeight="1">
      <c r="A773" s="189"/>
      <c r="B773" s="22"/>
      <c r="C773" s="22"/>
      <c r="D773" s="22"/>
      <c r="E773" s="22"/>
      <c r="F773" s="22"/>
      <c r="G773" s="22"/>
      <c r="H773" s="22"/>
      <c r="I773" s="266"/>
      <c r="J773" s="272"/>
      <c r="K773" s="272"/>
      <c r="L773" s="272"/>
      <c r="M773" s="273"/>
      <c r="N773" s="273"/>
      <c r="O773" s="273"/>
      <c r="P773" s="27"/>
      <c r="Q773" s="27"/>
      <c r="R773" s="27"/>
      <c r="S773" s="22"/>
      <c r="T773" s="22"/>
      <c r="U773" s="28"/>
    </row>
    <row r="774" ht="15.75" customHeight="1">
      <c r="A774" s="189"/>
      <c r="B774" s="22"/>
      <c r="C774" s="22"/>
      <c r="D774" s="22"/>
      <c r="E774" s="22"/>
      <c r="F774" s="22"/>
      <c r="G774" s="22"/>
      <c r="H774" s="22"/>
      <c r="I774" s="266"/>
      <c r="J774" s="272"/>
      <c r="K774" s="272"/>
      <c r="L774" s="272"/>
      <c r="M774" s="273"/>
      <c r="N774" s="273"/>
      <c r="O774" s="273"/>
      <c r="P774" s="27"/>
      <c r="Q774" s="27"/>
      <c r="R774" s="27"/>
      <c r="S774" s="22"/>
      <c r="T774" s="22"/>
      <c r="U774" s="28"/>
    </row>
    <row r="775" ht="15.75" customHeight="1">
      <c r="A775" s="189"/>
      <c r="B775" s="22"/>
      <c r="C775" s="22"/>
      <c r="D775" s="22"/>
      <c r="E775" s="22"/>
      <c r="F775" s="22"/>
      <c r="G775" s="22"/>
      <c r="H775" s="22"/>
      <c r="I775" s="266"/>
      <c r="J775" s="272"/>
      <c r="K775" s="272"/>
      <c r="L775" s="272"/>
      <c r="M775" s="273"/>
      <c r="N775" s="273"/>
      <c r="O775" s="273"/>
      <c r="P775" s="27"/>
      <c r="Q775" s="27"/>
      <c r="R775" s="27"/>
      <c r="S775" s="22"/>
      <c r="T775" s="22"/>
      <c r="U775" s="28"/>
    </row>
    <row r="776" ht="15.75" customHeight="1">
      <c r="A776" s="189"/>
      <c r="B776" s="22"/>
      <c r="C776" s="22"/>
      <c r="D776" s="22"/>
      <c r="E776" s="22"/>
      <c r="F776" s="22"/>
      <c r="G776" s="22"/>
      <c r="H776" s="22"/>
      <c r="I776" s="266"/>
      <c r="J776" s="272"/>
      <c r="K776" s="272"/>
      <c r="L776" s="272"/>
      <c r="M776" s="273"/>
      <c r="N776" s="273"/>
      <c r="O776" s="273"/>
      <c r="P776" s="27"/>
      <c r="Q776" s="27"/>
      <c r="R776" s="27"/>
      <c r="S776" s="22"/>
      <c r="T776" s="22"/>
      <c r="U776" s="28"/>
    </row>
    <row r="777" ht="15.75" customHeight="1">
      <c r="A777" s="189"/>
      <c r="B777" s="22"/>
      <c r="C777" s="22"/>
      <c r="D777" s="22"/>
      <c r="E777" s="22"/>
      <c r="F777" s="22"/>
      <c r="G777" s="22"/>
      <c r="H777" s="22"/>
      <c r="I777" s="266"/>
      <c r="J777" s="272"/>
      <c r="K777" s="272"/>
      <c r="L777" s="272"/>
      <c r="M777" s="273"/>
      <c r="N777" s="273"/>
      <c r="O777" s="273"/>
      <c r="P777" s="27"/>
      <c r="Q777" s="27"/>
      <c r="R777" s="27"/>
      <c r="S777" s="22"/>
      <c r="T777" s="22"/>
      <c r="U777" s="28"/>
    </row>
    <row r="778" ht="15.75" customHeight="1">
      <c r="A778" s="189"/>
      <c r="B778" s="22"/>
      <c r="C778" s="22"/>
      <c r="D778" s="22"/>
      <c r="E778" s="22"/>
      <c r="F778" s="22"/>
      <c r="G778" s="22"/>
      <c r="H778" s="22"/>
      <c r="I778" s="266"/>
      <c r="J778" s="272"/>
      <c r="K778" s="272"/>
      <c r="L778" s="272"/>
      <c r="M778" s="273"/>
      <c r="N778" s="273"/>
      <c r="O778" s="273"/>
      <c r="P778" s="27"/>
      <c r="Q778" s="27"/>
      <c r="R778" s="27"/>
      <c r="S778" s="22"/>
      <c r="T778" s="22"/>
      <c r="U778" s="28"/>
    </row>
    <row r="779" ht="15.75" customHeight="1">
      <c r="A779" s="189"/>
      <c r="B779" s="22"/>
      <c r="C779" s="22"/>
      <c r="D779" s="22"/>
      <c r="E779" s="22"/>
      <c r="F779" s="22"/>
      <c r="G779" s="22"/>
      <c r="H779" s="22"/>
      <c r="I779" s="266"/>
      <c r="J779" s="272"/>
      <c r="K779" s="272"/>
      <c r="L779" s="272"/>
      <c r="M779" s="273"/>
      <c r="N779" s="273"/>
      <c r="O779" s="273"/>
      <c r="P779" s="27"/>
      <c r="Q779" s="27"/>
      <c r="R779" s="27"/>
      <c r="S779" s="22"/>
      <c r="T779" s="22"/>
      <c r="U779" s="28"/>
    </row>
    <row r="780" ht="15.75" customHeight="1">
      <c r="A780" s="189"/>
      <c r="B780" s="22"/>
      <c r="C780" s="22"/>
      <c r="D780" s="22"/>
      <c r="E780" s="22"/>
      <c r="F780" s="22"/>
      <c r="G780" s="22"/>
      <c r="H780" s="22"/>
      <c r="I780" s="266"/>
      <c r="J780" s="272"/>
      <c r="K780" s="272"/>
      <c r="L780" s="272"/>
      <c r="M780" s="273"/>
      <c r="N780" s="273"/>
      <c r="O780" s="273"/>
      <c r="P780" s="27"/>
      <c r="Q780" s="27"/>
      <c r="R780" s="27"/>
      <c r="S780" s="22"/>
      <c r="T780" s="22"/>
      <c r="U780" s="28"/>
    </row>
    <row r="781" ht="15.75" customHeight="1">
      <c r="A781" s="189"/>
      <c r="B781" s="22"/>
      <c r="C781" s="22"/>
      <c r="D781" s="22"/>
      <c r="E781" s="22"/>
      <c r="F781" s="22"/>
      <c r="G781" s="22"/>
      <c r="H781" s="22"/>
      <c r="I781" s="266"/>
      <c r="J781" s="272"/>
      <c r="K781" s="272"/>
      <c r="L781" s="272"/>
      <c r="M781" s="273"/>
      <c r="N781" s="273"/>
      <c r="O781" s="273"/>
      <c r="P781" s="27"/>
      <c r="Q781" s="27"/>
      <c r="R781" s="27"/>
      <c r="S781" s="22"/>
      <c r="T781" s="22"/>
      <c r="U781" s="28"/>
    </row>
    <row r="782" ht="15.75" customHeight="1">
      <c r="A782" s="189"/>
      <c r="B782" s="22"/>
      <c r="C782" s="22"/>
      <c r="D782" s="22"/>
      <c r="E782" s="22"/>
      <c r="F782" s="22"/>
      <c r="G782" s="22"/>
      <c r="H782" s="22"/>
      <c r="I782" s="266"/>
      <c r="J782" s="272"/>
      <c r="K782" s="272"/>
      <c r="L782" s="272"/>
      <c r="M782" s="273"/>
      <c r="N782" s="273"/>
      <c r="O782" s="273"/>
      <c r="P782" s="27"/>
      <c r="Q782" s="27"/>
      <c r="R782" s="27"/>
      <c r="S782" s="22"/>
      <c r="T782" s="22"/>
      <c r="U782" s="28"/>
    </row>
    <row r="783" ht="15.75" customHeight="1">
      <c r="A783" s="189"/>
      <c r="B783" s="22"/>
      <c r="C783" s="22"/>
      <c r="D783" s="22"/>
      <c r="E783" s="22"/>
      <c r="F783" s="22"/>
      <c r="G783" s="22"/>
      <c r="H783" s="22"/>
      <c r="I783" s="266"/>
      <c r="J783" s="272"/>
      <c r="K783" s="272"/>
      <c r="L783" s="272"/>
      <c r="M783" s="273"/>
      <c r="N783" s="273"/>
      <c r="O783" s="273"/>
      <c r="P783" s="27"/>
      <c r="Q783" s="27"/>
      <c r="R783" s="27"/>
      <c r="S783" s="22"/>
      <c r="T783" s="22"/>
      <c r="U783" s="28"/>
    </row>
    <row r="784" ht="15.75" customHeight="1">
      <c r="A784" s="189"/>
      <c r="B784" s="22"/>
      <c r="C784" s="22"/>
      <c r="D784" s="22"/>
      <c r="E784" s="22"/>
      <c r="F784" s="22"/>
      <c r="G784" s="22"/>
      <c r="H784" s="22"/>
      <c r="I784" s="266"/>
      <c r="J784" s="272"/>
      <c r="K784" s="272"/>
      <c r="L784" s="272"/>
      <c r="M784" s="273"/>
      <c r="N784" s="273"/>
      <c r="O784" s="273"/>
      <c r="P784" s="27"/>
      <c r="Q784" s="27"/>
      <c r="R784" s="27"/>
      <c r="S784" s="22"/>
      <c r="T784" s="22"/>
      <c r="U784" s="28"/>
    </row>
    <row r="785" ht="15.75" customHeight="1">
      <c r="A785" s="189"/>
      <c r="B785" s="22"/>
      <c r="C785" s="22"/>
      <c r="D785" s="22"/>
      <c r="E785" s="22"/>
      <c r="F785" s="22"/>
      <c r="G785" s="22"/>
      <c r="H785" s="22"/>
      <c r="I785" s="266"/>
      <c r="J785" s="272"/>
      <c r="K785" s="272"/>
      <c r="L785" s="272"/>
      <c r="M785" s="273"/>
      <c r="N785" s="273"/>
      <c r="O785" s="273"/>
      <c r="P785" s="27"/>
      <c r="Q785" s="27"/>
      <c r="R785" s="27"/>
      <c r="S785" s="22"/>
      <c r="T785" s="22"/>
      <c r="U785" s="28"/>
    </row>
    <row r="786" ht="15.75" customHeight="1">
      <c r="A786" s="189"/>
      <c r="B786" s="22"/>
      <c r="C786" s="22"/>
      <c r="D786" s="22"/>
      <c r="E786" s="22"/>
      <c r="F786" s="22"/>
      <c r="G786" s="22"/>
      <c r="H786" s="22"/>
      <c r="I786" s="266"/>
      <c r="J786" s="272"/>
      <c r="K786" s="272"/>
      <c r="L786" s="272"/>
      <c r="M786" s="273"/>
      <c r="N786" s="273"/>
      <c r="O786" s="273"/>
      <c r="P786" s="27"/>
      <c r="Q786" s="27"/>
      <c r="R786" s="27"/>
      <c r="S786" s="22"/>
      <c r="T786" s="22"/>
      <c r="U786" s="28"/>
    </row>
    <row r="787" ht="15.75" customHeight="1">
      <c r="A787" s="189"/>
      <c r="B787" s="22"/>
      <c r="C787" s="22"/>
      <c r="D787" s="22"/>
      <c r="E787" s="22"/>
      <c r="F787" s="22"/>
      <c r="G787" s="22"/>
      <c r="H787" s="22"/>
      <c r="I787" s="266"/>
      <c r="J787" s="272"/>
      <c r="K787" s="272"/>
      <c r="L787" s="272"/>
      <c r="M787" s="273"/>
      <c r="N787" s="273"/>
      <c r="O787" s="273"/>
      <c r="P787" s="27"/>
      <c r="Q787" s="27"/>
      <c r="R787" s="27"/>
      <c r="S787" s="22"/>
      <c r="T787" s="22"/>
      <c r="U787" s="28"/>
    </row>
    <row r="788" ht="15.75" customHeight="1">
      <c r="A788" s="189"/>
      <c r="B788" s="22"/>
      <c r="C788" s="22"/>
      <c r="D788" s="22"/>
      <c r="E788" s="22"/>
      <c r="F788" s="22"/>
      <c r="G788" s="22"/>
      <c r="H788" s="22"/>
      <c r="I788" s="266"/>
      <c r="J788" s="272"/>
      <c r="K788" s="272"/>
      <c r="L788" s="272"/>
      <c r="M788" s="273"/>
      <c r="N788" s="273"/>
      <c r="O788" s="273"/>
      <c r="P788" s="27"/>
      <c r="Q788" s="27"/>
      <c r="R788" s="27"/>
      <c r="S788" s="22"/>
      <c r="T788" s="22"/>
      <c r="U788" s="28"/>
    </row>
    <row r="789" ht="15.75" customHeight="1">
      <c r="A789" s="189"/>
      <c r="B789" s="22"/>
      <c r="C789" s="22"/>
      <c r="D789" s="22"/>
      <c r="E789" s="22"/>
      <c r="F789" s="22"/>
      <c r="G789" s="22"/>
      <c r="H789" s="22"/>
      <c r="I789" s="266"/>
      <c r="J789" s="272"/>
      <c r="K789" s="272"/>
      <c r="L789" s="272"/>
      <c r="M789" s="273"/>
      <c r="N789" s="273"/>
      <c r="O789" s="273"/>
      <c r="P789" s="27"/>
      <c r="Q789" s="27"/>
      <c r="R789" s="27"/>
      <c r="S789" s="22"/>
      <c r="T789" s="22"/>
      <c r="U789" s="28"/>
    </row>
    <row r="790" ht="15.75" customHeight="1">
      <c r="A790" s="189"/>
      <c r="B790" s="22"/>
      <c r="C790" s="22"/>
      <c r="D790" s="22"/>
      <c r="E790" s="22"/>
      <c r="F790" s="22"/>
      <c r="G790" s="22"/>
      <c r="H790" s="22"/>
      <c r="I790" s="266"/>
      <c r="J790" s="272"/>
      <c r="K790" s="272"/>
      <c r="L790" s="272"/>
      <c r="M790" s="273"/>
      <c r="N790" s="273"/>
      <c r="O790" s="273"/>
      <c r="P790" s="27"/>
      <c r="Q790" s="27"/>
      <c r="R790" s="27"/>
      <c r="S790" s="22"/>
      <c r="T790" s="22"/>
      <c r="U790" s="28"/>
    </row>
    <row r="791" ht="15.75" customHeight="1">
      <c r="A791" s="189"/>
      <c r="B791" s="22"/>
      <c r="C791" s="22"/>
      <c r="D791" s="22"/>
      <c r="E791" s="22"/>
      <c r="F791" s="22"/>
      <c r="G791" s="22"/>
      <c r="H791" s="22"/>
      <c r="I791" s="266"/>
      <c r="J791" s="272"/>
      <c r="K791" s="272"/>
      <c r="L791" s="272"/>
      <c r="M791" s="273"/>
      <c r="N791" s="273"/>
      <c r="O791" s="273"/>
      <c r="P791" s="27"/>
      <c r="Q791" s="27"/>
      <c r="R791" s="27"/>
      <c r="S791" s="22"/>
      <c r="T791" s="22"/>
      <c r="U791" s="28"/>
    </row>
    <row r="792" ht="15.75" customHeight="1">
      <c r="A792" s="189"/>
      <c r="B792" s="22"/>
      <c r="C792" s="22"/>
      <c r="D792" s="22"/>
      <c r="E792" s="22"/>
      <c r="F792" s="22"/>
      <c r="G792" s="22"/>
      <c r="H792" s="22"/>
      <c r="I792" s="266"/>
      <c r="J792" s="272"/>
      <c r="K792" s="272"/>
      <c r="L792" s="272"/>
      <c r="M792" s="273"/>
      <c r="N792" s="273"/>
      <c r="O792" s="273"/>
      <c r="P792" s="27"/>
      <c r="Q792" s="27"/>
      <c r="R792" s="27"/>
      <c r="S792" s="22"/>
      <c r="T792" s="22"/>
      <c r="U792" s="28"/>
    </row>
    <row r="793" ht="15.75" customHeight="1">
      <c r="A793" s="189"/>
      <c r="B793" s="22"/>
      <c r="C793" s="22"/>
      <c r="D793" s="22"/>
      <c r="E793" s="22"/>
      <c r="F793" s="22"/>
      <c r="G793" s="22"/>
      <c r="H793" s="22"/>
      <c r="I793" s="266"/>
      <c r="J793" s="272"/>
      <c r="K793" s="272"/>
      <c r="L793" s="272"/>
      <c r="M793" s="273"/>
      <c r="N793" s="273"/>
      <c r="O793" s="273"/>
      <c r="P793" s="27"/>
      <c r="Q793" s="27"/>
      <c r="R793" s="27"/>
      <c r="S793" s="22"/>
      <c r="T793" s="22"/>
      <c r="U793" s="28"/>
    </row>
    <row r="794" ht="15.75" customHeight="1">
      <c r="A794" s="189"/>
      <c r="B794" s="22"/>
      <c r="C794" s="22"/>
      <c r="D794" s="22"/>
      <c r="E794" s="22"/>
      <c r="F794" s="22"/>
      <c r="G794" s="22"/>
      <c r="H794" s="22"/>
      <c r="I794" s="266"/>
      <c r="J794" s="272"/>
      <c r="K794" s="272"/>
      <c r="L794" s="272"/>
      <c r="M794" s="273"/>
      <c r="N794" s="273"/>
      <c r="O794" s="273"/>
      <c r="P794" s="27"/>
      <c r="Q794" s="27"/>
      <c r="R794" s="27"/>
      <c r="S794" s="22"/>
      <c r="T794" s="22"/>
      <c r="U794" s="28"/>
    </row>
    <row r="795" ht="15.75" customHeight="1">
      <c r="A795" s="189"/>
      <c r="B795" s="22"/>
      <c r="C795" s="22"/>
      <c r="D795" s="22"/>
      <c r="E795" s="22"/>
      <c r="F795" s="22"/>
      <c r="G795" s="22"/>
      <c r="H795" s="22"/>
      <c r="I795" s="266"/>
      <c r="J795" s="272"/>
      <c r="K795" s="272"/>
      <c r="L795" s="272"/>
      <c r="M795" s="273"/>
      <c r="N795" s="273"/>
      <c r="O795" s="273"/>
      <c r="P795" s="27"/>
      <c r="Q795" s="27"/>
      <c r="R795" s="27"/>
      <c r="S795" s="22"/>
      <c r="T795" s="22"/>
      <c r="U795" s="28"/>
    </row>
    <row r="796" ht="15.75" customHeight="1">
      <c r="A796" s="189"/>
      <c r="B796" s="22"/>
      <c r="C796" s="22"/>
      <c r="D796" s="22"/>
      <c r="E796" s="22"/>
      <c r="F796" s="22"/>
      <c r="G796" s="22"/>
      <c r="H796" s="22"/>
      <c r="I796" s="266"/>
      <c r="J796" s="272"/>
      <c r="K796" s="272"/>
      <c r="L796" s="272"/>
      <c r="M796" s="273"/>
      <c r="N796" s="273"/>
      <c r="O796" s="273"/>
      <c r="P796" s="27"/>
      <c r="Q796" s="27"/>
      <c r="R796" s="27"/>
      <c r="S796" s="22"/>
      <c r="T796" s="22"/>
      <c r="U796" s="28"/>
    </row>
    <row r="797" ht="15.75" customHeight="1">
      <c r="A797" s="189"/>
      <c r="B797" s="22"/>
      <c r="C797" s="22"/>
      <c r="D797" s="22"/>
      <c r="E797" s="22"/>
      <c r="F797" s="22"/>
      <c r="G797" s="22"/>
      <c r="H797" s="22"/>
      <c r="I797" s="266"/>
      <c r="J797" s="272"/>
      <c r="K797" s="272"/>
      <c r="L797" s="272"/>
      <c r="M797" s="273"/>
      <c r="N797" s="273"/>
      <c r="O797" s="273"/>
      <c r="P797" s="27"/>
      <c r="Q797" s="27"/>
      <c r="R797" s="27"/>
      <c r="S797" s="22"/>
      <c r="T797" s="22"/>
      <c r="U797" s="28"/>
    </row>
    <row r="798" ht="15.75" customHeight="1">
      <c r="A798" s="189"/>
      <c r="B798" s="22"/>
      <c r="C798" s="22"/>
      <c r="D798" s="22"/>
      <c r="E798" s="22"/>
      <c r="F798" s="22"/>
      <c r="G798" s="22"/>
      <c r="H798" s="22"/>
      <c r="I798" s="266"/>
      <c r="J798" s="272"/>
      <c r="K798" s="272"/>
      <c r="L798" s="272"/>
      <c r="M798" s="273"/>
      <c r="N798" s="273"/>
      <c r="O798" s="273"/>
      <c r="P798" s="27"/>
      <c r="Q798" s="27"/>
      <c r="R798" s="27"/>
      <c r="S798" s="22"/>
      <c r="T798" s="22"/>
      <c r="U798" s="28"/>
    </row>
    <row r="799" ht="15.75" customHeight="1">
      <c r="A799" s="189"/>
      <c r="B799" s="22"/>
      <c r="C799" s="22"/>
      <c r="D799" s="22"/>
      <c r="E799" s="22"/>
      <c r="F799" s="22"/>
      <c r="G799" s="22"/>
      <c r="H799" s="22"/>
      <c r="I799" s="266"/>
      <c r="J799" s="272"/>
      <c r="K799" s="272"/>
      <c r="L799" s="272"/>
      <c r="M799" s="273"/>
      <c r="N799" s="273"/>
      <c r="O799" s="273"/>
      <c r="P799" s="27"/>
      <c r="Q799" s="27"/>
      <c r="R799" s="27"/>
      <c r="S799" s="22"/>
      <c r="T799" s="22"/>
      <c r="U799" s="28"/>
    </row>
    <row r="800" ht="15.75" customHeight="1">
      <c r="A800" s="189"/>
      <c r="B800" s="22"/>
      <c r="C800" s="22"/>
      <c r="D800" s="22"/>
      <c r="E800" s="22"/>
      <c r="F800" s="22"/>
      <c r="G800" s="22"/>
      <c r="H800" s="22"/>
      <c r="I800" s="266"/>
      <c r="J800" s="272"/>
      <c r="K800" s="272"/>
      <c r="L800" s="272"/>
      <c r="M800" s="273"/>
      <c r="N800" s="273"/>
      <c r="O800" s="273"/>
      <c r="P800" s="27"/>
      <c r="Q800" s="27"/>
      <c r="R800" s="27"/>
      <c r="S800" s="22"/>
      <c r="T800" s="22"/>
      <c r="U800" s="28"/>
    </row>
    <row r="801" ht="15.75" customHeight="1">
      <c r="A801" s="189"/>
      <c r="B801" s="22"/>
      <c r="C801" s="22"/>
      <c r="D801" s="22"/>
      <c r="E801" s="22"/>
      <c r="F801" s="22"/>
      <c r="G801" s="22"/>
      <c r="H801" s="22"/>
      <c r="I801" s="266"/>
      <c r="J801" s="272"/>
      <c r="K801" s="272"/>
      <c r="L801" s="272"/>
      <c r="M801" s="273"/>
      <c r="N801" s="273"/>
      <c r="O801" s="273"/>
      <c r="P801" s="27"/>
      <c r="Q801" s="27"/>
      <c r="R801" s="27"/>
      <c r="S801" s="22"/>
      <c r="T801" s="22"/>
      <c r="U801" s="28"/>
    </row>
    <row r="802" ht="15.75" customHeight="1">
      <c r="A802" s="189"/>
      <c r="B802" s="22"/>
      <c r="C802" s="22"/>
      <c r="D802" s="22"/>
      <c r="E802" s="22"/>
      <c r="F802" s="22"/>
      <c r="G802" s="22"/>
      <c r="H802" s="22"/>
      <c r="I802" s="266"/>
      <c r="J802" s="272"/>
      <c r="K802" s="272"/>
      <c r="L802" s="272"/>
      <c r="M802" s="273"/>
      <c r="N802" s="273"/>
      <c r="O802" s="273"/>
      <c r="P802" s="27"/>
      <c r="Q802" s="27"/>
      <c r="R802" s="27"/>
      <c r="S802" s="22"/>
      <c r="T802" s="22"/>
      <c r="U802" s="28"/>
    </row>
    <row r="803" ht="15.75" customHeight="1">
      <c r="A803" s="189"/>
      <c r="B803" s="22"/>
      <c r="C803" s="22"/>
      <c r="D803" s="22"/>
      <c r="E803" s="22"/>
      <c r="F803" s="22"/>
      <c r="G803" s="22"/>
      <c r="H803" s="22"/>
      <c r="I803" s="266"/>
      <c r="J803" s="272"/>
      <c r="K803" s="272"/>
      <c r="L803" s="272"/>
      <c r="M803" s="273"/>
      <c r="N803" s="273"/>
      <c r="O803" s="273"/>
      <c r="P803" s="27"/>
      <c r="Q803" s="27"/>
      <c r="R803" s="27"/>
      <c r="S803" s="22"/>
      <c r="T803" s="22"/>
      <c r="U803" s="28"/>
    </row>
    <row r="804" ht="15.75" customHeight="1">
      <c r="A804" s="189"/>
      <c r="B804" s="22"/>
      <c r="C804" s="22"/>
      <c r="D804" s="22"/>
      <c r="E804" s="22"/>
      <c r="F804" s="22"/>
      <c r="G804" s="22"/>
      <c r="H804" s="22"/>
      <c r="I804" s="266"/>
      <c r="J804" s="272"/>
      <c r="K804" s="272"/>
      <c r="L804" s="272"/>
      <c r="M804" s="273"/>
      <c r="N804" s="273"/>
      <c r="O804" s="273"/>
      <c r="P804" s="27"/>
      <c r="Q804" s="27"/>
      <c r="R804" s="27"/>
      <c r="S804" s="22"/>
      <c r="T804" s="22"/>
      <c r="U804" s="28"/>
    </row>
    <row r="805" ht="15.75" customHeight="1">
      <c r="A805" s="189"/>
      <c r="B805" s="22"/>
      <c r="C805" s="22"/>
      <c r="D805" s="22"/>
      <c r="E805" s="22"/>
      <c r="F805" s="22"/>
      <c r="G805" s="22"/>
      <c r="H805" s="22"/>
      <c r="I805" s="266"/>
      <c r="J805" s="272"/>
      <c r="K805" s="272"/>
      <c r="L805" s="272"/>
      <c r="M805" s="273"/>
      <c r="N805" s="273"/>
      <c r="O805" s="273"/>
      <c r="P805" s="27"/>
      <c r="Q805" s="27"/>
      <c r="R805" s="27"/>
      <c r="S805" s="22"/>
      <c r="T805" s="22"/>
      <c r="U805" s="28"/>
    </row>
    <row r="806" ht="15.75" customHeight="1">
      <c r="A806" s="189"/>
      <c r="B806" s="22"/>
      <c r="C806" s="22"/>
      <c r="D806" s="22"/>
      <c r="E806" s="22"/>
      <c r="F806" s="22"/>
      <c r="G806" s="22"/>
      <c r="H806" s="22"/>
      <c r="I806" s="266"/>
      <c r="J806" s="272"/>
      <c r="K806" s="272"/>
      <c r="L806" s="272"/>
      <c r="M806" s="273"/>
      <c r="N806" s="273"/>
      <c r="O806" s="273"/>
      <c r="P806" s="27"/>
      <c r="Q806" s="27"/>
      <c r="R806" s="27"/>
      <c r="S806" s="22"/>
      <c r="T806" s="22"/>
      <c r="U806" s="28"/>
    </row>
    <row r="807" ht="15.75" customHeight="1">
      <c r="A807" s="189"/>
      <c r="B807" s="22"/>
      <c r="C807" s="22"/>
      <c r="D807" s="22"/>
      <c r="E807" s="22"/>
      <c r="F807" s="22"/>
      <c r="G807" s="22"/>
      <c r="H807" s="22"/>
      <c r="I807" s="266"/>
      <c r="J807" s="272"/>
      <c r="K807" s="272"/>
      <c r="L807" s="272"/>
      <c r="M807" s="273"/>
      <c r="N807" s="273"/>
      <c r="O807" s="273"/>
      <c r="P807" s="27"/>
      <c r="Q807" s="27"/>
      <c r="R807" s="27"/>
      <c r="S807" s="22"/>
      <c r="T807" s="22"/>
      <c r="U807" s="28"/>
    </row>
    <row r="808" ht="15.75" customHeight="1">
      <c r="A808" s="189"/>
      <c r="B808" s="22"/>
      <c r="C808" s="22"/>
      <c r="D808" s="22"/>
      <c r="E808" s="22"/>
      <c r="F808" s="22"/>
      <c r="G808" s="22"/>
      <c r="H808" s="22"/>
      <c r="I808" s="266"/>
      <c r="J808" s="272"/>
      <c r="K808" s="272"/>
      <c r="L808" s="272"/>
      <c r="M808" s="273"/>
      <c r="N808" s="273"/>
      <c r="O808" s="273"/>
      <c r="P808" s="27"/>
      <c r="Q808" s="27"/>
      <c r="R808" s="27"/>
      <c r="S808" s="22"/>
      <c r="T808" s="22"/>
      <c r="U808" s="28"/>
    </row>
    <row r="809" ht="15.75" customHeight="1">
      <c r="A809" s="189"/>
      <c r="B809" s="22"/>
      <c r="C809" s="22"/>
      <c r="D809" s="22"/>
      <c r="E809" s="22"/>
      <c r="F809" s="22"/>
      <c r="G809" s="22"/>
      <c r="H809" s="22"/>
      <c r="I809" s="266"/>
      <c r="J809" s="272"/>
      <c r="K809" s="272"/>
      <c r="L809" s="272"/>
      <c r="M809" s="273"/>
      <c r="N809" s="273"/>
      <c r="O809" s="273"/>
      <c r="P809" s="27"/>
      <c r="Q809" s="27"/>
      <c r="R809" s="27"/>
      <c r="S809" s="22"/>
      <c r="T809" s="22"/>
      <c r="U809" s="28"/>
    </row>
    <row r="810" ht="15.75" customHeight="1">
      <c r="A810" s="189"/>
      <c r="B810" s="22"/>
      <c r="C810" s="22"/>
      <c r="D810" s="22"/>
      <c r="E810" s="22"/>
      <c r="F810" s="22"/>
      <c r="G810" s="22"/>
      <c r="H810" s="22"/>
      <c r="I810" s="266"/>
      <c r="J810" s="272"/>
      <c r="K810" s="272"/>
      <c r="L810" s="272"/>
      <c r="M810" s="273"/>
      <c r="N810" s="273"/>
      <c r="O810" s="273"/>
      <c r="P810" s="27"/>
      <c r="Q810" s="27"/>
      <c r="R810" s="27"/>
      <c r="S810" s="22"/>
      <c r="T810" s="22"/>
      <c r="U810" s="28"/>
    </row>
    <row r="811" ht="15.75" customHeight="1">
      <c r="A811" s="189"/>
      <c r="B811" s="22"/>
      <c r="C811" s="22"/>
      <c r="D811" s="22"/>
      <c r="E811" s="22"/>
      <c r="F811" s="22"/>
      <c r="G811" s="22"/>
      <c r="H811" s="22"/>
      <c r="I811" s="266"/>
      <c r="J811" s="272"/>
      <c r="K811" s="272"/>
      <c r="L811" s="272"/>
      <c r="M811" s="273"/>
      <c r="N811" s="273"/>
      <c r="O811" s="273"/>
      <c r="P811" s="27"/>
      <c r="Q811" s="27"/>
      <c r="R811" s="27"/>
      <c r="S811" s="22"/>
      <c r="T811" s="22"/>
      <c r="U811" s="28"/>
    </row>
    <row r="812" ht="15.75" customHeight="1">
      <c r="A812" s="189"/>
      <c r="B812" s="22"/>
      <c r="C812" s="22"/>
      <c r="D812" s="22"/>
      <c r="E812" s="22"/>
      <c r="F812" s="22"/>
      <c r="G812" s="22"/>
      <c r="H812" s="22"/>
      <c r="I812" s="266"/>
      <c r="J812" s="272"/>
      <c r="K812" s="272"/>
      <c r="L812" s="272"/>
      <c r="M812" s="273"/>
      <c r="N812" s="273"/>
      <c r="O812" s="273"/>
      <c r="P812" s="27"/>
      <c r="Q812" s="27"/>
      <c r="R812" s="27"/>
      <c r="S812" s="22"/>
      <c r="T812" s="22"/>
      <c r="U812" s="28"/>
    </row>
    <row r="813" ht="15.75" customHeight="1">
      <c r="A813" s="189"/>
      <c r="B813" s="22"/>
      <c r="C813" s="22"/>
      <c r="D813" s="22"/>
      <c r="E813" s="22"/>
      <c r="F813" s="22"/>
      <c r="G813" s="22"/>
      <c r="H813" s="22"/>
      <c r="I813" s="266"/>
      <c r="J813" s="272"/>
      <c r="K813" s="272"/>
      <c r="L813" s="272"/>
      <c r="M813" s="273"/>
      <c r="N813" s="273"/>
      <c r="O813" s="273"/>
      <c r="P813" s="27"/>
      <c r="Q813" s="27"/>
      <c r="R813" s="27"/>
      <c r="S813" s="22"/>
      <c r="T813" s="22"/>
      <c r="U813" s="28"/>
    </row>
    <row r="814" ht="15.75" customHeight="1">
      <c r="A814" s="189"/>
      <c r="B814" s="22"/>
      <c r="C814" s="22"/>
      <c r="D814" s="22"/>
      <c r="E814" s="22"/>
      <c r="F814" s="22"/>
      <c r="G814" s="22"/>
      <c r="H814" s="22"/>
      <c r="I814" s="266"/>
      <c r="J814" s="272"/>
      <c r="K814" s="272"/>
      <c r="L814" s="272"/>
      <c r="M814" s="273"/>
      <c r="N814" s="273"/>
      <c r="O814" s="273"/>
      <c r="P814" s="27"/>
      <c r="Q814" s="27"/>
      <c r="R814" s="27"/>
      <c r="S814" s="22"/>
      <c r="T814" s="22"/>
      <c r="U814" s="28"/>
    </row>
    <row r="815" ht="15.75" customHeight="1">
      <c r="A815" s="189"/>
      <c r="B815" s="22"/>
      <c r="C815" s="22"/>
      <c r="D815" s="22"/>
      <c r="E815" s="22"/>
      <c r="F815" s="22"/>
      <c r="G815" s="22"/>
      <c r="H815" s="22"/>
      <c r="I815" s="266"/>
      <c r="J815" s="272"/>
      <c r="K815" s="272"/>
      <c r="L815" s="272"/>
      <c r="M815" s="273"/>
      <c r="N815" s="273"/>
      <c r="O815" s="273"/>
      <c r="P815" s="27"/>
      <c r="Q815" s="27"/>
      <c r="R815" s="27"/>
      <c r="S815" s="22"/>
      <c r="T815" s="22"/>
      <c r="U815" s="28"/>
    </row>
    <row r="816" ht="15.75" customHeight="1">
      <c r="A816" s="189"/>
      <c r="B816" s="22"/>
      <c r="C816" s="22"/>
      <c r="D816" s="22"/>
      <c r="E816" s="22"/>
      <c r="F816" s="22"/>
      <c r="G816" s="22"/>
      <c r="H816" s="22"/>
      <c r="I816" s="266"/>
      <c r="J816" s="272"/>
      <c r="K816" s="272"/>
      <c r="L816" s="272"/>
      <c r="M816" s="273"/>
      <c r="N816" s="273"/>
      <c r="O816" s="273"/>
      <c r="P816" s="27"/>
      <c r="Q816" s="27"/>
      <c r="R816" s="27"/>
      <c r="S816" s="22"/>
      <c r="T816" s="22"/>
      <c r="U816" s="28"/>
    </row>
    <row r="817" ht="15.75" customHeight="1">
      <c r="A817" s="189"/>
      <c r="B817" s="22"/>
      <c r="C817" s="22"/>
      <c r="D817" s="22"/>
      <c r="E817" s="22"/>
      <c r="F817" s="22"/>
      <c r="G817" s="22"/>
      <c r="H817" s="22"/>
      <c r="I817" s="266"/>
      <c r="J817" s="272"/>
      <c r="K817" s="272"/>
      <c r="L817" s="272"/>
      <c r="M817" s="273"/>
      <c r="N817" s="273"/>
      <c r="O817" s="273"/>
      <c r="P817" s="27"/>
      <c r="Q817" s="27"/>
      <c r="R817" s="27"/>
      <c r="S817" s="22"/>
      <c r="T817" s="22"/>
      <c r="U817" s="28"/>
    </row>
    <row r="818" ht="15.75" customHeight="1">
      <c r="A818" s="189"/>
      <c r="B818" s="22"/>
      <c r="C818" s="22"/>
      <c r="D818" s="22"/>
      <c r="E818" s="22"/>
      <c r="F818" s="22"/>
      <c r="G818" s="22"/>
      <c r="H818" s="22"/>
      <c r="I818" s="266"/>
      <c r="J818" s="272"/>
      <c r="K818" s="272"/>
      <c r="L818" s="272"/>
      <c r="M818" s="273"/>
      <c r="N818" s="273"/>
      <c r="O818" s="273"/>
      <c r="P818" s="27"/>
      <c r="Q818" s="27"/>
      <c r="R818" s="27"/>
      <c r="S818" s="22"/>
      <c r="T818" s="22"/>
      <c r="U818" s="28"/>
    </row>
    <row r="819" ht="15.75" customHeight="1">
      <c r="A819" s="189"/>
      <c r="B819" s="22"/>
      <c r="C819" s="22"/>
      <c r="D819" s="22"/>
      <c r="E819" s="22"/>
      <c r="F819" s="22"/>
      <c r="G819" s="22"/>
      <c r="H819" s="22"/>
      <c r="I819" s="266"/>
      <c r="J819" s="272"/>
      <c r="K819" s="272"/>
      <c r="L819" s="272"/>
      <c r="M819" s="273"/>
      <c r="N819" s="273"/>
      <c r="O819" s="273"/>
      <c r="P819" s="27"/>
      <c r="Q819" s="27"/>
      <c r="R819" s="27"/>
      <c r="S819" s="22"/>
      <c r="T819" s="22"/>
      <c r="U819" s="28"/>
    </row>
    <row r="820" ht="15.75" customHeight="1">
      <c r="A820" s="189"/>
      <c r="B820" s="22"/>
      <c r="C820" s="22"/>
      <c r="D820" s="22"/>
      <c r="E820" s="22"/>
      <c r="F820" s="22"/>
      <c r="G820" s="22"/>
      <c r="H820" s="22"/>
      <c r="I820" s="266"/>
      <c r="J820" s="272"/>
      <c r="K820" s="272"/>
      <c r="L820" s="272"/>
      <c r="M820" s="273"/>
      <c r="N820" s="273"/>
      <c r="O820" s="273"/>
      <c r="P820" s="27"/>
      <c r="Q820" s="27"/>
      <c r="R820" s="27"/>
      <c r="S820" s="22"/>
      <c r="T820" s="22"/>
      <c r="U820" s="28"/>
    </row>
    <row r="821" ht="15.75" customHeight="1">
      <c r="A821" s="189"/>
      <c r="B821" s="22"/>
      <c r="C821" s="22"/>
      <c r="D821" s="22"/>
      <c r="E821" s="22"/>
      <c r="F821" s="22"/>
      <c r="G821" s="22"/>
      <c r="H821" s="22"/>
      <c r="I821" s="266"/>
      <c r="J821" s="272"/>
      <c r="K821" s="272"/>
      <c r="L821" s="272"/>
      <c r="M821" s="273"/>
      <c r="N821" s="273"/>
      <c r="O821" s="273"/>
      <c r="P821" s="27"/>
      <c r="Q821" s="27"/>
      <c r="R821" s="27"/>
      <c r="S821" s="22"/>
      <c r="T821" s="22"/>
      <c r="U821" s="28"/>
    </row>
    <row r="822" ht="15.75" customHeight="1">
      <c r="A822" s="189"/>
      <c r="B822" s="22"/>
      <c r="C822" s="22"/>
      <c r="D822" s="22"/>
      <c r="E822" s="22"/>
      <c r="F822" s="22"/>
      <c r="G822" s="22"/>
      <c r="H822" s="22"/>
      <c r="I822" s="266"/>
      <c r="J822" s="272"/>
      <c r="K822" s="272"/>
      <c r="L822" s="272"/>
      <c r="M822" s="273"/>
      <c r="N822" s="273"/>
      <c r="O822" s="273"/>
      <c r="P822" s="27"/>
      <c r="Q822" s="27"/>
      <c r="R822" s="27"/>
      <c r="S822" s="22"/>
      <c r="T822" s="22"/>
      <c r="U822" s="28"/>
    </row>
    <row r="823" ht="15.75" customHeight="1">
      <c r="A823" s="189"/>
      <c r="B823" s="22"/>
      <c r="C823" s="22"/>
      <c r="D823" s="22"/>
      <c r="E823" s="22"/>
      <c r="F823" s="22"/>
      <c r="G823" s="22"/>
      <c r="H823" s="22"/>
      <c r="I823" s="266"/>
      <c r="J823" s="272"/>
      <c r="K823" s="272"/>
      <c r="L823" s="272"/>
      <c r="M823" s="273"/>
      <c r="N823" s="273"/>
      <c r="O823" s="273"/>
      <c r="P823" s="27"/>
      <c r="Q823" s="27"/>
      <c r="R823" s="27"/>
      <c r="S823" s="22"/>
      <c r="T823" s="22"/>
      <c r="U823" s="28"/>
    </row>
    <row r="824" ht="15.75" customHeight="1">
      <c r="A824" s="189"/>
      <c r="B824" s="22"/>
      <c r="C824" s="22"/>
      <c r="D824" s="22"/>
      <c r="E824" s="22"/>
      <c r="F824" s="22"/>
      <c r="G824" s="22"/>
      <c r="H824" s="22"/>
      <c r="I824" s="266"/>
      <c r="J824" s="272"/>
      <c r="K824" s="272"/>
      <c r="L824" s="272"/>
      <c r="M824" s="273"/>
      <c r="N824" s="273"/>
      <c r="O824" s="273"/>
      <c r="P824" s="27"/>
      <c r="Q824" s="27"/>
      <c r="R824" s="27"/>
      <c r="S824" s="22"/>
      <c r="T824" s="22"/>
      <c r="U824" s="28"/>
    </row>
    <row r="825" ht="15.75" customHeight="1">
      <c r="A825" s="189"/>
      <c r="B825" s="22"/>
      <c r="C825" s="22"/>
      <c r="D825" s="22"/>
      <c r="E825" s="22"/>
      <c r="F825" s="22"/>
      <c r="G825" s="22"/>
      <c r="H825" s="22"/>
      <c r="I825" s="266"/>
      <c r="J825" s="272"/>
      <c r="K825" s="272"/>
      <c r="L825" s="272"/>
      <c r="M825" s="273"/>
      <c r="N825" s="273"/>
      <c r="O825" s="273"/>
      <c r="P825" s="27"/>
      <c r="Q825" s="27"/>
      <c r="R825" s="27"/>
      <c r="S825" s="22"/>
      <c r="T825" s="22"/>
      <c r="U825" s="28"/>
    </row>
    <row r="826" ht="15.75" customHeight="1">
      <c r="A826" s="189"/>
      <c r="B826" s="22"/>
      <c r="C826" s="22"/>
      <c r="D826" s="22"/>
      <c r="E826" s="22"/>
      <c r="F826" s="22"/>
      <c r="G826" s="22"/>
      <c r="H826" s="22"/>
      <c r="I826" s="266"/>
      <c r="J826" s="272"/>
      <c r="K826" s="272"/>
      <c r="L826" s="272"/>
      <c r="M826" s="273"/>
      <c r="N826" s="273"/>
      <c r="O826" s="273"/>
      <c r="P826" s="27"/>
      <c r="Q826" s="27"/>
      <c r="R826" s="27"/>
      <c r="S826" s="22"/>
      <c r="T826" s="22"/>
      <c r="U826" s="28"/>
    </row>
    <row r="827" ht="15.75" customHeight="1">
      <c r="A827" s="189"/>
      <c r="B827" s="22"/>
      <c r="C827" s="22"/>
      <c r="D827" s="22"/>
      <c r="E827" s="22"/>
      <c r="F827" s="22"/>
      <c r="G827" s="22"/>
      <c r="H827" s="22"/>
      <c r="I827" s="266"/>
      <c r="J827" s="272"/>
      <c r="K827" s="272"/>
      <c r="L827" s="272"/>
      <c r="M827" s="273"/>
      <c r="N827" s="273"/>
      <c r="O827" s="273"/>
      <c r="P827" s="27"/>
      <c r="Q827" s="27"/>
      <c r="R827" s="27"/>
      <c r="S827" s="22"/>
      <c r="T827" s="22"/>
      <c r="U827" s="28"/>
    </row>
    <row r="828" ht="15.75" customHeight="1">
      <c r="A828" s="189"/>
      <c r="B828" s="22"/>
      <c r="C828" s="22"/>
      <c r="D828" s="22"/>
      <c r="E828" s="22"/>
      <c r="F828" s="22"/>
      <c r="G828" s="22"/>
      <c r="H828" s="22"/>
      <c r="I828" s="266"/>
      <c r="J828" s="272"/>
      <c r="K828" s="272"/>
      <c r="L828" s="272"/>
      <c r="M828" s="273"/>
      <c r="N828" s="273"/>
      <c r="O828" s="273"/>
      <c r="P828" s="27"/>
      <c r="Q828" s="27"/>
      <c r="R828" s="27"/>
      <c r="S828" s="22"/>
      <c r="T828" s="22"/>
      <c r="U828" s="28"/>
    </row>
    <row r="829" ht="15.75" customHeight="1">
      <c r="A829" s="189"/>
      <c r="B829" s="22"/>
      <c r="C829" s="22"/>
      <c r="D829" s="22"/>
      <c r="E829" s="22"/>
      <c r="F829" s="22"/>
      <c r="G829" s="22"/>
      <c r="H829" s="22"/>
      <c r="I829" s="266"/>
      <c r="J829" s="272"/>
      <c r="K829" s="272"/>
      <c r="L829" s="272"/>
      <c r="M829" s="273"/>
      <c r="N829" s="273"/>
      <c r="O829" s="273"/>
      <c r="P829" s="27"/>
      <c r="Q829" s="27"/>
      <c r="R829" s="27"/>
      <c r="S829" s="22"/>
      <c r="T829" s="22"/>
      <c r="U829" s="28"/>
    </row>
    <row r="830" ht="15.75" customHeight="1">
      <c r="A830" s="189"/>
      <c r="B830" s="22"/>
      <c r="C830" s="22"/>
      <c r="D830" s="22"/>
      <c r="E830" s="22"/>
      <c r="F830" s="22"/>
      <c r="G830" s="22"/>
      <c r="H830" s="22"/>
      <c r="I830" s="266"/>
      <c r="J830" s="272"/>
      <c r="K830" s="272"/>
      <c r="L830" s="272"/>
      <c r="M830" s="273"/>
      <c r="N830" s="273"/>
      <c r="O830" s="273"/>
      <c r="P830" s="27"/>
      <c r="Q830" s="27"/>
      <c r="R830" s="27"/>
      <c r="S830" s="22"/>
      <c r="T830" s="22"/>
      <c r="U830" s="28"/>
    </row>
    <row r="831" ht="15.75" customHeight="1">
      <c r="A831" s="189"/>
      <c r="B831" s="22"/>
      <c r="C831" s="22"/>
      <c r="D831" s="22"/>
      <c r="E831" s="22"/>
      <c r="F831" s="22"/>
      <c r="G831" s="22"/>
      <c r="H831" s="22"/>
      <c r="I831" s="266"/>
      <c r="J831" s="272"/>
      <c r="K831" s="272"/>
      <c r="L831" s="272"/>
      <c r="M831" s="273"/>
      <c r="N831" s="273"/>
      <c r="O831" s="273"/>
      <c r="P831" s="27"/>
      <c r="Q831" s="27"/>
      <c r="R831" s="27"/>
      <c r="S831" s="22"/>
      <c r="T831" s="22"/>
      <c r="U831" s="28"/>
    </row>
    <row r="832" ht="15.75" customHeight="1">
      <c r="A832" s="189"/>
      <c r="B832" s="22"/>
      <c r="C832" s="22"/>
      <c r="D832" s="22"/>
      <c r="E832" s="22"/>
      <c r="F832" s="22"/>
      <c r="G832" s="22"/>
      <c r="H832" s="22"/>
      <c r="I832" s="266"/>
      <c r="J832" s="272"/>
      <c r="K832" s="272"/>
      <c r="L832" s="272"/>
      <c r="M832" s="273"/>
      <c r="N832" s="273"/>
      <c r="O832" s="273"/>
      <c r="P832" s="27"/>
      <c r="Q832" s="27"/>
      <c r="R832" s="27"/>
      <c r="S832" s="22"/>
      <c r="T832" s="22"/>
      <c r="U832" s="28"/>
    </row>
    <row r="833" ht="15.75" customHeight="1">
      <c r="A833" s="189"/>
      <c r="B833" s="22"/>
      <c r="C833" s="22"/>
      <c r="D833" s="22"/>
      <c r="E833" s="22"/>
      <c r="F833" s="22"/>
      <c r="G833" s="22"/>
      <c r="H833" s="22"/>
      <c r="I833" s="266"/>
      <c r="J833" s="272"/>
      <c r="K833" s="272"/>
      <c r="L833" s="272"/>
      <c r="M833" s="273"/>
      <c r="N833" s="273"/>
      <c r="O833" s="273"/>
      <c r="P833" s="27"/>
      <c r="Q833" s="27"/>
      <c r="R833" s="27"/>
      <c r="S833" s="22"/>
      <c r="T833" s="22"/>
      <c r="U833" s="28"/>
    </row>
    <row r="834" ht="15.75" customHeight="1">
      <c r="A834" s="189"/>
      <c r="B834" s="22"/>
      <c r="C834" s="22"/>
      <c r="D834" s="22"/>
      <c r="E834" s="22"/>
      <c r="F834" s="22"/>
      <c r="G834" s="22"/>
      <c r="H834" s="22"/>
      <c r="I834" s="266"/>
      <c r="J834" s="272"/>
      <c r="K834" s="272"/>
      <c r="L834" s="272"/>
      <c r="M834" s="273"/>
      <c r="N834" s="273"/>
      <c r="O834" s="273"/>
      <c r="P834" s="27"/>
      <c r="Q834" s="27"/>
      <c r="R834" s="27"/>
      <c r="S834" s="22"/>
      <c r="T834" s="22"/>
      <c r="U834" s="28"/>
    </row>
    <row r="835" ht="15.75" customHeight="1">
      <c r="A835" s="189"/>
      <c r="B835" s="22"/>
      <c r="C835" s="22"/>
      <c r="D835" s="22"/>
      <c r="E835" s="22"/>
      <c r="F835" s="22"/>
      <c r="G835" s="22"/>
      <c r="H835" s="22"/>
      <c r="I835" s="266"/>
      <c r="J835" s="272"/>
      <c r="K835" s="272"/>
      <c r="L835" s="272"/>
      <c r="M835" s="273"/>
      <c r="N835" s="273"/>
      <c r="O835" s="273"/>
      <c r="P835" s="27"/>
      <c r="Q835" s="27"/>
      <c r="R835" s="27"/>
      <c r="S835" s="22"/>
      <c r="T835" s="22"/>
      <c r="U835" s="28"/>
    </row>
    <row r="836" ht="15.75" customHeight="1">
      <c r="A836" s="189"/>
      <c r="B836" s="22"/>
      <c r="C836" s="22"/>
      <c r="D836" s="22"/>
      <c r="E836" s="22"/>
      <c r="F836" s="22"/>
      <c r="G836" s="22"/>
      <c r="H836" s="22"/>
      <c r="I836" s="266"/>
      <c r="J836" s="272"/>
      <c r="K836" s="272"/>
      <c r="L836" s="272"/>
      <c r="M836" s="273"/>
      <c r="N836" s="273"/>
      <c r="O836" s="273"/>
      <c r="P836" s="27"/>
      <c r="Q836" s="27"/>
      <c r="R836" s="27"/>
      <c r="S836" s="22"/>
      <c r="T836" s="22"/>
      <c r="U836" s="28"/>
    </row>
    <row r="837" ht="15.75" customHeight="1">
      <c r="A837" s="189"/>
      <c r="B837" s="22"/>
      <c r="C837" s="22"/>
      <c r="D837" s="22"/>
      <c r="E837" s="22"/>
      <c r="F837" s="22"/>
      <c r="G837" s="22"/>
      <c r="H837" s="22"/>
      <c r="I837" s="266"/>
      <c r="J837" s="272"/>
      <c r="K837" s="272"/>
      <c r="L837" s="272"/>
      <c r="M837" s="273"/>
      <c r="N837" s="273"/>
      <c r="O837" s="273"/>
      <c r="P837" s="27"/>
      <c r="Q837" s="27"/>
      <c r="R837" s="27"/>
      <c r="S837" s="22"/>
      <c r="T837" s="22"/>
      <c r="U837" s="28"/>
    </row>
    <row r="838" ht="15.75" customHeight="1">
      <c r="A838" s="189"/>
      <c r="B838" s="22"/>
      <c r="C838" s="22"/>
      <c r="D838" s="22"/>
      <c r="E838" s="22"/>
      <c r="F838" s="22"/>
      <c r="G838" s="22"/>
      <c r="H838" s="22"/>
      <c r="I838" s="266"/>
      <c r="J838" s="272"/>
      <c r="K838" s="272"/>
      <c r="L838" s="272"/>
      <c r="M838" s="273"/>
      <c r="N838" s="273"/>
      <c r="O838" s="273"/>
      <c r="P838" s="27"/>
      <c r="Q838" s="27"/>
      <c r="R838" s="27"/>
      <c r="S838" s="22"/>
      <c r="T838" s="22"/>
      <c r="U838" s="28"/>
    </row>
    <row r="839" ht="15.75" customHeight="1">
      <c r="A839" s="189"/>
      <c r="B839" s="22"/>
      <c r="C839" s="22"/>
      <c r="D839" s="22"/>
      <c r="E839" s="22"/>
      <c r="F839" s="22"/>
      <c r="G839" s="22"/>
      <c r="H839" s="22"/>
      <c r="I839" s="266"/>
      <c r="J839" s="272"/>
      <c r="K839" s="272"/>
      <c r="L839" s="272"/>
      <c r="M839" s="273"/>
      <c r="N839" s="273"/>
      <c r="O839" s="273"/>
      <c r="P839" s="27"/>
      <c r="Q839" s="27"/>
      <c r="R839" s="27"/>
      <c r="S839" s="22"/>
      <c r="T839" s="22"/>
      <c r="U839" s="28"/>
    </row>
    <row r="840" ht="15.75" customHeight="1">
      <c r="A840" s="189"/>
      <c r="B840" s="22"/>
      <c r="C840" s="22"/>
      <c r="D840" s="22"/>
      <c r="E840" s="22"/>
      <c r="F840" s="22"/>
      <c r="G840" s="22"/>
      <c r="H840" s="22"/>
      <c r="I840" s="266"/>
      <c r="J840" s="272"/>
      <c r="K840" s="272"/>
      <c r="L840" s="272"/>
      <c r="M840" s="273"/>
      <c r="N840" s="273"/>
      <c r="O840" s="273"/>
      <c r="P840" s="27"/>
      <c r="Q840" s="27"/>
      <c r="R840" s="27"/>
      <c r="S840" s="22"/>
      <c r="T840" s="22"/>
      <c r="U840" s="28"/>
    </row>
    <row r="841" ht="15.75" customHeight="1">
      <c r="A841" s="189"/>
      <c r="B841" s="22"/>
      <c r="C841" s="22"/>
      <c r="D841" s="22"/>
      <c r="E841" s="22"/>
      <c r="F841" s="22"/>
      <c r="G841" s="22"/>
      <c r="H841" s="22"/>
      <c r="I841" s="266"/>
      <c r="J841" s="272"/>
      <c r="K841" s="272"/>
      <c r="L841" s="272"/>
      <c r="M841" s="273"/>
      <c r="N841" s="273"/>
      <c r="O841" s="273"/>
      <c r="P841" s="27"/>
      <c r="Q841" s="27"/>
      <c r="R841" s="27"/>
      <c r="S841" s="22"/>
      <c r="T841" s="22"/>
      <c r="U841" s="28"/>
    </row>
    <row r="842" ht="15.75" customHeight="1">
      <c r="A842" s="189"/>
      <c r="B842" s="22"/>
      <c r="C842" s="22"/>
      <c r="D842" s="22"/>
      <c r="E842" s="22"/>
      <c r="F842" s="22"/>
      <c r="G842" s="22"/>
      <c r="H842" s="22"/>
      <c r="I842" s="266"/>
      <c r="J842" s="272"/>
      <c r="K842" s="272"/>
      <c r="L842" s="272"/>
      <c r="M842" s="273"/>
      <c r="N842" s="273"/>
      <c r="O842" s="273"/>
      <c r="P842" s="27"/>
      <c r="Q842" s="27"/>
      <c r="R842" s="27"/>
      <c r="S842" s="22"/>
      <c r="T842" s="22"/>
      <c r="U842" s="28"/>
    </row>
    <row r="843" ht="15.75" customHeight="1">
      <c r="A843" s="189"/>
      <c r="B843" s="22"/>
      <c r="C843" s="22"/>
      <c r="D843" s="22"/>
      <c r="E843" s="22"/>
      <c r="F843" s="22"/>
      <c r="G843" s="22"/>
      <c r="H843" s="22"/>
      <c r="I843" s="266"/>
      <c r="J843" s="272"/>
      <c r="K843" s="272"/>
      <c r="L843" s="272"/>
      <c r="M843" s="273"/>
      <c r="N843" s="273"/>
      <c r="O843" s="273"/>
      <c r="P843" s="27"/>
      <c r="Q843" s="27"/>
      <c r="R843" s="27"/>
      <c r="S843" s="22"/>
      <c r="T843" s="22"/>
      <c r="U843" s="28"/>
    </row>
    <row r="844" ht="15.75" customHeight="1">
      <c r="A844" s="189"/>
      <c r="B844" s="22"/>
      <c r="C844" s="22"/>
      <c r="D844" s="22"/>
      <c r="E844" s="22"/>
      <c r="F844" s="22"/>
      <c r="G844" s="22"/>
      <c r="H844" s="22"/>
      <c r="I844" s="266"/>
      <c r="J844" s="272"/>
      <c r="K844" s="272"/>
      <c r="L844" s="272"/>
      <c r="M844" s="273"/>
      <c r="N844" s="273"/>
      <c r="O844" s="273"/>
      <c r="P844" s="27"/>
      <c r="Q844" s="27"/>
      <c r="R844" s="27"/>
      <c r="S844" s="22"/>
      <c r="T844" s="22"/>
      <c r="U844" s="28"/>
    </row>
    <row r="845" ht="15.75" customHeight="1">
      <c r="A845" s="189"/>
      <c r="B845" s="22"/>
      <c r="C845" s="22"/>
      <c r="D845" s="22"/>
      <c r="E845" s="22"/>
      <c r="F845" s="22"/>
      <c r="G845" s="22"/>
      <c r="H845" s="22"/>
      <c r="I845" s="266"/>
      <c r="J845" s="272"/>
      <c r="K845" s="272"/>
      <c r="L845" s="272"/>
      <c r="M845" s="273"/>
      <c r="N845" s="273"/>
      <c r="O845" s="273"/>
      <c r="P845" s="27"/>
      <c r="Q845" s="27"/>
      <c r="R845" s="27"/>
      <c r="S845" s="22"/>
      <c r="T845" s="22"/>
      <c r="U845" s="28"/>
    </row>
    <row r="846" ht="15.75" customHeight="1">
      <c r="A846" s="189"/>
      <c r="B846" s="22"/>
      <c r="C846" s="22"/>
      <c r="D846" s="22"/>
      <c r="E846" s="22"/>
      <c r="F846" s="22"/>
      <c r="G846" s="22"/>
      <c r="H846" s="22"/>
      <c r="I846" s="266"/>
      <c r="J846" s="272"/>
      <c r="K846" s="272"/>
      <c r="L846" s="272"/>
      <c r="M846" s="273"/>
      <c r="N846" s="273"/>
      <c r="O846" s="273"/>
      <c r="P846" s="27"/>
      <c r="Q846" s="27"/>
      <c r="R846" s="27"/>
      <c r="S846" s="22"/>
      <c r="T846" s="22"/>
      <c r="U846" s="28"/>
    </row>
    <row r="847" ht="15.75" customHeight="1">
      <c r="A847" s="189"/>
      <c r="B847" s="22"/>
      <c r="C847" s="22"/>
      <c r="D847" s="22"/>
      <c r="E847" s="22"/>
      <c r="F847" s="22"/>
      <c r="G847" s="22"/>
      <c r="H847" s="22"/>
      <c r="I847" s="266"/>
      <c r="J847" s="272"/>
      <c r="K847" s="272"/>
      <c r="L847" s="272"/>
      <c r="M847" s="273"/>
      <c r="N847" s="273"/>
      <c r="O847" s="273"/>
      <c r="P847" s="27"/>
      <c r="Q847" s="27"/>
      <c r="R847" s="27"/>
      <c r="S847" s="22"/>
      <c r="T847" s="22"/>
      <c r="U847" s="28"/>
    </row>
    <row r="848" ht="15.75" customHeight="1">
      <c r="A848" s="189"/>
      <c r="B848" s="22"/>
      <c r="C848" s="22"/>
      <c r="D848" s="22"/>
      <c r="E848" s="22"/>
      <c r="F848" s="22"/>
      <c r="G848" s="22"/>
      <c r="H848" s="22"/>
      <c r="I848" s="266"/>
      <c r="J848" s="272"/>
      <c r="K848" s="272"/>
      <c r="L848" s="272"/>
      <c r="M848" s="273"/>
      <c r="N848" s="273"/>
      <c r="O848" s="273"/>
      <c r="P848" s="27"/>
      <c r="Q848" s="27"/>
      <c r="R848" s="27"/>
      <c r="S848" s="22"/>
      <c r="T848" s="22"/>
      <c r="U848" s="28"/>
    </row>
    <row r="849" ht="15.75" customHeight="1">
      <c r="A849" s="189"/>
      <c r="B849" s="22"/>
      <c r="C849" s="22"/>
      <c r="D849" s="22"/>
      <c r="E849" s="22"/>
      <c r="F849" s="22"/>
      <c r="G849" s="22"/>
      <c r="H849" s="22"/>
      <c r="I849" s="266"/>
      <c r="J849" s="272"/>
      <c r="K849" s="272"/>
      <c r="L849" s="272"/>
      <c r="M849" s="273"/>
      <c r="N849" s="273"/>
      <c r="O849" s="273"/>
      <c r="P849" s="27"/>
      <c r="Q849" s="27"/>
      <c r="R849" s="27"/>
      <c r="S849" s="22"/>
      <c r="T849" s="22"/>
      <c r="U849" s="28"/>
    </row>
    <row r="850" ht="15.75" customHeight="1">
      <c r="A850" s="189"/>
      <c r="B850" s="22"/>
      <c r="C850" s="22"/>
      <c r="D850" s="22"/>
      <c r="E850" s="22"/>
      <c r="F850" s="22"/>
      <c r="G850" s="22"/>
      <c r="H850" s="22"/>
      <c r="I850" s="266"/>
      <c r="J850" s="272"/>
      <c r="K850" s="272"/>
      <c r="L850" s="272"/>
      <c r="M850" s="273"/>
      <c r="N850" s="273"/>
      <c r="O850" s="273"/>
      <c r="P850" s="27"/>
      <c r="Q850" s="27"/>
      <c r="R850" s="27"/>
      <c r="S850" s="22"/>
      <c r="T850" s="22"/>
      <c r="U850" s="28"/>
    </row>
    <row r="851" ht="15.75" customHeight="1">
      <c r="A851" s="189"/>
      <c r="B851" s="22"/>
      <c r="C851" s="22"/>
      <c r="D851" s="22"/>
      <c r="E851" s="22"/>
      <c r="F851" s="22"/>
      <c r="G851" s="22"/>
      <c r="H851" s="22"/>
      <c r="I851" s="266"/>
      <c r="J851" s="272"/>
      <c r="K851" s="272"/>
      <c r="L851" s="272"/>
      <c r="M851" s="273"/>
      <c r="N851" s="273"/>
      <c r="O851" s="273"/>
      <c r="P851" s="27"/>
      <c r="Q851" s="27"/>
      <c r="R851" s="27"/>
      <c r="S851" s="22"/>
      <c r="T851" s="22"/>
      <c r="U851" s="28"/>
    </row>
    <row r="852" ht="15.75" customHeight="1">
      <c r="A852" s="189"/>
      <c r="B852" s="22"/>
      <c r="C852" s="22"/>
      <c r="D852" s="22"/>
      <c r="E852" s="22"/>
      <c r="F852" s="22"/>
      <c r="G852" s="22"/>
      <c r="H852" s="22"/>
      <c r="I852" s="266"/>
      <c r="J852" s="272"/>
      <c r="K852" s="272"/>
      <c r="L852" s="272"/>
      <c r="M852" s="273"/>
      <c r="N852" s="273"/>
      <c r="O852" s="273"/>
      <c r="P852" s="27"/>
      <c r="Q852" s="27"/>
      <c r="R852" s="27"/>
      <c r="S852" s="22"/>
      <c r="T852" s="22"/>
      <c r="U852" s="28"/>
    </row>
    <row r="853" ht="15.75" customHeight="1">
      <c r="A853" s="189"/>
      <c r="B853" s="22"/>
      <c r="C853" s="22"/>
      <c r="D853" s="22"/>
      <c r="E853" s="22"/>
      <c r="F853" s="22"/>
      <c r="G853" s="22"/>
      <c r="H853" s="22"/>
      <c r="I853" s="266"/>
      <c r="J853" s="272"/>
      <c r="K853" s="272"/>
      <c r="L853" s="272"/>
      <c r="M853" s="273"/>
      <c r="N853" s="273"/>
      <c r="O853" s="273"/>
      <c r="P853" s="27"/>
      <c r="Q853" s="27"/>
      <c r="R853" s="27"/>
      <c r="S853" s="22"/>
      <c r="T853" s="22"/>
      <c r="U853" s="28"/>
    </row>
    <row r="854" ht="15.75" customHeight="1">
      <c r="A854" s="189"/>
      <c r="B854" s="22"/>
      <c r="C854" s="22"/>
      <c r="D854" s="22"/>
      <c r="E854" s="22"/>
      <c r="F854" s="22"/>
      <c r="G854" s="22"/>
      <c r="H854" s="22"/>
      <c r="I854" s="266"/>
      <c r="J854" s="272"/>
      <c r="K854" s="272"/>
      <c r="L854" s="272"/>
      <c r="M854" s="273"/>
      <c r="N854" s="273"/>
      <c r="O854" s="273"/>
      <c r="P854" s="27"/>
      <c r="Q854" s="27"/>
      <c r="R854" s="27"/>
      <c r="S854" s="22"/>
      <c r="T854" s="22"/>
      <c r="U854" s="28"/>
    </row>
    <row r="855" ht="15.75" customHeight="1">
      <c r="A855" s="189"/>
      <c r="B855" s="22"/>
      <c r="C855" s="22"/>
      <c r="D855" s="22"/>
      <c r="E855" s="22"/>
      <c r="F855" s="22"/>
      <c r="G855" s="22"/>
      <c r="H855" s="22"/>
      <c r="I855" s="266"/>
      <c r="J855" s="272"/>
      <c r="K855" s="272"/>
      <c r="L855" s="272"/>
      <c r="M855" s="273"/>
      <c r="N855" s="273"/>
      <c r="O855" s="273"/>
      <c r="P855" s="27"/>
      <c r="Q855" s="27"/>
      <c r="R855" s="27"/>
      <c r="S855" s="22"/>
      <c r="T855" s="22"/>
      <c r="U855" s="28"/>
    </row>
    <row r="856" ht="15.75" customHeight="1">
      <c r="A856" s="189"/>
      <c r="B856" s="22"/>
      <c r="C856" s="22"/>
      <c r="D856" s="22"/>
      <c r="E856" s="22"/>
      <c r="F856" s="22"/>
      <c r="G856" s="22"/>
      <c r="H856" s="22"/>
      <c r="I856" s="266"/>
      <c r="J856" s="272"/>
      <c r="K856" s="272"/>
      <c r="L856" s="272"/>
      <c r="M856" s="273"/>
      <c r="N856" s="273"/>
      <c r="O856" s="273"/>
      <c r="P856" s="27"/>
      <c r="Q856" s="27"/>
      <c r="R856" s="27"/>
      <c r="S856" s="22"/>
      <c r="T856" s="22"/>
      <c r="U856" s="28"/>
    </row>
    <row r="857" ht="15.75" customHeight="1">
      <c r="A857" s="189"/>
      <c r="B857" s="22"/>
      <c r="C857" s="22"/>
      <c r="D857" s="22"/>
      <c r="E857" s="22"/>
      <c r="F857" s="22"/>
      <c r="G857" s="22"/>
      <c r="H857" s="22"/>
      <c r="I857" s="266"/>
      <c r="J857" s="272"/>
      <c r="K857" s="272"/>
      <c r="L857" s="272"/>
      <c r="M857" s="273"/>
      <c r="N857" s="273"/>
      <c r="O857" s="273"/>
      <c r="P857" s="27"/>
      <c r="Q857" s="27"/>
      <c r="R857" s="27"/>
      <c r="S857" s="22"/>
      <c r="T857" s="22"/>
      <c r="U857" s="28"/>
    </row>
    <row r="858" ht="15.75" customHeight="1">
      <c r="A858" s="189"/>
      <c r="B858" s="22"/>
      <c r="C858" s="22"/>
      <c r="D858" s="22"/>
      <c r="E858" s="22"/>
      <c r="F858" s="22"/>
      <c r="G858" s="22"/>
      <c r="H858" s="22"/>
      <c r="I858" s="266"/>
      <c r="J858" s="272"/>
      <c r="K858" s="272"/>
      <c r="L858" s="272"/>
      <c r="M858" s="273"/>
      <c r="N858" s="273"/>
      <c r="O858" s="273"/>
      <c r="P858" s="27"/>
      <c r="Q858" s="27"/>
      <c r="R858" s="27"/>
      <c r="S858" s="22"/>
      <c r="T858" s="22"/>
      <c r="U858" s="28"/>
    </row>
    <row r="859" ht="15.75" customHeight="1">
      <c r="A859" s="189"/>
      <c r="B859" s="22"/>
      <c r="C859" s="22"/>
      <c r="D859" s="22"/>
      <c r="E859" s="22"/>
      <c r="F859" s="22"/>
      <c r="G859" s="22"/>
      <c r="H859" s="22"/>
      <c r="I859" s="266"/>
      <c r="J859" s="272"/>
      <c r="K859" s="272"/>
      <c r="L859" s="272"/>
      <c r="M859" s="273"/>
      <c r="N859" s="273"/>
      <c r="O859" s="273"/>
      <c r="P859" s="27"/>
      <c r="Q859" s="27"/>
      <c r="R859" s="27"/>
      <c r="S859" s="22"/>
      <c r="T859" s="22"/>
      <c r="U859" s="28"/>
    </row>
    <row r="860" ht="15.75" customHeight="1">
      <c r="A860" s="189"/>
      <c r="B860" s="22"/>
      <c r="C860" s="22"/>
      <c r="D860" s="22"/>
      <c r="E860" s="22"/>
      <c r="F860" s="22"/>
      <c r="G860" s="22"/>
      <c r="H860" s="22"/>
      <c r="I860" s="266"/>
      <c r="J860" s="272"/>
      <c r="K860" s="272"/>
      <c r="L860" s="272"/>
      <c r="M860" s="273"/>
      <c r="N860" s="273"/>
      <c r="O860" s="273"/>
      <c r="P860" s="27"/>
      <c r="Q860" s="27"/>
      <c r="R860" s="27"/>
      <c r="S860" s="22"/>
      <c r="T860" s="22"/>
      <c r="U860" s="28"/>
    </row>
    <row r="861" ht="15.75" customHeight="1">
      <c r="A861" s="189"/>
      <c r="B861" s="22"/>
      <c r="C861" s="22"/>
      <c r="D861" s="22"/>
      <c r="E861" s="22"/>
      <c r="F861" s="22"/>
      <c r="G861" s="22"/>
      <c r="H861" s="22"/>
      <c r="I861" s="266"/>
      <c r="J861" s="272"/>
      <c r="K861" s="272"/>
      <c r="L861" s="272"/>
      <c r="M861" s="273"/>
      <c r="N861" s="273"/>
      <c r="O861" s="273"/>
      <c r="P861" s="27"/>
      <c r="Q861" s="27"/>
      <c r="R861" s="27"/>
      <c r="S861" s="22"/>
      <c r="T861" s="22"/>
      <c r="U861" s="28"/>
    </row>
    <row r="862" ht="15.75" customHeight="1">
      <c r="A862" s="189"/>
      <c r="B862" s="22"/>
      <c r="C862" s="22"/>
      <c r="D862" s="22"/>
      <c r="E862" s="22"/>
      <c r="F862" s="22"/>
      <c r="G862" s="22"/>
      <c r="H862" s="22"/>
      <c r="I862" s="266"/>
      <c r="J862" s="272"/>
      <c r="K862" s="272"/>
      <c r="L862" s="272"/>
      <c r="M862" s="273"/>
      <c r="N862" s="273"/>
      <c r="O862" s="273"/>
      <c r="P862" s="27"/>
      <c r="Q862" s="27"/>
      <c r="R862" s="27"/>
      <c r="S862" s="22"/>
      <c r="T862" s="22"/>
      <c r="U862" s="28"/>
    </row>
    <row r="863" ht="15.75" customHeight="1">
      <c r="A863" s="189"/>
      <c r="B863" s="22"/>
      <c r="C863" s="22"/>
      <c r="D863" s="22"/>
      <c r="E863" s="22"/>
      <c r="F863" s="22"/>
      <c r="G863" s="22"/>
      <c r="H863" s="22"/>
      <c r="I863" s="266"/>
      <c r="J863" s="272"/>
      <c r="K863" s="272"/>
      <c r="L863" s="272"/>
      <c r="M863" s="273"/>
      <c r="N863" s="273"/>
      <c r="O863" s="273"/>
      <c r="P863" s="27"/>
      <c r="Q863" s="27"/>
      <c r="R863" s="27"/>
      <c r="S863" s="22"/>
      <c r="T863" s="22"/>
      <c r="U863" s="28"/>
    </row>
    <row r="864" ht="15.75" customHeight="1">
      <c r="A864" s="189"/>
      <c r="B864" s="22"/>
      <c r="C864" s="22"/>
      <c r="D864" s="22"/>
      <c r="E864" s="22"/>
      <c r="F864" s="22"/>
      <c r="G864" s="22"/>
      <c r="H864" s="22"/>
      <c r="I864" s="266"/>
      <c r="J864" s="272"/>
      <c r="K864" s="272"/>
      <c r="L864" s="272"/>
      <c r="M864" s="273"/>
      <c r="N864" s="273"/>
      <c r="O864" s="273"/>
      <c r="P864" s="27"/>
      <c r="Q864" s="27"/>
      <c r="R864" s="27"/>
      <c r="S864" s="22"/>
      <c r="T864" s="22"/>
      <c r="U864" s="28"/>
    </row>
    <row r="865" ht="15.75" customHeight="1">
      <c r="A865" s="189"/>
      <c r="B865" s="22"/>
      <c r="C865" s="22"/>
      <c r="D865" s="22"/>
      <c r="E865" s="22"/>
      <c r="F865" s="22"/>
      <c r="G865" s="22"/>
      <c r="H865" s="22"/>
      <c r="I865" s="266"/>
      <c r="J865" s="272"/>
      <c r="K865" s="272"/>
      <c r="L865" s="272"/>
      <c r="M865" s="273"/>
      <c r="N865" s="273"/>
      <c r="O865" s="273"/>
      <c r="P865" s="27"/>
      <c r="Q865" s="27"/>
      <c r="R865" s="27"/>
      <c r="S865" s="22"/>
      <c r="T865" s="22"/>
      <c r="U865" s="28"/>
    </row>
    <row r="866" ht="15.75" customHeight="1">
      <c r="A866" s="189"/>
      <c r="B866" s="22"/>
      <c r="C866" s="22"/>
      <c r="D866" s="22"/>
      <c r="E866" s="22"/>
      <c r="F866" s="22"/>
      <c r="G866" s="22"/>
      <c r="H866" s="22"/>
      <c r="I866" s="266"/>
      <c r="J866" s="272"/>
      <c r="K866" s="272"/>
      <c r="L866" s="272"/>
      <c r="M866" s="273"/>
      <c r="N866" s="273"/>
      <c r="O866" s="273"/>
      <c r="P866" s="27"/>
      <c r="Q866" s="27"/>
      <c r="R866" s="27"/>
      <c r="S866" s="22"/>
      <c r="T866" s="22"/>
      <c r="U866" s="28"/>
    </row>
    <row r="867" ht="15.75" customHeight="1">
      <c r="A867" s="189"/>
      <c r="B867" s="22"/>
      <c r="C867" s="22"/>
      <c r="D867" s="22"/>
      <c r="E867" s="22"/>
      <c r="F867" s="22"/>
      <c r="G867" s="22"/>
      <c r="H867" s="22"/>
      <c r="I867" s="266"/>
      <c r="J867" s="272"/>
      <c r="K867" s="272"/>
      <c r="L867" s="272"/>
      <c r="M867" s="273"/>
      <c r="N867" s="273"/>
      <c r="O867" s="273"/>
      <c r="P867" s="27"/>
      <c r="Q867" s="27"/>
      <c r="R867" s="27"/>
      <c r="S867" s="22"/>
      <c r="T867" s="22"/>
      <c r="U867" s="28"/>
    </row>
    <row r="868" ht="15.75" customHeight="1">
      <c r="A868" s="189"/>
      <c r="B868" s="22"/>
      <c r="C868" s="22"/>
      <c r="D868" s="22"/>
      <c r="E868" s="22"/>
      <c r="F868" s="22"/>
      <c r="G868" s="22"/>
      <c r="H868" s="22"/>
      <c r="I868" s="266"/>
      <c r="J868" s="272"/>
      <c r="K868" s="272"/>
      <c r="L868" s="272"/>
      <c r="M868" s="273"/>
      <c r="N868" s="273"/>
      <c r="O868" s="273"/>
      <c r="P868" s="27"/>
      <c r="Q868" s="27"/>
      <c r="R868" s="27"/>
      <c r="S868" s="22"/>
      <c r="T868" s="22"/>
      <c r="U868" s="28"/>
    </row>
    <row r="869" ht="15.75" customHeight="1">
      <c r="A869" s="189"/>
      <c r="B869" s="22"/>
      <c r="C869" s="22"/>
      <c r="D869" s="22"/>
      <c r="E869" s="22"/>
      <c r="F869" s="22"/>
      <c r="G869" s="22"/>
      <c r="H869" s="22"/>
      <c r="I869" s="266"/>
      <c r="J869" s="272"/>
      <c r="K869" s="272"/>
      <c r="L869" s="272"/>
      <c r="M869" s="273"/>
      <c r="N869" s="273"/>
      <c r="O869" s="273"/>
      <c r="P869" s="27"/>
      <c r="Q869" s="27"/>
      <c r="R869" s="27"/>
      <c r="S869" s="22"/>
      <c r="T869" s="22"/>
      <c r="U869" s="28"/>
    </row>
    <row r="870" ht="15.75" customHeight="1">
      <c r="A870" s="189"/>
      <c r="B870" s="22"/>
      <c r="C870" s="22"/>
      <c r="D870" s="22"/>
      <c r="E870" s="22"/>
      <c r="F870" s="22"/>
      <c r="G870" s="22"/>
      <c r="H870" s="22"/>
      <c r="I870" s="266"/>
      <c r="J870" s="272"/>
      <c r="K870" s="272"/>
      <c r="L870" s="272"/>
      <c r="M870" s="273"/>
      <c r="N870" s="273"/>
      <c r="O870" s="273"/>
      <c r="P870" s="27"/>
      <c r="Q870" s="27"/>
      <c r="R870" s="27"/>
      <c r="S870" s="22"/>
      <c r="T870" s="22"/>
      <c r="U870" s="28"/>
    </row>
    <row r="871" ht="15.75" customHeight="1">
      <c r="A871" s="189"/>
      <c r="B871" s="22"/>
      <c r="C871" s="22"/>
      <c r="D871" s="22"/>
      <c r="E871" s="22"/>
      <c r="F871" s="22"/>
      <c r="G871" s="22"/>
      <c r="H871" s="22"/>
      <c r="I871" s="266"/>
      <c r="J871" s="272"/>
      <c r="K871" s="272"/>
      <c r="L871" s="272"/>
      <c r="M871" s="273"/>
      <c r="N871" s="273"/>
      <c r="O871" s="273"/>
      <c r="P871" s="27"/>
      <c r="Q871" s="27"/>
      <c r="R871" s="27"/>
      <c r="S871" s="22"/>
      <c r="T871" s="22"/>
      <c r="U871" s="28"/>
    </row>
    <row r="872" ht="15.75" customHeight="1">
      <c r="A872" s="189"/>
      <c r="B872" s="22"/>
      <c r="C872" s="22"/>
      <c r="D872" s="22"/>
      <c r="E872" s="22"/>
      <c r="F872" s="22"/>
      <c r="G872" s="22"/>
      <c r="H872" s="22"/>
      <c r="I872" s="266"/>
      <c r="J872" s="272"/>
      <c r="K872" s="272"/>
      <c r="L872" s="272"/>
      <c r="M872" s="273"/>
      <c r="N872" s="273"/>
      <c r="O872" s="273"/>
      <c r="P872" s="27"/>
      <c r="Q872" s="27"/>
      <c r="R872" s="27"/>
      <c r="S872" s="22"/>
      <c r="T872" s="22"/>
      <c r="U872" s="28"/>
    </row>
    <row r="873" ht="15.75" customHeight="1">
      <c r="A873" s="189"/>
      <c r="B873" s="22"/>
      <c r="C873" s="22"/>
      <c r="D873" s="22"/>
      <c r="E873" s="22"/>
      <c r="F873" s="22"/>
      <c r="G873" s="22"/>
      <c r="H873" s="22"/>
      <c r="I873" s="266"/>
      <c r="J873" s="272"/>
      <c r="K873" s="272"/>
      <c r="L873" s="272"/>
      <c r="M873" s="273"/>
      <c r="N873" s="273"/>
      <c r="O873" s="273"/>
      <c r="P873" s="27"/>
      <c r="Q873" s="27"/>
      <c r="R873" s="27"/>
      <c r="S873" s="22"/>
      <c r="T873" s="22"/>
      <c r="U873" s="28"/>
    </row>
    <row r="874" ht="15.75" customHeight="1">
      <c r="A874" s="189"/>
      <c r="B874" s="22"/>
      <c r="C874" s="22"/>
      <c r="D874" s="22"/>
      <c r="E874" s="22"/>
      <c r="F874" s="22"/>
      <c r="G874" s="22"/>
      <c r="H874" s="22"/>
      <c r="I874" s="266"/>
      <c r="J874" s="272"/>
      <c r="K874" s="272"/>
      <c r="L874" s="272"/>
      <c r="M874" s="273"/>
      <c r="N874" s="273"/>
      <c r="O874" s="273"/>
      <c r="P874" s="27"/>
      <c r="Q874" s="27"/>
      <c r="R874" s="27"/>
      <c r="S874" s="22"/>
      <c r="T874" s="22"/>
      <c r="U874" s="28"/>
    </row>
    <row r="875" ht="15.75" customHeight="1">
      <c r="A875" s="189"/>
      <c r="B875" s="22"/>
      <c r="C875" s="22"/>
      <c r="D875" s="22"/>
      <c r="E875" s="22"/>
      <c r="F875" s="22"/>
      <c r="G875" s="22"/>
      <c r="H875" s="22"/>
      <c r="I875" s="266"/>
      <c r="J875" s="272"/>
      <c r="K875" s="272"/>
      <c r="L875" s="272"/>
      <c r="M875" s="273"/>
      <c r="N875" s="273"/>
      <c r="O875" s="273"/>
      <c r="P875" s="27"/>
      <c r="Q875" s="27"/>
      <c r="R875" s="27"/>
      <c r="S875" s="22"/>
      <c r="T875" s="22"/>
      <c r="U875" s="28"/>
    </row>
    <row r="876" ht="15.75" customHeight="1">
      <c r="A876" s="189"/>
      <c r="B876" s="22"/>
      <c r="C876" s="22"/>
      <c r="D876" s="22"/>
      <c r="E876" s="22"/>
      <c r="F876" s="22"/>
      <c r="G876" s="22"/>
      <c r="H876" s="22"/>
      <c r="I876" s="266"/>
      <c r="J876" s="272"/>
      <c r="K876" s="272"/>
      <c r="L876" s="272"/>
      <c r="M876" s="273"/>
      <c r="N876" s="273"/>
      <c r="O876" s="273"/>
      <c r="P876" s="27"/>
      <c r="Q876" s="27"/>
      <c r="R876" s="27"/>
      <c r="S876" s="22"/>
      <c r="T876" s="22"/>
      <c r="U876" s="28"/>
    </row>
    <row r="877" ht="15.75" customHeight="1">
      <c r="A877" s="189"/>
      <c r="B877" s="22"/>
      <c r="C877" s="22"/>
      <c r="D877" s="22"/>
      <c r="E877" s="22"/>
      <c r="F877" s="22"/>
      <c r="G877" s="22"/>
      <c r="H877" s="22"/>
      <c r="I877" s="266"/>
      <c r="J877" s="272"/>
      <c r="K877" s="272"/>
      <c r="L877" s="272"/>
      <c r="M877" s="273"/>
      <c r="N877" s="273"/>
      <c r="O877" s="273"/>
      <c r="P877" s="27"/>
      <c r="Q877" s="27"/>
      <c r="R877" s="27"/>
      <c r="S877" s="22"/>
      <c r="T877" s="22"/>
      <c r="U877" s="28"/>
    </row>
    <row r="878" ht="15.75" customHeight="1">
      <c r="A878" s="189"/>
      <c r="B878" s="22"/>
      <c r="C878" s="22"/>
      <c r="D878" s="22"/>
      <c r="E878" s="22"/>
      <c r="F878" s="22"/>
      <c r="G878" s="22"/>
      <c r="H878" s="22"/>
      <c r="I878" s="266"/>
      <c r="J878" s="272"/>
      <c r="K878" s="272"/>
      <c r="L878" s="272"/>
      <c r="M878" s="273"/>
      <c r="N878" s="273"/>
      <c r="O878" s="273"/>
      <c r="P878" s="27"/>
      <c r="Q878" s="27"/>
      <c r="R878" s="27"/>
      <c r="S878" s="22"/>
      <c r="T878" s="22"/>
      <c r="U878" s="28"/>
    </row>
    <row r="879" ht="15.75" customHeight="1">
      <c r="A879" s="189"/>
      <c r="B879" s="22"/>
      <c r="C879" s="22"/>
      <c r="D879" s="22"/>
      <c r="E879" s="22"/>
      <c r="F879" s="22"/>
      <c r="G879" s="22"/>
      <c r="H879" s="22"/>
      <c r="I879" s="266"/>
      <c r="J879" s="272"/>
      <c r="K879" s="272"/>
      <c r="L879" s="272"/>
      <c r="M879" s="273"/>
      <c r="N879" s="273"/>
      <c r="O879" s="273"/>
      <c r="P879" s="27"/>
      <c r="Q879" s="27"/>
      <c r="R879" s="27"/>
      <c r="S879" s="22"/>
      <c r="T879" s="22"/>
      <c r="U879" s="28"/>
    </row>
    <row r="880" ht="15.75" customHeight="1">
      <c r="A880" s="189"/>
      <c r="B880" s="22"/>
      <c r="C880" s="22"/>
      <c r="D880" s="22"/>
      <c r="E880" s="22"/>
      <c r="F880" s="22"/>
      <c r="G880" s="22"/>
      <c r="H880" s="22"/>
      <c r="I880" s="266"/>
      <c r="J880" s="272"/>
      <c r="K880" s="272"/>
      <c r="L880" s="272"/>
      <c r="M880" s="273"/>
      <c r="N880" s="273"/>
      <c r="O880" s="273"/>
      <c r="P880" s="27"/>
      <c r="Q880" s="27"/>
      <c r="R880" s="27"/>
      <c r="S880" s="22"/>
      <c r="T880" s="22"/>
      <c r="U880" s="28"/>
    </row>
    <row r="881" ht="15.75" customHeight="1">
      <c r="A881" s="189"/>
      <c r="B881" s="22"/>
      <c r="C881" s="22"/>
      <c r="D881" s="22"/>
      <c r="E881" s="22"/>
      <c r="F881" s="22"/>
      <c r="G881" s="22"/>
      <c r="H881" s="22"/>
      <c r="I881" s="266"/>
      <c r="J881" s="272"/>
      <c r="K881" s="272"/>
      <c r="L881" s="272"/>
      <c r="M881" s="273"/>
      <c r="N881" s="273"/>
      <c r="O881" s="273"/>
      <c r="P881" s="27"/>
      <c r="Q881" s="27"/>
      <c r="R881" s="27"/>
      <c r="S881" s="22"/>
      <c r="T881" s="22"/>
      <c r="U881" s="28"/>
    </row>
    <row r="882" ht="15.75" customHeight="1">
      <c r="A882" s="189"/>
      <c r="B882" s="22"/>
      <c r="C882" s="22"/>
      <c r="D882" s="22"/>
      <c r="E882" s="22"/>
      <c r="F882" s="22"/>
      <c r="G882" s="22"/>
      <c r="H882" s="22"/>
      <c r="I882" s="266"/>
      <c r="J882" s="272"/>
      <c r="K882" s="272"/>
      <c r="L882" s="272"/>
      <c r="M882" s="273"/>
      <c r="N882" s="273"/>
      <c r="O882" s="273"/>
      <c r="P882" s="27"/>
      <c r="Q882" s="27"/>
      <c r="R882" s="27"/>
      <c r="S882" s="22"/>
      <c r="T882" s="22"/>
      <c r="U882" s="28"/>
    </row>
    <row r="883" ht="15.75" customHeight="1">
      <c r="A883" s="189"/>
      <c r="B883" s="22"/>
      <c r="C883" s="22"/>
      <c r="D883" s="22"/>
      <c r="E883" s="22"/>
      <c r="F883" s="22"/>
      <c r="G883" s="22"/>
      <c r="H883" s="22"/>
      <c r="I883" s="266"/>
      <c r="J883" s="272"/>
      <c r="K883" s="272"/>
      <c r="L883" s="272"/>
      <c r="M883" s="273"/>
      <c r="N883" s="273"/>
      <c r="O883" s="273"/>
      <c r="P883" s="27"/>
      <c r="Q883" s="27"/>
      <c r="R883" s="27"/>
      <c r="S883" s="22"/>
      <c r="T883" s="22"/>
      <c r="U883" s="28"/>
    </row>
    <row r="884" ht="15.75" customHeight="1">
      <c r="A884" s="189"/>
      <c r="B884" s="22"/>
      <c r="C884" s="22"/>
      <c r="D884" s="22"/>
      <c r="E884" s="22"/>
      <c r="F884" s="22"/>
      <c r="G884" s="22"/>
      <c r="H884" s="22"/>
      <c r="I884" s="266"/>
      <c r="J884" s="272"/>
      <c r="K884" s="272"/>
      <c r="L884" s="272"/>
      <c r="M884" s="273"/>
      <c r="N884" s="273"/>
      <c r="O884" s="273"/>
      <c r="P884" s="27"/>
      <c r="Q884" s="27"/>
      <c r="R884" s="27"/>
      <c r="S884" s="22"/>
      <c r="T884" s="22"/>
      <c r="U884" s="28"/>
    </row>
    <row r="885" ht="15.75" customHeight="1">
      <c r="A885" s="189"/>
      <c r="B885" s="22"/>
      <c r="C885" s="22"/>
      <c r="D885" s="22"/>
      <c r="E885" s="22"/>
      <c r="F885" s="22"/>
      <c r="G885" s="22"/>
      <c r="H885" s="22"/>
      <c r="I885" s="266"/>
      <c r="J885" s="272"/>
      <c r="K885" s="272"/>
      <c r="L885" s="272"/>
      <c r="M885" s="273"/>
      <c r="N885" s="273"/>
      <c r="O885" s="273"/>
      <c r="P885" s="27"/>
      <c r="Q885" s="27"/>
      <c r="R885" s="27"/>
      <c r="S885" s="22"/>
      <c r="T885" s="22"/>
      <c r="U885" s="28"/>
    </row>
    <row r="886" ht="15.75" customHeight="1">
      <c r="A886" s="189"/>
      <c r="B886" s="22"/>
      <c r="C886" s="22"/>
      <c r="D886" s="22"/>
      <c r="E886" s="22"/>
      <c r="F886" s="22"/>
      <c r="G886" s="22"/>
      <c r="H886" s="22"/>
      <c r="I886" s="266"/>
      <c r="J886" s="272"/>
      <c r="K886" s="272"/>
      <c r="L886" s="272"/>
      <c r="M886" s="273"/>
      <c r="N886" s="273"/>
      <c r="O886" s="273"/>
      <c r="P886" s="27"/>
      <c r="Q886" s="27"/>
      <c r="R886" s="27"/>
      <c r="S886" s="22"/>
      <c r="T886" s="22"/>
      <c r="U886" s="28"/>
    </row>
    <row r="887" ht="15.75" customHeight="1">
      <c r="A887" s="189"/>
      <c r="B887" s="22"/>
      <c r="C887" s="22"/>
      <c r="D887" s="22"/>
      <c r="E887" s="22"/>
      <c r="F887" s="22"/>
      <c r="G887" s="22"/>
      <c r="H887" s="22"/>
      <c r="I887" s="266"/>
      <c r="J887" s="272"/>
      <c r="K887" s="272"/>
      <c r="L887" s="272"/>
      <c r="M887" s="273"/>
      <c r="N887" s="273"/>
      <c r="O887" s="273"/>
      <c r="P887" s="27"/>
      <c r="Q887" s="27"/>
      <c r="R887" s="27"/>
      <c r="S887" s="22"/>
      <c r="T887" s="22"/>
      <c r="U887" s="28"/>
    </row>
    <row r="888" ht="15.75" customHeight="1">
      <c r="A888" s="189"/>
      <c r="B888" s="22"/>
      <c r="C888" s="22"/>
      <c r="D888" s="22"/>
      <c r="E888" s="22"/>
      <c r="F888" s="22"/>
      <c r="G888" s="22"/>
      <c r="H888" s="22"/>
      <c r="I888" s="266"/>
      <c r="J888" s="272"/>
      <c r="K888" s="272"/>
      <c r="L888" s="272"/>
      <c r="M888" s="273"/>
      <c r="N888" s="273"/>
      <c r="O888" s="273"/>
      <c r="P888" s="27"/>
      <c r="Q888" s="27"/>
      <c r="R888" s="27"/>
      <c r="S888" s="22"/>
      <c r="T888" s="22"/>
      <c r="U888" s="28"/>
    </row>
    <row r="889" ht="15.75" customHeight="1">
      <c r="A889" s="189"/>
      <c r="B889" s="22"/>
      <c r="C889" s="22"/>
      <c r="D889" s="22"/>
      <c r="E889" s="22"/>
      <c r="F889" s="22"/>
      <c r="G889" s="22"/>
      <c r="H889" s="22"/>
      <c r="I889" s="266"/>
      <c r="J889" s="272"/>
      <c r="K889" s="272"/>
      <c r="L889" s="272"/>
      <c r="M889" s="273"/>
      <c r="N889" s="273"/>
      <c r="O889" s="273"/>
      <c r="P889" s="27"/>
      <c r="Q889" s="27"/>
      <c r="R889" s="27"/>
      <c r="S889" s="22"/>
      <c r="T889" s="22"/>
      <c r="U889" s="28"/>
    </row>
    <row r="890" ht="15.75" customHeight="1">
      <c r="A890" s="189"/>
      <c r="B890" s="22"/>
      <c r="C890" s="22"/>
      <c r="D890" s="22"/>
      <c r="E890" s="22"/>
      <c r="F890" s="22"/>
      <c r="G890" s="22"/>
      <c r="H890" s="22"/>
      <c r="I890" s="266"/>
      <c r="J890" s="272"/>
      <c r="K890" s="272"/>
      <c r="L890" s="272"/>
      <c r="M890" s="273"/>
      <c r="N890" s="273"/>
      <c r="O890" s="273"/>
      <c r="P890" s="27"/>
      <c r="Q890" s="27"/>
      <c r="R890" s="27"/>
      <c r="S890" s="22"/>
      <c r="T890" s="22"/>
      <c r="U890" s="28"/>
    </row>
    <row r="891" ht="15.75" customHeight="1">
      <c r="A891" s="189"/>
      <c r="B891" s="22"/>
      <c r="C891" s="22"/>
      <c r="D891" s="22"/>
      <c r="E891" s="22"/>
      <c r="F891" s="22"/>
      <c r="G891" s="22"/>
      <c r="H891" s="22"/>
      <c r="I891" s="266"/>
      <c r="J891" s="272"/>
      <c r="K891" s="272"/>
      <c r="L891" s="272"/>
      <c r="M891" s="273"/>
      <c r="N891" s="273"/>
      <c r="O891" s="273"/>
      <c r="P891" s="27"/>
      <c r="Q891" s="27"/>
      <c r="R891" s="27"/>
      <c r="S891" s="22"/>
      <c r="T891" s="22"/>
      <c r="U891" s="28"/>
    </row>
    <row r="892" ht="15.75" customHeight="1">
      <c r="A892" s="189"/>
      <c r="B892" s="22"/>
      <c r="C892" s="22"/>
      <c r="D892" s="22"/>
      <c r="E892" s="22"/>
      <c r="F892" s="22"/>
      <c r="G892" s="22"/>
      <c r="H892" s="22"/>
      <c r="I892" s="266"/>
      <c r="J892" s="272"/>
      <c r="K892" s="272"/>
      <c r="L892" s="272"/>
      <c r="M892" s="273"/>
      <c r="N892" s="273"/>
      <c r="O892" s="273"/>
      <c r="P892" s="27"/>
      <c r="Q892" s="27"/>
      <c r="R892" s="27"/>
      <c r="S892" s="22"/>
      <c r="T892" s="22"/>
      <c r="U892" s="28"/>
    </row>
    <row r="893" ht="15.75" customHeight="1">
      <c r="A893" s="189"/>
      <c r="B893" s="22"/>
      <c r="C893" s="22"/>
      <c r="D893" s="22"/>
      <c r="E893" s="22"/>
      <c r="F893" s="22"/>
      <c r="G893" s="22"/>
      <c r="H893" s="22"/>
      <c r="I893" s="266"/>
      <c r="J893" s="272"/>
      <c r="K893" s="272"/>
      <c r="L893" s="272"/>
      <c r="M893" s="273"/>
      <c r="N893" s="273"/>
      <c r="O893" s="273"/>
      <c r="P893" s="27"/>
      <c r="Q893" s="27"/>
      <c r="R893" s="27"/>
      <c r="S893" s="22"/>
      <c r="T893" s="22"/>
      <c r="U893" s="28"/>
    </row>
    <row r="894" ht="15.75" customHeight="1">
      <c r="A894" s="189"/>
      <c r="B894" s="22"/>
      <c r="C894" s="22"/>
      <c r="D894" s="22"/>
      <c r="E894" s="22"/>
      <c r="F894" s="22"/>
      <c r="G894" s="22"/>
      <c r="H894" s="22"/>
      <c r="I894" s="266"/>
      <c r="J894" s="272"/>
      <c r="K894" s="272"/>
      <c r="L894" s="272"/>
      <c r="M894" s="273"/>
      <c r="N894" s="273"/>
      <c r="O894" s="273"/>
      <c r="P894" s="27"/>
      <c r="Q894" s="27"/>
      <c r="R894" s="27"/>
      <c r="S894" s="22"/>
      <c r="T894" s="22"/>
      <c r="U894" s="28"/>
    </row>
    <row r="895" ht="15.75" customHeight="1">
      <c r="A895" s="189"/>
      <c r="B895" s="22"/>
      <c r="C895" s="22"/>
      <c r="D895" s="22"/>
      <c r="E895" s="22"/>
      <c r="F895" s="22"/>
      <c r="G895" s="22"/>
      <c r="H895" s="22"/>
      <c r="I895" s="266"/>
      <c r="J895" s="272"/>
      <c r="K895" s="272"/>
      <c r="L895" s="272"/>
      <c r="M895" s="273"/>
      <c r="N895" s="273"/>
      <c r="O895" s="273"/>
      <c r="P895" s="27"/>
      <c r="Q895" s="27"/>
      <c r="R895" s="27"/>
      <c r="S895" s="22"/>
      <c r="T895" s="22"/>
      <c r="U895" s="28"/>
    </row>
    <row r="896" ht="15.75" customHeight="1">
      <c r="A896" s="189"/>
      <c r="B896" s="22"/>
      <c r="C896" s="22"/>
      <c r="D896" s="22"/>
      <c r="E896" s="22"/>
      <c r="F896" s="22"/>
      <c r="G896" s="22"/>
      <c r="H896" s="22"/>
      <c r="I896" s="266"/>
      <c r="J896" s="272"/>
      <c r="K896" s="272"/>
      <c r="L896" s="272"/>
      <c r="M896" s="273"/>
      <c r="N896" s="273"/>
      <c r="O896" s="273"/>
      <c r="P896" s="27"/>
      <c r="Q896" s="27"/>
      <c r="R896" s="27"/>
      <c r="S896" s="22"/>
      <c r="T896" s="22"/>
      <c r="U896" s="28"/>
    </row>
    <row r="897" ht="15.75" customHeight="1">
      <c r="A897" s="189"/>
      <c r="B897" s="22"/>
      <c r="C897" s="22"/>
      <c r="D897" s="22"/>
      <c r="E897" s="22"/>
      <c r="F897" s="22"/>
      <c r="G897" s="22"/>
      <c r="H897" s="22"/>
      <c r="I897" s="266"/>
      <c r="J897" s="272"/>
      <c r="K897" s="272"/>
      <c r="L897" s="272"/>
      <c r="M897" s="273"/>
      <c r="N897" s="273"/>
      <c r="O897" s="273"/>
      <c r="P897" s="27"/>
      <c r="Q897" s="27"/>
      <c r="R897" s="27"/>
      <c r="S897" s="22"/>
      <c r="T897" s="22"/>
      <c r="U897" s="28"/>
    </row>
    <row r="898" ht="15.75" customHeight="1">
      <c r="A898" s="189"/>
      <c r="B898" s="22"/>
      <c r="C898" s="22"/>
      <c r="D898" s="22"/>
      <c r="E898" s="22"/>
      <c r="F898" s="22"/>
      <c r="G898" s="22"/>
      <c r="H898" s="22"/>
      <c r="I898" s="266"/>
      <c r="J898" s="272"/>
      <c r="K898" s="272"/>
      <c r="L898" s="272"/>
      <c r="M898" s="273"/>
      <c r="N898" s="273"/>
      <c r="O898" s="273"/>
      <c r="P898" s="27"/>
      <c r="Q898" s="27"/>
      <c r="R898" s="27"/>
      <c r="S898" s="22"/>
      <c r="T898" s="22"/>
      <c r="U898" s="28"/>
    </row>
    <row r="899" ht="15.75" customHeight="1">
      <c r="A899" s="189"/>
      <c r="B899" s="22"/>
      <c r="C899" s="22"/>
      <c r="D899" s="22"/>
      <c r="E899" s="22"/>
      <c r="F899" s="22"/>
      <c r="G899" s="22"/>
      <c r="H899" s="22"/>
      <c r="I899" s="266"/>
      <c r="J899" s="272"/>
      <c r="K899" s="272"/>
      <c r="L899" s="272"/>
      <c r="M899" s="273"/>
      <c r="N899" s="273"/>
      <c r="O899" s="273"/>
      <c r="P899" s="27"/>
      <c r="Q899" s="27"/>
      <c r="R899" s="27"/>
      <c r="S899" s="22"/>
      <c r="T899" s="22"/>
      <c r="U899" s="28"/>
    </row>
    <row r="900" ht="15.75" customHeight="1">
      <c r="A900" s="189"/>
      <c r="B900" s="22"/>
      <c r="C900" s="22"/>
      <c r="D900" s="22"/>
      <c r="E900" s="22"/>
      <c r="F900" s="22"/>
      <c r="G900" s="22"/>
      <c r="H900" s="22"/>
      <c r="I900" s="266"/>
      <c r="J900" s="272"/>
      <c r="K900" s="272"/>
      <c r="L900" s="272"/>
      <c r="M900" s="273"/>
      <c r="N900" s="273"/>
      <c r="O900" s="273"/>
      <c r="P900" s="27"/>
      <c r="Q900" s="27"/>
      <c r="R900" s="27"/>
      <c r="S900" s="22"/>
      <c r="T900" s="22"/>
      <c r="U900" s="28"/>
    </row>
    <row r="901" ht="15.75" customHeight="1">
      <c r="A901" s="189"/>
      <c r="B901" s="22"/>
      <c r="C901" s="22"/>
      <c r="D901" s="22"/>
      <c r="E901" s="22"/>
      <c r="F901" s="22"/>
      <c r="G901" s="22"/>
      <c r="H901" s="22"/>
      <c r="I901" s="266"/>
      <c r="J901" s="272"/>
      <c r="K901" s="272"/>
      <c r="L901" s="272"/>
      <c r="M901" s="273"/>
      <c r="N901" s="273"/>
      <c r="O901" s="273"/>
      <c r="P901" s="27"/>
      <c r="Q901" s="27"/>
      <c r="R901" s="27"/>
      <c r="S901" s="22"/>
      <c r="T901" s="22"/>
      <c r="U901" s="28"/>
    </row>
    <row r="902" ht="15.75" customHeight="1">
      <c r="A902" s="189"/>
      <c r="B902" s="22"/>
      <c r="C902" s="22"/>
      <c r="D902" s="22"/>
      <c r="E902" s="22"/>
      <c r="F902" s="22"/>
      <c r="G902" s="22"/>
      <c r="H902" s="22"/>
      <c r="I902" s="266"/>
      <c r="J902" s="272"/>
      <c r="K902" s="272"/>
      <c r="L902" s="272"/>
      <c r="M902" s="273"/>
      <c r="N902" s="273"/>
      <c r="O902" s="273"/>
      <c r="P902" s="27"/>
      <c r="Q902" s="27"/>
      <c r="R902" s="27"/>
      <c r="S902" s="22"/>
      <c r="T902" s="22"/>
      <c r="U902" s="28"/>
    </row>
    <row r="903" ht="15.75" customHeight="1">
      <c r="A903" s="189"/>
      <c r="B903" s="22"/>
      <c r="C903" s="22"/>
      <c r="D903" s="22"/>
      <c r="E903" s="22"/>
      <c r="F903" s="22"/>
      <c r="G903" s="22"/>
      <c r="H903" s="22"/>
      <c r="I903" s="266"/>
      <c r="J903" s="272"/>
      <c r="K903" s="272"/>
      <c r="L903" s="272"/>
      <c r="M903" s="273"/>
      <c r="N903" s="273"/>
      <c r="O903" s="273"/>
      <c r="P903" s="27"/>
      <c r="Q903" s="27"/>
      <c r="R903" s="27"/>
      <c r="S903" s="22"/>
      <c r="T903" s="22"/>
      <c r="U903" s="28"/>
    </row>
    <row r="904" ht="15.75" customHeight="1">
      <c r="A904" s="189"/>
      <c r="B904" s="22"/>
      <c r="C904" s="22"/>
      <c r="D904" s="22"/>
      <c r="E904" s="22"/>
      <c r="F904" s="22"/>
      <c r="G904" s="22"/>
      <c r="H904" s="22"/>
      <c r="I904" s="266"/>
      <c r="J904" s="272"/>
      <c r="K904" s="272"/>
      <c r="L904" s="272"/>
      <c r="M904" s="273"/>
      <c r="N904" s="273"/>
      <c r="O904" s="273"/>
      <c r="P904" s="27"/>
      <c r="Q904" s="27"/>
      <c r="R904" s="27"/>
      <c r="S904" s="22"/>
      <c r="T904" s="22"/>
      <c r="U904" s="28"/>
    </row>
    <row r="905" ht="15.75" customHeight="1">
      <c r="A905" s="189"/>
      <c r="B905" s="22"/>
      <c r="C905" s="22"/>
      <c r="D905" s="22"/>
      <c r="E905" s="22"/>
      <c r="F905" s="22"/>
      <c r="G905" s="22"/>
      <c r="H905" s="22"/>
      <c r="I905" s="266"/>
      <c r="J905" s="272"/>
      <c r="K905" s="272"/>
      <c r="L905" s="272"/>
      <c r="M905" s="273"/>
      <c r="N905" s="273"/>
      <c r="O905" s="273"/>
      <c r="P905" s="27"/>
      <c r="Q905" s="27"/>
      <c r="R905" s="27"/>
      <c r="S905" s="22"/>
      <c r="T905" s="22"/>
      <c r="U905" s="28"/>
    </row>
    <row r="906" ht="15.75" customHeight="1">
      <c r="A906" s="189"/>
      <c r="B906" s="22"/>
      <c r="C906" s="22"/>
      <c r="D906" s="22"/>
      <c r="E906" s="22"/>
      <c r="F906" s="22"/>
      <c r="G906" s="22"/>
      <c r="H906" s="22"/>
      <c r="I906" s="266"/>
      <c r="J906" s="272"/>
      <c r="K906" s="272"/>
      <c r="L906" s="272"/>
      <c r="M906" s="273"/>
      <c r="N906" s="273"/>
      <c r="O906" s="273"/>
      <c r="P906" s="27"/>
      <c r="Q906" s="27"/>
      <c r="R906" s="27"/>
      <c r="S906" s="22"/>
      <c r="T906" s="22"/>
      <c r="U906" s="28"/>
    </row>
    <row r="907" ht="15.75" customHeight="1">
      <c r="A907" s="189"/>
      <c r="B907" s="22"/>
      <c r="C907" s="22"/>
      <c r="D907" s="22"/>
      <c r="E907" s="22"/>
      <c r="F907" s="22"/>
      <c r="G907" s="22"/>
      <c r="H907" s="22"/>
      <c r="I907" s="266"/>
      <c r="J907" s="272"/>
      <c r="K907" s="272"/>
      <c r="L907" s="272"/>
      <c r="M907" s="273"/>
      <c r="N907" s="273"/>
      <c r="O907" s="273"/>
      <c r="P907" s="27"/>
      <c r="Q907" s="27"/>
      <c r="R907" s="27"/>
      <c r="S907" s="22"/>
      <c r="T907" s="22"/>
      <c r="U907" s="28"/>
    </row>
    <row r="908" ht="15.75" customHeight="1">
      <c r="A908" s="189"/>
      <c r="B908" s="22"/>
      <c r="C908" s="22"/>
      <c r="D908" s="22"/>
      <c r="E908" s="22"/>
      <c r="F908" s="22"/>
      <c r="G908" s="22"/>
      <c r="H908" s="22"/>
      <c r="I908" s="266"/>
      <c r="J908" s="272"/>
      <c r="K908" s="272"/>
      <c r="L908" s="272"/>
      <c r="M908" s="273"/>
      <c r="N908" s="273"/>
      <c r="O908" s="273"/>
      <c r="P908" s="27"/>
      <c r="Q908" s="27"/>
      <c r="R908" s="27"/>
      <c r="S908" s="22"/>
      <c r="T908" s="22"/>
      <c r="U908" s="28"/>
    </row>
    <row r="909" ht="15.75" customHeight="1">
      <c r="A909" s="189"/>
      <c r="B909" s="22"/>
      <c r="C909" s="22"/>
      <c r="D909" s="22"/>
      <c r="E909" s="22"/>
      <c r="F909" s="22"/>
      <c r="G909" s="22"/>
      <c r="H909" s="22"/>
      <c r="I909" s="266"/>
      <c r="J909" s="272"/>
      <c r="K909" s="272"/>
      <c r="L909" s="272"/>
      <c r="M909" s="273"/>
      <c r="N909" s="273"/>
      <c r="O909" s="273"/>
      <c r="P909" s="27"/>
      <c r="Q909" s="27"/>
      <c r="R909" s="27"/>
      <c r="S909" s="22"/>
      <c r="T909" s="22"/>
      <c r="U909" s="28"/>
    </row>
    <row r="910" ht="15.75" customHeight="1">
      <c r="A910" s="189"/>
      <c r="B910" s="22"/>
      <c r="C910" s="22"/>
      <c r="D910" s="22"/>
      <c r="E910" s="22"/>
      <c r="F910" s="22"/>
      <c r="G910" s="22"/>
      <c r="H910" s="22"/>
      <c r="I910" s="266"/>
      <c r="J910" s="272"/>
      <c r="K910" s="272"/>
      <c r="L910" s="272"/>
      <c r="M910" s="273"/>
      <c r="N910" s="273"/>
      <c r="O910" s="273"/>
      <c r="P910" s="27"/>
      <c r="Q910" s="27"/>
      <c r="R910" s="27"/>
      <c r="S910" s="22"/>
      <c r="T910" s="22"/>
      <c r="U910" s="28"/>
    </row>
    <row r="911" ht="15.75" customHeight="1">
      <c r="A911" s="189"/>
      <c r="B911" s="22"/>
      <c r="C911" s="22"/>
      <c r="D911" s="22"/>
      <c r="E911" s="22"/>
      <c r="F911" s="22"/>
      <c r="G911" s="22"/>
      <c r="H911" s="22"/>
      <c r="I911" s="266"/>
      <c r="J911" s="272"/>
      <c r="K911" s="272"/>
      <c r="L911" s="272"/>
      <c r="M911" s="273"/>
      <c r="N911" s="273"/>
      <c r="O911" s="273"/>
      <c r="P911" s="27"/>
      <c r="Q911" s="27"/>
      <c r="R911" s="27"/>
      <c r="S911" s="22"/>
      <c r="T911" s="22"/>
      <c r="U911" s="28"/>
    </row>
    <row r="912" ht="15.75" customHeight="1">
      <c r="A912" s="189"/>
      <c r="B912" s="22"/>
      <c r="C912" s="22"/>
      <c r="D912" s="22"/>
      <c r="E912" s="22"/>
      <c r="F912" s="22"/>
      <c r="G912" s="22"/>
      <c r="H912" s="22"/>
      <c r="I912" s="266"/>
      <c r="J912" s="272"/>
      <c r="K912" s="272"/>
      <c r="L912" s="272"/>
      <c r="M912" s="273"/>
      <c r="N912" s="273"/>
      <c r="O912" s="273"/>
      <c r="P912" s="27"/>
      <c r="Q912" s="27"/>
      <c r="R912" s="27"/>
      <c r="S912" s="22"/>
      <c r="T912" s="22"/>
      <c r="U912" s="28"/>
    </row>
    <row r="913" ht="15.75" customHeight="1">
      <c r="A913" s="189"/>
      <c r="B913" s="22"/>
      <c r="C913" s="22"/>
      <c r="D913" s="22"/>
      <c r="E913" s="22"/>
      <c r="F913" s="22"/>
      <c r="G913" s="22"/>
      <c r="H913" s="22"/>
      <c r="I913" s="266"/>
      <c r="J913" s="272"/>
      <c r="K913" s="272"/>
      <c r="L913" s="272"/>
      <c r="M913" s="273"/>
      <c r="N913" s="273"/>
      <c r="O913" s="273"/>
      <c r="P913" s="27"/>
      <c r="Q913" s="27"/>
      <c r="R913" s="27"/>
      <c r="S913" s="22"/>
      <c r="T913" s="22"/>
      <c r="U913" s="28"/>
    </row>
    <row r="914" ht="15.75" customHeight="1">
      <c r="A914" s="189"/>
      <c r="B914" s="22"/>
      <c r="C914" s="22"/>
      <c r="D914" s="22"/>
      <c r="E914" s="22"/>
      <c r="F914" s="22"/>
      <c r="G914" s="22"/>
      <c r="H914" s="22"/>
      <c r="I914" s="266"/>
      <c r="J914" s="272"/>
      <c r="K914" s="272"/>
      <c r="L914" s="272"/>
      <c r="M914" s="273"/>
      <c r="N914" s="273"/>
      <c r="O914" s="273"/>
      <c r="P914" s="27"/>
      <c r="Q914" s="27"/>
      <c r="R914" s="27"/>
      <c r="S914" s="22"/>
      <c r="T914" s="22"/>
      <c r="U914" s="28"/>
    </row>
    <row r="915" ht="15.75" customHeight="1">
      <c r="A915" s="189"/>
      <c r="B915" s="22"/>
      <c r="C915" s="22"/>
      <c r="D915" s="22"/>
      <c r="E915" s="22"/>
      <c r="F915" s="22"/>
      <c r="G915" s="22"/>
      <c r="H915" s="22"/>
      <c r="I915" s="266"/>
      <c r="J915" s="272"/>
      <c r="K915" s="272"/>
      <c r="L915" s="272"/>
      <c r="M915" s="273"/>
      <c r="N915" s="273"/>
      <c r="O915" s="273"/>
      <c r="P915" s="27"/>
      <c r="Q915" s="27"/>
      <c r="R915" s="27"/>
      <c r="S915" s="22"/>
      <c r="T915" s="22"/>
      <c r="U915" s="28"/>
    </row>
    <row r="916" ht="15.75" customHeight="1">
      <c r="A916" s="189"/>
      <c r="B916" s="22"/>
      <c r="C916" s="22"/>
      <c r="D916" s="22"/>
      <c r="E916" s="22"/>
      <c r="F916" s="22"/>
      <c r="G916" s="22"/>
      <c r="H916" s="22"/>
      <c r="I916" s="266"/>
      <c r="J916" s="272"/>
      <c r="K916" s="272"/>
      <c r="L916" s="272"/>
      <c r="M916" s="273"/>
      <c r="N916" s="273"/>
      <c r="O916" s="273"/>
      <c r="P916" s="27"/>
      <c r="Q916" s="27"/>
      <c r="R916" s="27"/>
      <c r="S916" s="22"/>
      <c r="T916" s="22"/>
      <c r="U916" s="28"/>
    </row>
    <row r="917" ht="15.75" customHeight="1">
      <c r="A917" s="189"/>
      <c r="B917" s="22"/>
      <c r="C917" s="22"/>
      <c r="D917" s="22"/>
      <c r="E917" s="22"/>
      <c r="F917" s="22"/>
      <c r="G917" s="22"/>
      <c r="H917" s="22"/>
      <c r="I917" s="266"/>
      <c r="J917" s="272"/>
      <c r="K917" s="272"/>
      <c r="L917" s="272"/>
      <c r="M917" s="273"/>
      <c r="N917" s="273"/>
      <c r="O917" s="273"/>
      <c r="P917" s="27"/>
      <c r="Q917" s="27"/>
      <c r="R917" s="27"/>
      <c r="S917" s="22"/>
      <c r="T917" s="22"/>
      <c r="U917" s="28"/>
    </row>
    <row r="918" ht="15.75" customHeight="1">
      <c r="A918" s="189"/>
      <c r="B918" s="22"/>
      <c r="C918" s="22"/>
      <c r="D918" s="22"/>
      <c r="E918" s="22"/>
      <c r="F918" s="22"/>
      <c r="G918" s="22"/>
      <c r="H918" s="22"/>
      <c r="I918" s="266"/>
      <c r="J918" s="272"/>
      <c r="K918" s="272"/>
      <c r="L918" s="272"/>
      <c r="M918" s="273"/>
      <c r="N918" s="273"/>
      <c r="O918" s="273"/>
      <c r="P918" s="27"/>
      <c r="Q918" s="27"/>
      <c r="R918" s="27"/>
      <c r="S918" s="22"/>
      <c r="T918" s="22"/>
      <c r="U918" s="28"/>
    </row>
    <row r="919" ht="15.75" customHeight="1">
      <c r="A919" s="189"/>
      <c r="B919" s="22"/>
      <c r="C919" s="22"/>
      <c r="D919" s="22"/>
      <c r="E919" s="22"/>
      <c r="F919" s="22"/>
      <c r="G919" s="22"/>
      <c r="H919" s="22"/>
      <c r="I919" s="266"/>
      <c r="J919" s="272"/>
      <c r="K919" s="272"/>
      <c r="L919" s="272"/>
      <c r="M919" s="273"/>
      <c r="N919" s="273"/>
      <c r="O919" s="273"/>
      <c r="P919" s="27"/>
      <c r="Q919" s="27"/>
      <c r="R919" s="27"/>
      <c r="S919" s="22"/>
      <c r="T919" s="22"/>
      <c r="U919" s="28"/>
    </row>
    <row r="920" ht="15.75" customHeight="1">
      <c r="A920" s="189"/>
      <c r="B920" s="22"/>
      <c r="C920" s="22"/>
      <c r="D920" s="22"/>
      <c r="E920" s="22"/>
      <c r="F920" s="22"/>
      <c r="G920" s="22"/>
      <c r="H920" s="22"/>
      <c r="I920" s="266"/>
      <c r="J920" s="272"/>
      <c r="K920" s="272"/>
      <c r="L920" s="272"/>
      <c r="M920" s="273"/>
      <c r="N920" s="273"/>
      <c r="O920" s="273"/>
      <c r="P920" s="27"/>
      <c r="Q920" s="27"/>
      <c r="R920" s="27"/>
      <c r="S920" s="22"/>
      <c r="T920" s="22"/>
      <c r="U920" s="28"/>
    </row>
    <row r="921" ht="15.75" customHeight="1">
      <c r="A921" s="189"/>
      <c r="B921" s="22"/>
      <c r="C921" s="22"/>
      <c r="D921" s="22"/>
      <c r="E921" s="22"/>
      <c r="F921" s="22"/>
      <c r="G921" s="22"/>
      <c r="H921" s="22"/>
      <c r="I921" s="266"/>
      <c r="J921" s="272"/>
      <c r="K921" s="272"/>
      <c r="L921" s="272"/>
      <c r="M921" s="273"/>
      <c r="N921" s="273"/>
      <c r="O921" s="273"/>
      <c r="P921" s="27"/>
      <c r="Q921" s="27"/>
      <c r="R921" s="27"/>
      <c r="S921" s="22"/>
      <c r="T921" s="22"/>
      <c r="U921" s="28"/>
    </row>
    <row r="922" ht="15.75" customHeight="1">
      <c r="A922" s="189"/>
      <c r="B922" s="22"/>
      <c r="C922" s="22"/>
      <c r="D922" s="22"/>
      <c r="E922" s="22"/>
      <c r="F922" s="22"/>
      <c r="G922" s="22"/>
      <c r="H922" s="22"/>
      <c r="I922" s="266"/>
      <c r="J922" s="272"/>
      <c r="K922" s="272"/>
      <c r="L922" s="272"/>
      <c r="M922" s="273"/>
      <c r="N922" s="273"/>
      <c r="O922" s="273"/>
      <c r="P922" s="27"/>
      <c r="Q922" s="27"/>
      <c r="R922" s="27"/>
      <c r="S922" s="22"/>
      <c r="T922" s="22"/>
      <c r="U922" s="28"/>
    </row>
    <row r="923" ht="15.75" customHeight="1">
      <c r="A923" s="189"/>
      <c r="B923" s="22"/>
      <c r="C923" s="22"/>
      <c r="D923" s="22"/>
      <c r="E923" s="22"/>
      <c r="F923" s="22"/>
      <c r="G923" s="22"/>
      <c r="H923" s="22"/>
      <c r="I923" s="266"/>
      <c r="J923" s="272"/>
      <c r="K923" s="272"/>
      <c r="L923" s="272"/>
      <c r="M923" s="273"/>
      <c r="N923" s="273"/>
      <c r="O923" s="273"/>
      <c r="P923" s="27"/>
      <c r="Q923" s="27"/>
      <c r="R923" s="27"/>
      <c r="S923" s="22"/>
      <c r="T923" s="22"/>
      <c r="U923" s="28"/>
    </row>
    <row r="924" ht="15.75" customHeight="1">
      <c r="A924" s="189"/>
      <c r="B924" s="22"/>
      <c r="C924" s="22"/>
      <c r="D924" s="22"/>
      <c r="E924" s="22"/>
      <c r="F924" s="22"/>
      <c r="G924" s="22"/>
      <c r="H924" s="22"/>
      <c r="I924" s="266"/>
      <c r="J924" s="272"/>
      <c r="K924" s="272"/>
      <c r="L924" s="272"/>
      <c r="M924" s="273"/>
      <c r="N924" s="273"/>
      <c r="O924" s="273"/>
      <c r="P924" s="27"/>
      <c r="Q924" s="27"/>
      <c r="R924" s="27"/>
      <c r="S924" s="22"/>
      <c r="T924" s="22"/>
      <c r="U924" s="28"/>
    </row>
    <row r="925" ht="15.75" customHeight="1">
      <c r="A925" s="189"/>
      <c r="B925" s="22"/>
      <c r="C925" s="22"/>
      <c r="D925" s="22"/>
      <c r="E925" s="22"/>
      <c r="F925" s="22"/>
      <c r="G925" s="22"/>
      <c r="H925" s="22"/>
      <c r="I925" s="266"/>
      <c r="J925" s="272"/>
      <c r="K925" s="272"/>
      <c r="L925" s="272"/>
      <c r="M925" s="273"/>
      <c r="N925" s="273"/>
      <c r="O925" s="273"/>
      <c r="P925" s="27"/>
      <c r="Q925" s="27"/>
      <c r="R925" s="27"/>
      <c r="S925" s="22"/>
      <c r="T925" s="22"/>
      <c r="U925" s="28"/>
    </row>
    <row r="926" ht="15.75" customHeight="1">
      <c r="A926" s="189"/>
      <c r="B926" s="22"/>
      <c r="C926" s="22"/>
      <c r="D926" s="22"/>
      <c r="E926" s="22"/>
      <c r="F926" s="22"/>
      <c r="G926" s="22"/>
      <c r="H926" s="22"/>
      <c r="I926" s="266"/>
      <c r="J926" s="272"/>
      <c r="K926" s="272"/>
      <c r="L926" s="272"/>
      <c r="M926" s="273"/>
      <c r="N926" s="273"/>
      <c r="O926" s="273"/>
      <c r="P926" s="27"/>
      <c r="Q926" s="27"/>
      <c r="R926" s="27"/>
      <c r="S926" s="22"/>
      <c r="T926" s="22"/>
      <c r="U926" s="28"/>
    </row>
    <row r="927" ht="15.75" customHeight="1">
      <c r="A927" s="189"/>
      <c r="B927" s="22"/>
      <c r="C927" s="22"/>
      <c r="D927" s="22"/>
      <c r="E927" s="22"/>
      <c r="F927" s="22"/>
      <c r="G927" s="22"/>
      <c r="H927" s="22"/>
      <c r="I927" s="266"/>
      <c r="J927" s="272"/>
      <c r="K927" s="272"/>
      <c r="L927" s="272"/>
      <c r="M927" s="273"/>
      <c r="N927" s="273"/>
      <c r="O927" s="273"/>
      <c r="P927" s="27"/>
      <c r="Q927" s="27"/>
      <c r="R927" s="27"/>
      <c r="S927" s="22"/>
      <c r="T927" s="22"/>
      <c r="U927" s="28"/>
    </row>
    <row r="928" ht="15.75" customHeight="1">
      <c r="A928" s="189"/>
      <c r="B928" s="22"/>
      <c r="C928" s="22"/>
      <c r="D928" s="22"/>
      <c r="E928" s="22"/>
      <c r="F928" s="22"/>
      <c r="G928" s="22"/>
      <c r="H928" s="22"/>
      <c r="I928" s="266"/>
      <c r="J928" s="272"/>
      <c r="K928" s="272"/>
      <c r="L928" s="272"/>
      <c r="M928" s="273"/>
      <c r="N928" s="273"/>
      <c r="O928" s="273"/>
      <c r="P928" s="27"/>
      <c r="Q928" s="27"/>
      <c r="R928" s="27"/>
      <c r="S928" s="22"/>
      <c r="T928" s="22"/>
      <c r="U928" s="28"/>
    </row>
    <row r="929" ht="15.75" customHeight="1">
      <c r="A929" s="189"/>
      <c r="B929" s="22"/>
      <c r="C929" s="22"/>
      <c r="D929" s="22"/>
      <c r="E929" s="22"/>
      <c r="F929" s="22"/>
      <c r="G929" s="22"/>
      <c r="H929" s="22"/>
      <c r="I929" s="266"/>
      <c r="J929" s="272"/>
      <c r="K929" s="272"/>
      <c r="L929" s="272"/>
      <c r="M929" s="273"/>
      <c r="N929" s="273"/>
      <c r="O929" s="273"/>
      <c r="P929" s="27"/>
      <c r="Q929" s="27"/>
      <c r="R929" s="27"/>
      <c r="S929" s="22"/>
      <c r="T929" s="22"/>
      <c r="U929" s="28"/>
    </row>
    <row r="930" ht="15.75" customHeight="1">
      <c r="A930" s="189"/>
      <c r="B930" s="22"/>
      <c r="C930" s="22"/>
      <c r="D930" s="22"/>
      <c r="E930" s="22"/>
      <c r="F930" s="22"/>
      <c r="G930" s="22"/>
      <c r="H930" s="22"/>
      <c r="I930" s="266"/>
      <c r="J930" s="272"/>
      <c r="K930" s="272"/>
      <c r="L930" s="272"/>
      <c r="M930" s="273"/>
      <c r="N930" s="273"/>
      <c r="O930" s="273"/>
      <c r="P930" s="27"/>
      <c r="Q930" s="27"/>
      <c r="R930" s="27"/>
      <c r="S930" s="22"/>
      <c r="T930" s="22"/>
      <c r="U930" s="28"/>
    </row>
    <row r="931" ht="15.75" customHeight="1">
      <c r="A931" s="189"/>
      <c r="B931" s="22"/>
      <c r="C931" s="22"/>
      <c r="D931" s="22"/>
      <c r="E931" s="22"/>
      <c r="F931" s="22"/>
      <c r="G931" s="22"/>
      <c r="H931" s="22"/>
      <c r="I931" s="266"/>
      <c r="J931" s="272"/>
      <c r="K931" s="272"/>
      <c r="L931" s="272"/>
      <c r="M931" s="273"/>
      <c r="N931" s="273"/>
      <c r="O931" s="273"/>
      <c r="P931" s="27"/>
      <c r="Q931" s="27"/>
      <c r="R931" s="27"/>
      <c r="S931" s="22"/>
      <c r="T931" s="22"/>
      <c r="U931" s="28"/>
    </row>
    <row r="932" ht="15.75" customHeight="1">
      <c r="A932" s="189"/>
      <c r="B932" s="22"/>
      <c r="C932" s="22"/>
      <c r="D932" s="22"/>
      <c r="E932" s="22"/>
      <c r="F932" s="22"/>
      <c r="G932" s="22"/>
      <c r="H932" s="22"/>
      <c r="I932" s="266"/>
      <c r="J932" s="272"/>
      <c r="K932" s="272"/>
      <c r="L932" s="272"/>
      <c r="M932" s="273"/>
      <c r="N932" s="273"/>
      <c r="O932" s="273"/>
      <c r="P932" s="27"/>
      <c r="Q932" s="27"/>
      <c r="R932" s="27"/>
      <c r="S932" s="22"/>
      <c r="T932" s="22"/>
      <c r="U932" s="28"/>
    </row>
    <row r="933" ht="15.75" customHeight="1">
      <c r="A933" s="189"/>
      <c r="B933" s="22"/>
      <c r="C933" s="22"/>
      <c r="D933" s="22"/>
      <c r="E933" s="22"/>
      <c r="F933" s="22"/>
      <c r="G933" s="22"/>
      <c r="H933" s="22"/>
      <c r="I933" s="266"/>
      <c r="J933" s="272"/>
      <c r="K933" s="272"/>
      <c r="L933" s="272"/>
      <c r="M933" s="273"/>
      <c r="N933" s="273"/>
      <c r="O933" s="273"/>
      <c r="P933" s="27"/>
      <c r="Q933" s="27"/>
      <c r="R933" s="27"/>
      <c r="S933" s="22"/>
      <c r="T933" s="22"/>
      <c r="U933" s="28"/>
    </row>
    <row r="934" ht="15.75" customHeight="1">
      <c r="A934" s="189"/>
      <c r="B934" s="22"/>
      <c r="C934" s="22"/>
      <c r="D934" s="22"/>
      <c r="E934" s="22"/>
      <c r="F934" s="22"/>
      <c r="G934" s="22"/>
      <c r="H934" s="22"/>
      <c r="I934" s="266"/>
      <c r="J934" s="272"/>
      <c r="K934" s="272"/>
      <c r="L934" s="272"/>
      <c r="M934" s="273"/>
      <c r="N934" s="273"/>
      <c r="O934" s="273"/>
      <c r="P934" s="27"/>
      <c r="Q934" s="27"/>
      <c r="R934" s="27"/>
      <c r="S934" s="22"/>
      <c r="T934" s="22"/>
      <c r="U934" s="28"/>
    </row>
    <row r="935" ht="15.75" customHeight="1">
      <c r="A935" s="189"/>
      <c r="B935" s="22"/>
      <c r="C935" s="22"/>
      <c r="D935" s="22"/>
      <c r="E935" s="22"/>
      <c r="F935" s="22"/>
      <c r="G935" s="22"/>
      <c r="H935" s="22"/>
      <c r="I935" s="266"/>
      <c r="J935" s="272"/>
      <c r="K935" s="272"/>
      <c r="L935" s="272"/>
      <c r="M935" s="273"/>
      <c r="N935" s="273"/>
      <c r="O935" s="273"/>
      <c r="P935" s="27"/>
      <c r="Q935" s="27"/>
      <c r="R935" s="27"/>
      <c r="S935" s="22"/>
      <c r="T935" s="22"/>
      <c r="U935" s="28"/>
    </row>
    <row r="936" ht="15.75" customHeight="1">
      <c r="A936" s="189"/>
      <c r="B936" s="22"/>
      <c r="C936" s="22"/>
      <c r="D936" s="22"/>
      <c r="E936" s="22"/>
      <c r="F936" s="22"/>
      <c r="G936" s="22"/>
      <c r="H936" s="22"/>
      <c r="I936" s="266"/>
      <c r="J936" s="272"/>
      <c r="K936" s="272"/>
      <c r="L936" s="272"/>
      <c r="M936" s="273"/>
      <c r="N936" s="273"/>
      <c r="O936" s="273"/>
      <c r="P936" s="27"/>
      <c r="Q936" s="27"/>
      <c r="R936" s="27"/>
      <c r="S936" s="22"/>
      <c r="T936" s="22"/>
      <c r="U936" s="28"/>
    </row>
    <row r="937" ht="15.75" customHeight="1">
      <c r="A937" s="189"/>
      <c r="B937" s="22"/>
      <c r="C937" s="22"/>
      <c r="D937" s="22"/>
      <c r="E937" s="22"/>
      <c r="F937" s="22"/>
      <c r="G937" s="22"/>
      <c r="H937" s="22"/>
      <c r="I937" s="266"/>
      <c r="J937" s="272"/>
      <c r="K937" s="272"/>
      <c r="L937" s="272"/>
      <c r="M937" s="273"/>
      <c r="N937" s="273"/>
      <c r="O937" s="273"/>
      <c r="P937" s="27"/>
      <c r="Q937" s="27"/>
      <c r="R937" s="27"/>
      <c r="S937" s="22"/>
      <c r="T937" s="22"/>
      <c r="U937" s="28"/>
    </row>
    <row r="938" ht="15.75" customHeight="1">
      <c r="A938" s="189"/>
      <c r="B938" s="22"/>
      <c r="C938" s="22"/>
      <c r="D938" s="22"/>
      <c r="E938" s="22"/>
      <c r="F938" s="22"/>
      <c r="G938" s="22"/>
      <c r="H938" s="22"/>
      <c r="I938" s="266"/>
      <c r="J938" s="272"/>
      <c r="K938" s="272"/>
      <c r="L938" s="272"/>
      <c r="M938" s="273"/>
      <c r="N938" s="273"/>
      <c r="O938" s="273"/>
      <c r="P938" s="27"/>
      <c r="Q938" s="27"/>
      <c r="R938" s="27"/>
      <c r="S938" s="22"/>
      <c r="T938" s="22"/>
      <c r="U938" s="28"/>
    </row>
    <row r="939" ht="15.75" customHeight="1">
      <c r="A939" s="189"/>
      <c r="B939" s="22"/>
      <c r="C939" s="22"/>
      <c r="D939" s="22"/>
      <c r="E939" s="22"/>
      <c r="F939" s="22"/>
      <c r="G939" s="22"/>
      <c r="H939" s="22"/>
      <c r="I939" s="266"/>
      <c r="J939" s="272"/>
      <c r="K939" s="272"/>
      <c r="L939" s="272"/>
      <c r="M939" s="273"/>
      <c r="N939" s="273"/>
      <c r="O939" s="273"/>
      <c r="P939" s="27"/>
      <c r="Q939" s="27"/>
      <c r="R939" s="27"/>
      <c r="S939" s="22"/>
      <c r="T939" s="22"/>
      <c r="U939" s="28"/>
    </row>
    <row r="940" ht="15.75" customHeight="1">
      <c r="A940" s="189"/>
      <c r="B940" s="22"/>
      <c r="C940" s="22"/>
      <c r="D940" s="22"/>
      <c r="E940" s="22"/>
      <c r="F940" s="22"/>
      <c r="G940" s="22"/>
      <c r="H940" s="22"/>
      <c r="I940" s="266"/>
      <c r="J940" s="272"/>
      <c r="K940" s="272"/>
      <c r="L940" s="272"/>
      <c r="M940" s="273"/>
      <c r="N940" s="273"/>
      <c r="O940" s="273"/>
      <c r="P940" s="27"/>
      <c r="Q940" s="27"/>
      <c r="R940" s="27"/>
      <c r="S940" s="22"/>
      <c r="T940" s="22"/>
      <c r="U940" s="28"/>
    </row>
    <row r="941" ht="15.75" customHeight="1">
      <c r="A941" s="189"/>
      <c r="B941" s="22"/>
      <c r="C941" s="22"/>
      <c r="D941" s="22"/>
      <c r="E941" s="22"/>
      <c r="F941" s="22"/>
      <c r="G941" s="22"/>
      <c r="H941" s="22"/>
      <c r="I941" s="266"/>
      <c r="J941" s="272"/>
      <c r="K941" s="272"/>
      <c r="L941" s="272"/>
      <c r="M941" s="273"/>
      <c r="N941" s="273"/>
      <c r="O941" s="273"/>
      <c r="P941" s="27"/>
      <c r="Q941" s="27"/>
      <c r="R941" s="27"/>
      <c r="S941" s="22"/>
      <c r="T941" s="22"/>
      <c r="U941" s="28"/>
    </row>
    <row r="942" ht="15.75" customHeight="1">
      <c r="A942" s="189"/>
      <c r="B942" s="22"/>
      <c r="C942" s="22"/>
      <c r="D942" s="22"/>
      <c r="E942" s="22"/>
      <c r="F942" s="22"/>
      <c r="G942" s="22"/>
      <c r="H942" s="22"/>
      <c r="I942" s="266"/>
      <c r="J942" s="272"/>
      <c r="K942" s="272"/>
      <c r="L942" s="272"/>
      <c r="M942" s="273"/>
      <c r="N942" s="273"/>
      <c r="O942" s="273"/>
      <c r="P942" s="27"/>
      <c r="Q942" s="27"/>
      <c r="R942" s="27"/>
      <c r="S942" s="22"/>
      <c r="T942" s="22"/>
      <c r="U942" s="28"/>
    </row>
    <row r="943" ht="15.75" customHeight="1">
      <c r="A943" s="189"/>
      <c r="B943" s="22"/>
      <c r="C943" s="22"/>
      <c r="D943" s="22"/>
      <c r="E943" s="22"/>
      <c r="F943" s="22"/>
      <c r="G943" s="22"/>
      <c r="H943" s="22"/>
      <c r="I943" s="266"/>
      <c r="J943" s="272"/>
      <c r="K943" s="272"/>
      <c r="L943" s="272"/>
      <c r="M943" s="273"/>
      <c r="N943" s="273"/>
      <c r="O943" s="273"/>
      <c r="P943" s="27"/>
      <c r="Q943" s="27"/>
      <c r="R943" s="27"/>
      <c r="S943" s="22"/>
      <c r="T943" s="22"/>
      <c r="U943" s="28"/>
    </row>
    <row r="944" ht="15.75" customHeight="1">
      <c r="A944" s="189"/>
      <c r="B944" s="22"/>
      <c r="C944" s="22"/>
      <c r="D944" s="22"/>
      <c r="E944" s="22"/>
      <c r="F944" s="22"/>
      <c r="G944" s="22"/>
      <c r="H944" s="22"/>
      <c r="I944" s="266"/>
      <c r="J944" s="272"/>
      <c r="K944" s="272"/>
      <c r="L944" s="272"/>
      <c r="M944" s="273"/>
      <c r="N944" s="273"/>
      <c r="O944" s="273"/>
      <c r="P944" s="27"/>
      <c r="Q944" s="27"/>
      <c r="R944" s="27"/>
      <c r="S944" s="22"/>
      <c r="T944" s="22"/>
      <c r="U944" s="28"/>
    </row>
    <row r="945" ht="15.75" customHeight="1">
      <c r="A945" s="189"/>
      <c r="B945" s="22"/>
      <c r="C945" s="22"/>
      <c r="D945" s="22"/>
      <c r="E945" s="22"/>
      <c r="F945" s="22"/>
      <c r="G945" s="22"/>
      <c r="H945" s="22"/>
      <c r="I945" s="266"/>
      <c r="J945" s="272"/>
      <c r="K945" s="272"/>
      <c r="L945" s="272"/>
      <c r="M945" s="273"/>
      <c r="N945" s="273"/>
      <c r="O945" s="273"/>
      <c r="P945" s="27"/>
      <c r="Q945" s="27"/>
      <c r="R945" s="27"/>
      <c r="S945" s="22"/>
      <c r="T945" s="22"/>
      <c r="U945" s="28"/>
    </row>
    <row r="946" ht="15.75" customHeight="1">
      <c r="A946" s="189"/>
      <c r="B946" s="22"/>
      <c r="C946" s="22"/>
      <c r="D946" s="22"/>
      <c r="E946" s="22"/>
      <c r="F946" s="22"/>
      <c r="G946" s="22"/>
      <c r="H946" s="22"/>
      <c r="I946" s="266"/>
      <c r="J946" s="272"/>
      <c r="K946" s="272"/>
      <c r="L946" s="272"/>
      <c r="M946" s="273"/>
      <c r="N946" s="273"/>
      <c r="O946" s="273"/>
      <c r="P946" s="27"/>
      <c r="Q946" s="27"/>
      <c r="R946" s="27"/>
      <c r="S946" s="22"/>
      <c r="T946" s="22"/>
      <c r="U946" s="28"/>
    </row>
    <row r="947" ht="15.75" customHeight="1">
      <c r="A947" s="189"/>
      <c r="B947" s="22"/>
      <c r="C947" s="22"/>
      <c r="D947" s="22"/>
      <c r="E947" s="22"/>
      <c r="F947" s="22"/>
      <c r="G947" s="22"/>
      <c r="H947" s="22"/>
      <c r="I947" s="266"/>
      <c r="J947" s="272"/>
      <c r="K947" s="272"/>
      <c r="L947" s="272"/>
      <c r="M947" s="273"/>
      <c r="N947" s="273"/>
      <c r="O947" s="273"/>
      <c r="P947" s="27"/>
      <c r="Q947" s="27"/>
      <c r="R947" s="27"/>
      <c r="S947" s="22"/>
      <c r="T947" s="22"/>
      <c r="U947" s="28"/>
    </row>
    <row r="948" ht="15.75" customHeight="1">
      <c r="A948" s="189"/>
      <c r="B948" s="22"/>
      <c r="C948" s="22"/>
      <c r="D948" s="22"/>
      <c r="E948" s="22"/>
      <c r="F948" s="22"/>
      <c r="G948" s="22"/>
      <c r="H948" s="22"/>
      <c r="I948" s="266"/>
      <c r="J948" s="272"/>
      <c r="K948" s="272"/>
      <c r="L948" s="272"/>
      <c r="M948" s="273"/>
      <c r="N948" s="273"/>
      <c r="O948" s="273"/>
      <c r="P948" s="27"/>
      <c r="Q948" s="27"/>
      <c r="R948" s="27"/>
      <c r="S948" s="22"/>
      <c r="T948" s="22"/>
      <c r="U948" s="28"/>
    </row>
    <row r="949" ht="15.75" customHeight="1">
      <c r="A949" s="189"/>
      <c r="B949" s="22"/>
      <c r="C949" s="22"/>
      <c r="D949" s="22"/>
      <c r="E949" s="22"/>
      <c r="F949" s="22"/>
      <c r="G949" s="22"/>
      <c r="H949" s="22"/>
      <c r="I949" s="266"/>
      <c r="J949" s="272"/>
      <c r="K949" s="272"/>
      <c r="L949" s="272"/>
      <c r="M949" s="273"/>
      <c r="N949" s="273"/>
      <c r="O949" s="273"/>
      <c r="P949" s="27"/>
      <c r="Q949" s="27"/>
      <c r="R949" s="27"/>
      <c r="S949" s="22"/>
      <c r="T949" s="22"/>
      <c r="U949" s="28"/>
    </row>
    <row r="950" ht="15.75" customHeight="1">
      <c r="A950" s="189"/>
      <c r="B950" s="22"/>
      <c r="C950" s="22"/>
      <c r="D950" s="22"/>
      <c r="E950" s="22"/>
      <c r="F950" s="22"/>
      <c r="G950" s="22"/>
      <c r="H950" s="22"/>
      <c r="I950" s="266"/>
      <c r="J950" s="272"/>
      <c r="K950" s="272"/>
      <c r="L950" s="272"/>
      <c r="M950" s="273"/>
      <c r="N950" s="273"/>
      <c r="O950" s="273"/>
      <c r="P950" s="27"/>
      <c r="Q950" s="27"/>
      <c r="R950" s="27"/>
      <c r="S950" s="22"/>
      <c r="T950" s="22"/>
      <c r="U950" s="28"/>
    </row>
    <row r="951" ht="15.75" customHeight="1">
      <c r="A951" s="189"/>
      <c r="B951" s="22"/>
      <c r="C951" s="22"/>
      <c r="D951" s="22"/>
      <c r="E951" s="22"/>
      <c r="F951" s="22"/>
      <c r="G951" s="22"/>
      <c r="H951" s="22"/>
      <c r="I951" s="266"/>
      <c r="J951" s="272"/>
      <c r="K951" s="272"/>
      <c r="L951" s="272"/>
      <c r="M951" s="273"/>
      <c r="N951" s="273"/>
      <c r="O951" s="273"/>
      <c r="P951" s="27"/>
      <c r="Q951" s="27"/>
      <c r="R951" s="27"/>
      <c r="S951" s="22"/>
      <c r="T951" s="22"/>
      <c r="U951" s="28"/>
    </row>
    <row r="952" ht="15.75" customHeight="1">
      <c r="A952" s="189"/>
      <c r="B952" s="22"/>
      <c r="C952" s="22"/>
      <c r="D952" s="22"/>
      <c r="E952" s="22"/>
      <c r="F952" s="22"/>
      <c r="G952" s="22"/>
      <c r="H952" s="22"/>
      <c r="I952" s="266"/>
      <c r="J952" s="272"/>
      <c r="K952" s="272"/>
      <c r="L952" s="272"/>
      <c r="M952" s="273"/>
      <c r="N952" s="273"/>
      <c r="O952" s="273"/>
      <c r="P952" s="27"/>
      <c r="Q952" s="27"/>
      <c r="R952" s="27"/>
      <c r="S952" s="22"/>
      <c r="T952" s="22"/>
      <c r="U952" s="28"/>
    </row>
    <row r="953" ht="15.75" customHeight="1">
      <c r="A953" s="189"/>
      <c r="B953" s="22"/>
      <c r="C953" s="22"/>
      <c r="D953" s="22"/>
      <c r="E953" s="22"/>
      <c r="F953" s="22"/>
      <c r="G953" s="22"/>
      <c r="H953" s="22"/>
      <c r="I953" s="266"/>
      <c r="J953" s="272"/>
      <c r="K953" s="272"/>
      <c r="L953" s="272"/>
      <c r="M953" s="273"/>
      <c r="N953" s="273"/>
      <c r="O953" s="273"/>
      <c r="P953" s="27"/>
      <c r="Q953" s="27"/>
      <c r="R953" s="27"/>
      <c r="S953" s="22"/>
      <c r="T953" s="22"/>
      <c r="U953" s="28"/>
    </row>
    <row r="954" ht="15.75" customHeight="1">
      <c r="A954" s="189"/>
      <c r="B954" s="22"/>
      <c r="C954" s="22"/>
      <c r="D954" s="22"/>
      <c r="E954" s="22"/>
      <c r="F954" s="22"/>
      <c r="G954" s="22"/>
      <c r="H954" s="22"/>
      <c r="I954" s="266"/>
      <c r="J954" s="272"/>
      <c r="K954" s="272"/>
      <c r="L954" s="272"/>
      <c r="M954" s="273"/>
      <c r="N954" s="273"/>
      <c r="O954" s="273"/>
      <c r="P954" s="27"/>
      <c r="Q954" s="27"/>
      <c r="R954" s="27"/>
      <c r="S954" s="22"/>
      <c r="T954" s="22"/>
      <c r="U954" s="28"/>
    </row>
    <row r="955" ht="15.75" customHeight="1">
      <c r="A955" s="189"/>
      <c r="B955" s="22"/>
      <c r="C955" s="22"/>
      <c r="D955" s="22"/>
      <c r="E955" s="22"/>
      <c r="F955" s="22"/>
      <c r="G955" s="22"/>
      <c r="H955" s="22"/>
      <c r="I955" s="266"/>
      <c r="J955" s="272"/>
      <c r="K955" s="272"/>
      <c r="L955" s="272"/>
      <c r="M955" s="273"/>
      <c r="N955" s="273"/>
      <c r="O955" s="273"/>
      <c r="P955" s="27"/>
      <c r="Q955" s="27"/>
      <c r="R955" s="27"/>
      <c r="S955" s="22"/>
      <c r="T955" s="22"/>
      <c r="U955" s="28"/>
    </row>
    <row r="956" ht="15.75" customHeight="1">
      <c r="A956" s="189"/>
      <c r="B956" s="22"/>
      <c r="C956" s="22"/>
      <c r="D956" s="22"/>
      <c r="E956" s="22"/>
      <c r="F956" s="22"/>
      <c r="G956" s="22"/>
      <c r="H956" s="22"/>
      <c r="I956" s="266"/>
      <c r="J956" s="272"/>
      <c r="K956" s="272"/>
      <c r="L956" s="272"/>
      <c r="M956" s="273"/>
      <c r="N956" s="273"/>
      <c r="O956" s="273"/>
      <c r="P956" s="27"/>
      <c r="Q956" s="27"/>
      <c r="R956" s="27"/>
      <c r="S956" s="22"/>
      <c r="T956" s="22"/>
      <c r="U956" s="28"/>
    </row>
    <row r="957" ht="15.75" customHeight="1">
      <c r="A957" s="189"/>
      <c r="B957" s="22"/>
      <c r="C957" s="22"/>
      <c r="D957" s="22"/>
      <c r="E957" s="22"/>
      <c r="F957" s="22"/>
      <c r="G957" s="22"/>
      <c r="H957" s="22"/>
      <c r="I957" s="266"/>
      <c r="J957" s="272"/>
      <c r="K957" s="272"/>
      <c r="L957" s="272"/>
      <c r="M957" s="273"/>
      <c r="N957" s="273"/>
      <c r="O957" s="273"/>
      <c r="P957" s="27"/>
      <c r="Q957" s="27"/>
      <c r="R957" s="27"/>
      <c r="S957" s="22"/>
      <c r="T957" s="22"/>
      <c r="U957" s="28"/>
    </row>
    <row r="958" ht="15.75" customHeight="1">
      <c r="A958" s="189"/>
      <c r="B958" s="22"/>
      <c r="C958" s="22"/>
      <c r="D958" s="22"/>
      <c r="E958" s="22"/>
      <c r="F958" s="22"/>
      <c r="G958" s="22"/>
      <c r="H958" s="22"/>
      <c r="I958" s="266"/>
      <c r="J958" s="272"/>
      <c r="K958" s="272"/>
      <c r="L958" s="272"/>
      <c r="M958" s="273"/>
      <c r="N958" s="273"/>
      <c r="O958" s="273"/>
      <c r="P958" s="27"/>
      <c r="Q958" s="27"/>
      <c r="R958" s="27"/>
      <c r="S958" s="22"/>
      <c r="T958" s="22"/>
      <c r="U958" s="28"/>
    </row>
    <row r="959" ht="15.75" customHeight="1">
      <c r="A959" s="189"/>
      <c r="B959" s="22"/>
      <c r="C959" s="22"/>
      <c r="D959" s="22"/>
      <c r="E959" s="22"/>
      <c r="F959" s="22"/>
      <c r="G959" s="22"/>
      <c r="H959" s="22"/>
      <c r="I959" s="266"/>
      <c r="J959" s="272"/>
      <c r="K959" s="272"/>
      <c r="L959" s="272"/>
      <c r="M959" s="273"/>
      <c r="N959" s="273"/>
      <c r="O959" s="273"/>
      <c r="P959" s="27"/>
      <c r="Q959" s="27"/>
      <c r="R959" s="27"/>
      <c r="S959" s="22"/>
      <c r="T959" s="22"/>
      <c r="U959" s="28"/>
    </row>
    <row r="960" ht="15.75" customHeight="1">
      <c r="A960" s="189"/>
      <c r="B960" s="22"/>
      <c r="C960" s="22"/>
      <c r="D960" s="22"/>
      <c r="E960" s="22"/>
      <c r="F960" s="22"/>
      <c r="G960" s="22"/>
      <c r="H960" s="22"/>
      <c r="I960" s="266"/>
      <c r="J960" s="272"/>
      <c r="K960" s="272"/>
      <c r="L960" s="272"/>
      <c r="M960" s="273"/>
      <c r="N960" s="273"/>
      <c r="O960" s="273"/>
      <c r="P960" s="27"/>
      <c r="Q960" s="27"/>
      <c r="R960" s="27"/>
      <c r="S960" s="22"/>
      <c r="T960" s="22"/>
      <c r="U960" s="28"/>
    </row>
    <row r="961" ht="15.75" customHeight="1">
      <c r="A961" s="189"/>
      <c r="B961" s="22"/>
      <c r="C961" s="22"/>
      <c r="D961" s="22"/>
      <c r="E961" s="22"/>
      <c r="F961" s="22"/>
      <c r="G961" s="22"/>
      <c r="H961" s="22"/>
      <c r="I961" s="266"/>
      <c r="J961" s="272"/>
      <c r="K961" s="272"/>
      <c r="L961" s="272"/>
      <c r="M961" s="273"/>
      <c r="N961" s="273"/>
      <c r="O961" s="273"/>
      <c r="P961" s="27"/>
      <c r="Q961" s="27"/>
      <c r="R961" s="27"/>
      <c r="S961" s="22"/>
      <c r="T961" s="22"/>
      <c r="U961" s="28"/>
    </row>
    <row r="962" ht="15.75" customHeight="1">
      <c r="A962" s="189"/>
      <c r="B962" s="22"/>
      <c r="C962" s="22"/>
      <c r="D962" s="22"/>
      <c r="E962" s="22"/>
      <c r="F962" s="22"/>
      <c r="G962" s="22"/>
      <c r="H962" s="22"/>
      <c r="I962" s="266"/>
      <c r="J962" s="272"/>
      <c r="K962" s="272"/>
      <c r="L962" s="272"/>
      <c r="M962" s="273"/>
      <c r="N962" s="273"/>
      <c r="O962" s="273"/>
      <c r="P962" s="27"/>
      <c r="Q962" s="27"/>
      <c r="R962" s="27"/>
      <c r="S962" s="22"/>
      <c r="T962" s="22"/>
      <c r="U962" s="28"/>
    </row>
    <row r="963" ht="15.75" customHeight="1">
      <c r="A963" s="189"/>
      <c r="B963" s="22"/>
      <c r="C963" s="22"/>
      <c r="D963" s="22"/>
      <c r="E963" s="22"/>
      <c r="F963" s="22"/>
      <c r="G963" s="22"/>
      <c r="H963" s="22"/>
      <c r="I963" s="266"/>
      <c r="J963" s="272"/>
      <c r="K963" s="272"/>
      <c r="L963" s="272"/>
      <c r="M963" s="273"/>
      <c r="N963" s="273"/>
      <c r="O963" s="273"/>
      <c r="P963" s="27"/>
      <c r="Q963" s="27"/>
      <c r="R963" s="27"/>
      <c r="S963" s="22"/>
      <c r="T963" s="22"/>
      <c r="U963" s="28"/>
    </row>
    <row r="964" ht="15.75" customHeight="1">
      <c r="A964" s="189"/>
      <c r="B964" s="22"/>
      <c r="C964" s="22"/>
      <c r="D964" s="22"/>
      <c r="E964" s="22"/>
      <c r="F964" s="22"/>
      <c r="G964" s="22"/>
      <c r="H964" s="22"/>
      <c r="I964" s="266"/>
      <c r="J964" s="272"/>
      <c r="K964" s="272"/>
      <c r="L964" s="272"/>
      <c r="M964" s="273"/>
      <c r="N964" s="273"/>
      <c r="O964" s="273"/>
      <c r="P964" s="27"/>
      <c r="Q964" s="27"/>
      <c r="R964" s="27"/>
      <c r="S964" s="22"/>
      <c r="T964" s="22"/>
      <c r="U964" s="28"/>
    </row>
    <row r="965" ht="15.75" customHeight="1">
      <c r="A965" s="189"/>
      <c r="B965" s="22"/>
      <c r="C965" s="22"/>
      <c r="D965" s="22"/>
      <c r="E965" s="22"/>
      <c r="F965" s="22"/>
      <c r="G965" s="22"/>
      <c r="H965" s="22"/>
      <c r="I965" s="266"/>
      <c r="J965" s="272"/>
      <c r="K965" s="272"/>
      <c r="L965" s="272"/>
      <c r="M965" s="273"/>
      <c r="N965" s="273"/>
      <c r="O965" s="273"/>
      <c r="P965" s="27"/>
      <c r="Q965" s="27"/>
      <c r="R965" s="27"/>
      <c r="S965" s="22"/>
      <c r="T965" s="22"/>
      <c r="U965" s="28"/>
    </row>
    <row r="966" ht="15.75" customHeight="1">
      <c r="A966" s="189"/>
      <c r="B966" s="22"/>
      <c r="C966" s="22"/>
      <c r="D966" s="22"/>
      <c r="E966" s="22"/>
      <c r="F966" s="22"/>
      <c r="G966" s="22"/>
      <c r="H966" s="22"/>
      <c r="I966" s="266"/>
      <c r="J966" s="272"/>
      <c r="K966" s="272"/>
      <c r="L966" s="272"/>
      <c r="M966" s="273"/>
      <c r="N966" s="273"/>
      <c r="O966" s="273"/>
      <c r="P966" s="27"/>
      <c r="Q966" s="27"/>
      <c r="R966" s="27"/>
      <c r="S966" s="22"/>
      <c r="T966" s="22"/>
      <c r="U966" s="28"/>
    </row>
    <row r="967" ht="15.75" customHeight="1">
      <c r="A967" s="189"/>
      <c r="B967" s="22"/>
      <c r="C967" s="22"/>
      <c r="D967" s="22"/>
      <c r="E967" s="22"/>
      <c r="F967" s="22"/>
      <c r="G967" s="22"/>
      <c r="H967" s="22"/>
      <c r="I967" s="266"/>
      <c r="J967" s="272"/>
      <c r="K967" s="272"/>
      <c r="L967" s="272"/>
      <c r="M967" s="273"/>
      <c r="N967" s="273"/>
      <c r="O967" s="273"/>
      <c r="P967" s="27"/>
      <c r="Q967" s="27"/>
      <c r="R967" s="27"/>
      <c r="S967" s="22"/>
      <c r="T967" s="22"/>
      <c r="U967" s="28"/>
    </row>
    <row r="968" ht="15.75" customHeight="1">
      <c r="A968" s="189"/>
      <c r="B968" s="22"/>
      <c r="C968" s="22"/>
      <c r="D968" s="22"/>
      <c r="E968" s="22"/>
      <c r="F968" s="22"/>
      <c r="G968" s="22"/>
      <c r="H968" s="22"/>
      <c r="I968" s="266"/>
      <c r="J968" s="272"/>
      <c r="K968" s="272"/>
      <c r="L968" s="272"/>
      <c r="M968" s="273"/>
      <c r="N968" s="273"/>
      <c r="O968" s="273"/>
      <c r="P968" s="27"/>
      <c r="Q968" s="27"/>
      <c r="R968" s="27"/>
      <c r="S968" s="22"/>
      <c r="T968" s="22"/>
      <c r="U968" s="28"/>
    </row>
    <row r="969" ht="15.75" customHeight="1">
      <c r="A969" s="189"/>
      <c r="B969" s="22"/>
      <c r="C969" s="22"/>
      <c r="D969" s="22"/>
      <c r="E969" s="22"/>
      <c r="F969" s="22"/>
      <c r="G969" s="22"/>
      <c r="H969" s="22"/>
      <c r="I969" s="266"/>
      <c r="J969" s="272"/>
      <c r="K969" s="272"/>
      <c r="L969" s="272"/>
      <c r="M969" s="273"/>
      <c r="N969" s="273"/>
      <c r="O969" s="273"/>
      <c r="P969" s="27"/>
      <c r="Q969" s="27"/>
      <c r="R969" s="27"/>
      <c r="S969" s="22"/>
      <c r="T969" s="22"/>
      <c r="U969" s="28"/>
    </row>
    <row r="970" ht="15.75" customHeight="1">
      <c r="A970" s="189"/>
      <c r="B970" s="22"/>
      <c r="C970" s="22"/>
      <c r="D970" s="22"/>
      <c r="E970" s="22"/>
      <c r="F970" s="22"/>
      <c r="G970" s="22"/>
      <c r="H970" s="22"/>
      <c r="I970" s="266"/>
      <c r="J970" s="272"/>
      <c r="K970" s="272"/>
      <c r="L970" s="272"/>
      <c r="M970" s="273"/>
      <c r="N970" s="273"/>
      <c r="O970" s="273"/>
      <c r="P970" s="27"/>
      <c r="Q970" s="27"/>
      <c r="R970" s="27"/>
      <c r="S970" s="22"/>
      <c r="T970" s="22"/>
      <c r="U970" s="28"/>
    </row>
    <row r="971" ht="15.75" customHeight="1">
      <c r="A971" s="189"/>
      <c r="B971" s="22"/>
      <c r="C971" s="22"/>
      <c r="D971" s="22"/>
      <c r="E971" s="22"/>
      <c r="F971" s="22"/>
      <c r="G971" s="22"/>
      <c r="H971" s="22"/>
      <c r="I971" s="266"/>
      <c r="J971" s="272"/>
      <c r="K971" s="272"/>
      <c r="L971" s="272"/>
      <c r="M971" s="273"/>
      <c r="N971" s="273"/>
      <c r="O971" s="273"/>
      <c r="P971" s="27"/>
      <c r="Q971" s="27"/>
      <c r="R971" s="27"/>
      <c r="S971" s="22"/>
      <c r="T971" s="22"/>
      <c r="U971" s="28"/>
    </row>
    <row r="972" ht="15.75" customHeight="1">
      <c r="A972" s="189"/>
      <c r="B972" s="22"/>
      <c r="C972" s="22"/>
      <c r="D972" s="22"/>
      <c r="E972" s="22"/>
      <c r="F972" s="22"/>
      <c r="G972" s="22"/>
      <c r="H972" s="22"/>
      <c r="I972" s="266"/>
      <c r="J972" s="272"/>
      <c r="K972" s="272"/>
      <c r="L972" s="272"/>
      <c r="M972" s="273"/>
      <c r="N972" s="273"/>
      <c r="O972" s="273"/>
      <c r="P972" s="27"/>
      <c r="Q972" s="27"/>
      <c r="R972" s="27"/>
      <c r="S972" s="22"/>
      <c r="T972" s="22"/>
      <c r="U972" s="28"/>
    </row>
    <row r="973" ht="15.75" customHeight="1">
      <c r="A973" s="189"/>
      <c r="B973" s="22"/>
      <c r="C973" s="22"/>
      <c r="D973" s="22"/>
      <c r="E973" s="22"/>
      <c r="F973" s="22"/>
      <c r="G973" s="22"/>
      <c r="H973" s="22"/>
      <c r="I973" s="266"/>
      <c r="J973" s="272"/>
      <c r="K973" s="272"/>
      <c r="L973" s="272"/>
      <c r="M973" s="273"/>
      <c r="N973" s="273"/>
      <c r="O973" s="273"/>
      <c r="P973" s="27"/>
      <c r="Q973" s="27"/>
      <c r="R973" s="27"/>
      <c r="S973" s="22"/>
      <c r="T973" s="22"/>
      <c r="U973" s="28"/>
    </row>
    <row r="974" ht="15.75" customHeight="1">
      <c r="A974" s="189"/>
      <c r="B974" s="22"/>
      <c r="C974" s="22"/>
      <c r="D974" s="22"/>
      <c r="E974" s="22"/>
      <c r="F974" s="22"/>
      <c r="G974" s="22"/>
      <c r="H974" s="22"/>
      <c r="I974" s="266"/>
      <c r="J974" s="272"/>
      <c r="K974" s="272"/>
      <c r="L974" s="272"/>
      <c r="M974" s="273"/>
      <c r="N974" s="273"/>
      <c r="O974" s="273"/>
      <c r="P974" s="27"/>
      <c r="Q974" s="27"/>
      <c r="R974" s="27"/>
      <c r="S974" s="22"/>
      <c r="T974" s="22"/>
      <c r="U974" s="28"/>
    </row>
    <row r="975" ht="15.75" customHeight="1">
      <c r="A975" s="189"/>
      <c r="B975" s="22"/>
      <c r="C975" s="22"/>
      <c r="D975" s="22"/>
      <c r="E975" s="22"/>
      <c r="F975" s="22"/>
      <c r="G975" s="22"/>
      <c r="H975" s="22"/>
      <c r="I975" s="266"/>
      <c r="J975" s="272"/>
      <c r="K975" s="272"/>
      <c r="L975" s="272"/>
      <c r="M975" s="273"/>
      <c r="N975" s="273"/>
      <c r="O975" s="273"/>
      <c r="P975" s="27"/>
      <c r="Q975" s="27"/>
      <c r="R975" s="27"/>
      <c r="S975" s="22"/>
      <c r="T975" s="22"/>
      <c r="U975" s="28"/>
    </row>
    <row r="976" ht="15.75" customHeight="1">
      <c r="A976" s="189"/>
      <c r="B976" s="22"/>
      <c r="C976" s="22"/>
      <c r="D976" s="22"/>
      <c r="E976" s="22"/>
      <c r="F976" s="22"/>
      <c r="G976" s="22"/>
      <c r="H976" s="22"/>
      <c r="I976" s="266"/>
      <c r="J976" s="272"/>
      <c r="K976" s="272"/>
      <c r="L976" s="272"/>
      <c r="M976" s="273"/>
      <c r="N976" s="273"/>
      <c r="O976" s="273"/>
      <c r="P976" s="27"/>
      <c r="Q976" s="27"/>
      <c r="R976" s="27"/>
      <c r="S976" s="22"/>
      <c r="T976" s="22"/>
      <c r="U976" s="28"/>
    </row>
    <row r="977" ht="15.75" customHeight="1">
      <c r="A977" s="189"/>
      <c r="B977" s="22"/>
      <c r="C977" s="22"/>
      <c r="D977" s="22"/>
      <c r="E977" s="22"/>
      <c r="F977" s="22"/>
      <c r="G977" s="22"/>
      <c r="H977" s="22"/>
      <c r="I977" s="266"/>
      <c r="J977" s="272"/>
      <c r="K977" s="272"/>
      <c r="L977" s="272"/>
      <c r="M977" s="273"/>
      <c r="N977" s="273"/>
      <c r="O977" s="273"/>
      <c r="P977" s="27"/>
      <c r="Q977" s="27"/>
      <c r="R977" s="27"/>
      <c r="S977" s="22"/>
      <c r="T977" s="22"/>
      <c r="U977" s="28"/>
    </row>
    <row r="978" ht="15.75" customHeight="1">
      <c r="A978" s="189"/>
      <c r="B978" s="22"/>
      <c r="C978" s="22"/>
      <c r="D978" s="22"/>
      <c r="E978" s="22"/>
      <c r="F978" s="22"/>
      <c r="G978" s="22"/>
      <c r="H978" s="22"/>
      <c r="I978" s="266"/>
      <c r="J978" s="272"/>
      <c r="K978" s="272"/>
      <c r="L978" s="272"/>
      <c r="M978" s="273"/>
      <c r="N978" s="273"/>
      <c r="O978" s="273"/>
      <c r="P978" s="27"/>
      <c r="Q978" s="27"/>
      <c r="R978" s="27"/>
      <c r="S978" s="22"/>
      <c r="T978" s="22"/>
      <c r="U978" s="28"/>
    </row>
    <row r="979" ht="15.75" customHeight="1">
      <c r="A979" s="189"/>
      <c r="B979" s="22"/>
      <c r="C979" s="22"/>
      <c r="D979" s="22"/>
      <c r="E979" s="22"/>
      <c r="F979" s="22"/>
      <c r="G979" s="22"/>
      <c r="H979" s="22"/>
      <c r="I979" s="266"/>
      <c r="J979" s="272"/>
      <c r="K979" s="272"/>
      <c r="L979" s="272"/>
      <c r="M979" s="273"/>
      <c r="N979" s="273"/>
      <c r="O979" s="273"/>
      <c r="P979" s="27"/>
      <c r="Q979" s="27"/>
      <c r="R979" s="27"/>
      <c r="S979" s="22"/>
      <c r="T979" s="22"/>
      <c r="U979" s="28"/>
    </row>
    <row r="980" ht="15.75" customHeight="1">
      <c r="A980" s="189"/>
      <c r="B980" s="22"/>
      <c r="C980" s="22"/>
      <c r="D980" s="22"/>
      <c r="E980" s="22"/>
      <c r="F980" s="22"/>
      <c r="G980" s="22"/>
      <c r="H980" s="22"/>
      <c r="I980" s="266"/>
      <c r="J980" s="272"/>
      <c r="K980" s="272"/>
      <c r="L980" s="272"/>
      <c r="M980" s="273"/>
      <c r="N980" s="273"/>
      <c r="O980" s="273"/>
      <c r="P980" s="27"/>
      <c r="Q980" s="27"/>
      <c r="R980" s="27"/>
      <c r="S980" s="22"/>
      <c r="T980" s="22"/>
      <c r="U980" s="28"/>
    </row>
    <row r="981" ht="15.75" customHeight="1">
      <c r="A981" s="189"/>
      <c r="B981" s="22"/>
      <c r="C981" s="22"/>
      <c r="D981" s="22"/>
      <c r="E981" s="22"/>
      <c r="F981" s="22"/>
      <c r="G981" s="22"/>
      <c r="H981" s="22"/>
      <c r="I981" s="266"/>
      <c r="J981" s="272"/>
      <c r="K981" s="272"/>
      <c r="L981" s="272"/>
      <c r="M981" s="273"/>
      <c r="N981" s="273"/>
      <c r="O981" s="273"/>
      <c r="P981" s="27"/>
      <c r="Q981" s="27"/>
      <c r="R981" s="27"/>
      <c r="S981" s="22"/>
      <c r="T981" s="22"/>
      <c r="U981" s="28"/>
    </row>
    <row r="982" ht="15.75" customHeight="1">
      <c r="A982" s="189"/>
      <c r="B982" s="22"/>
      <c r="C982" s="22"/>
      <c r="D982" s="22"/>
      <c r="E982" s="22"/>
      <c r="F982" s="22"/>
      <c r="G982" s="22"/>
      <c r="H982" s="22"/>
      <c r="I982" s="266"/>
      <c r="J982" s="272"/>
      <c r="K982" s="272"/>
      <c r="L982" s="272"/>
      <c r="M982" s="273"/>
      <c r="N982" s="273"/>
      <c r="O982" s="273"/>
      <c r="P982" s="27"/>
      <c r="Q982" s="27"/>
      <c r="R982" s="27"/>
      <c r="S982" s="22"/>
      <c r="T982" s="22"/>
      <c r="U982" s="28"/>
    </row>
    <row r="983" ht="15.75" customHeight="1">
      <c r="A983" s="189"/>
      <c r="B983" s="22"/>
      <c r="C983" s="22"/>
      <c r="D983" s="22"/>
      <c r="E983" s="22"/>
      <c r="F983" s="22"/>
      <c r="G983" s="22"/>
      <c r="H983" s="22"/>
      <c r="I983" s="266"/>
      <c r="J983" s="272"/>
      <c r="K983" s="272"/>
      <c r="L983" s="272"/>
      <c r="M983" s="273"/>
      <c r="N983" s="273"/>
      <c r="O983" s="273"/>
      <c r="P983" s="27"/>
      <c r="Q983" s="27"/>
      <c r="R983" s="27"/>
      <c r="S983" s="22"/>
      <c r="T983" s="22"/>
      <c r="U983" s="28"/>
    </row>
    <row r="984" ht="15.75" customHeight="1">
      <c r="A984" s="189"/>
      <c r="B984" s="22"/>
      <c r="C984" s="22"/>
      <c r="D984" s="22"/>
      <c r="E984" s="22"/>
      <c r="F984" s="22"/>
      <c r="G984" s="22"/>
      <c r="H984" s="22"/>
      <c r="I984" s="266"/>
      <c r="J984" s="272"/>
      <c r="K984" s="272"/>
      <c r="L984" s="272"/>
      <c r="M984" s="273"/>
      <c r="N984" s="273"/>
      <c r="O984" s="273"/>
      <c r="P984" s="27"/>
      <c r="Q984" s="27"/>
      <c r="R984" s="27"/>
      <c r="S984" s="22"/>
      <c r="T984" s="22"/>
      <c r="U984" s="28"/>
    </row>
    <row r="985" ht="15.75" customHeight="1">
      <c r="A985" s="189"/>
      <c r="B985" s="22"/>
      <c r="C985" s="22"/>
      <c r="D985" s="22"/>
      <c r="E985" s="22"/>
      <c r="F985" s="22"/>
      <c r="G985" s="22"/>
      <c r="H985" s="22"/>
      <c r="I985" s="266"/>
      <c r="J985" s="272"/>
      <c r="K985" s="272"/>
      <c r="L985" s="272"/>
      <c r="M985" s="273"/>
      <c r="N985" s="273"/>
      <c r="O985" s="273"/>
      <c r="P985" s="27"/>
      <c r="Q985" s="27"/>
      <c r="R985" s="27"/>
      <c r="S985" s="22"/>
      <c r="T985" s="22"/>
      <c r="U985" s="28"/>
    </row>
    <row r="986" ht="15.75" customHeight="1">
      <c r="A986" s="189"/>
      <c r="B986" s="22"/>
      <c r="C986" s="22"/>
      <c r="D986" s="22"/>
      <c r="E986" s="22"/>
      <c r="F986" s="22"/>
      <c r="G986" s="22"/>
      <c r="H986" s="22"/>
      <c r="I986" s="266"/>
      <c r="J986" s="272"/>
      <c r="K986" s="272"/>
      <c r="L986" s="272"/>
      <c r="M986" s="273"/>
      <c r="N986" s="273"/>
      <c r="O986" s="273"/>
      <c r="P986" s="27"/>
      <c r="Q986" s="27"/>
      <c r="R986" s="27"/>
      <c r="S986" s="22"/>
      <c r="T986" s="22"/>
      <c r="U986" s="28"/>
    </row>
    <row r="987" ht="15.75" customHeight="1">
      <c r="A987" s="189"/>
      <c r="B987" s="22"/>
      <c r="C987" s="22"/>
      <c r="D987" s="22"/>
      <c r="E987" s="22"/>
      <c r="F987" s="22"/>
      <c r="G987" s="22"/>
      <c r="H987" s="22"/>
      <c r="I987" s="266"/>
      <c r="J987" s="272"/>
      <c r="K987" s="272"/>
      <c r="L987" s="272"/>
      <c r="M987" s="273"/>
      <c r="N987" s="273"/>
      <c r="O987" s="273"/>
      <c r="P987" s="27"/>
      <c r="Q987" s="27"/>
      <c r="R987" s="27"/>
      <c r="S987" s="22"/>
      <c r="T987" s="22"/>
      <c r="U987" s="28"/>
    </row>
    <row r="988" ht="15.75" customHeight="1">
      <c r="A988" s="189"/>
      <c r="B988" s="22"/>
      <c r="C988" s="22"/>
      <c r="D988" s="22"/>
      <c r="E988" s="22"/>
      <c r="F988" s="22"/>
      <c r="G988" s="22"/>
      <c r="H988" s="22"/>
      <c r="I988" s="266"/>
      <c r="J988" s="272"/>
      <c r="K988" s="272"/>
      <c r="L988" s="272"/>
      <c r="M988" s="273"/>
      <c r="N988" s="273"/>
      <c r="O988" s="273"/>
      <c r="P988" s="27"/>
      <c r="Q988" s="27"/>
      <c r="R988" s="27"/>
      <c r="S988" s="22"/>
      <c r="T988" s="22"/>
      <c r="U988" s="28"/>
    </row>
    <row r="989" ht="15.75" customHeight="1">
      <c r="A989" s="189"/>
      <c r="B989" s="22"/>
      <c r="C989" s="22"/>
      <c r="D989" s="22"/>
      <c r="E989" s="22"/>
      <c r="F989" s="22"/>
      <c r="G989" s="22"/>
      <c r="H989" s="22"/>
      <c r="I989" s="266"/>
      <c r="J989" s="272"/>
      <c r="K989" s="272"/>
      <c r="L989" s="272"/>
      <c r="M989" s="273"/>
      <c r="N989" s="273"/>
      <c r="O989" s="273"/>
      <c r="P989" s="27"/>
      <c r="Q989" s="27"/>
      <c r="R989" s="27"/>
      <c r="S989" s="22"/>
      <c r="T989" s="22"/>
      <c r="U989" s="28"/>
    </row>
    <row r="990" ht="15.75" customHeight="1">
      <c r="A990" s="189"/>
      <c r="B990" s="22"/>
      <c r="C990" s="22"/>
      <c r="D990" s="22"/>
      <c r="E990" s="22"/>
      <c r="F990" s="22"/>
      <c r="G990" s="22"/>
      <c r="H990" s="22"/>
      <c r="I990" s="266"/>
      <c r="J990" s="272"/>
      <c r="K990" s="272"/>
      <c r="L990" s="272"/>
      <c r="M990" s="273"/>
      <c r="N990" s="273"/>
      <c r="O990" s="273"/>
      <c r="P990" s="27"/>
      <c r="Q990" s="27"/>
      <c r="R990" s="27"/>
      <c r="S990" s="22"/>
      <c r="T990" s="22"/>
      <c r="U990" s="28"/>
    </row>
    <row r="991" ht="15.75" customHeight="1">
      <c r="A991" s="189"/>
      <c r="B991" s="22"/>
      <c r="C991" s="22"/>
      <c r="D991" s="22"/>
      <c r="E991" s="22"/>
      <c r="F991" s="22"/>
      <c r="G991" s="22"/>
      <c r="H991" s="22"/>
      <c r="I991" s="266"/>
      <c r="J991" s="272"/>
      <c r="K991" s="272"/>
      <c r="L991" s="272"/>
      <c r="M991" s="273"/>
      <c r="N991" s="273"/>
      <c r="O991" s="273"/>
      <c r="P991" s="27"/>
      <c r="Q991" s="27"/>
      <c r="R991" s="27"/>
      <c r="S991" s="22"/>
      <c r="T991" s="22"/>
      <c r="U991" s="28"/>
    </row>
    <row r="992" ht="15.75" customHeight="1">
      <c r="A992" s="189"/>
      <c r="B992" s="22"/>
      <c r="C992" s="22"/>
      <c r="D992" s="22"/>
      <c r="E992" s="22"/>
      <c r="F992" s="22"/>
      <c r="G992" s="22"/>
      <c r="H992" s="22"/>
      <c r="I992" s="266"/>
      <c r="J992" s="272"/>
      <c r="K992" s="272"/>
      <c r="L992" s="272"/>
      <c r="M992" s="273"/>
      <c r="N992" s="273"/>
      <c r="O992" s="273"/>
      <c r="P992" s="27"/>
      <c r="Q992" s="27"/>
      <c r="R992" s="27"/>
      <c r="S992" s="22"/>
      <c r="T992" s="22"/>
      <c r="U992" s="28"/>
    </row>
    <row r="993" ht="15.75" customHeight="1">
      <c r="A993" s="189"/>
      <c r="B993" s="22"/>
      <c r="C993" s="22"/>
      <c r="D993" s="22"/>
      <c r="E993" s="22"/>
      <c r="F993" s="22"/>
      <c r="G993" s="22"/>
      <c r="H993" s="22"/>
      <c r="I993" s="266"/>
      <c r="J993" s="272"/>
      <c r="K993" s="272"/>
      <c r="L993" s="272"/>
      <c r="M993" s="273"/>
      <c r="N993" s="273"/>
      <c r="O993" s="273"/>
      <c r="P993" s="27"/>
      <c r="Q993" s="27"/>
      <c r="R993" s="27"/>
      <c r="S993" s="22"/>
      <c r="T993" s="22"/>
      <c r="U993" s="28"/>
    </row>
    <row r="994" ht="15.75" customHeight="1">
      <c r="A994" s="189"/>
      <c r="B994" s="22"/>
      <c r="C994" s="22"/>
      <c r="D994" s="22"/>
      <c r="E994" s="22"/>
      <c r="F994" s="22"/>
      <c r="G994" s="22"/>
      <c r="H994" s="22"/>
      <c r="I994" s="266"/>
      <c r="J994" s="272"/>
      <c r="K994" s="272"/>
      <c r="L994" s="272"/>
      <c r="M994" s="273"/>
      <c r="N994" s="273"/>
      <c r="O994" s="273"/>
      <c r="P994" s="27"/>
      <c r="Q994" s="27"/>
      <c r="R994" s="27"/>
      <c r="S994" s="22"/>
      <c r="T994" s="22"/>
      <c r="U994" s="28"/>
    </row>
    <row r="995" ht="15.75" customHeight="1">
      <c r="A995" s="189"/>
      <c r="B995" s="22"/>
      <c r="C995" s="22"/>
      <c r="D995" s="22"/>
      <c r="E995" s="22"/>
      <c r="F995" s="22"/>
      <c r="G995" s="22"/>
      <c r="H995" s="22"/>
      <c r="I995" s="266"/>
      <c r="J995" s="272"/>
      <c r="K995" s="272"/>
      <c r="L995" s="272"/>
      <c r="M995" s="273"/>
      <c r="N995" s="273"/>
      <c r="O995" s="273"/>
      <c r="P995" s="27"/>
      <c r="Q995" s="27"/>
      <c r="R995" s="27"/>
      <c r="S995" s="22"/>
      <c r="T995" s="22"/>
      <c r="U995" s="28"/>
    </row>
    <row r="996" ht="15.75" customHeight="1">
      <c r="A996" s="189"/>
      <c r="B996" s="22"/>
      <c r="C996" s="22"/>
      <c r="D996" s="22"/>
      <c r="E996" s="22"/>
      <c r="F996" s="22"/>
      <c r="G996" s="22"/>
      <c r="H996" s="22"/>
      <c r="I996" s="266"/>
      <c r="J996" s="272"/>
      <c r="K996" s="272"/>
      <c r="L996" s="272"/>
      <c r="M996" s="273"/>
      <c r="N996" s="273"/>
      <c r="O996" s="273"/>
      <c r="P996" s="27"/>
      <c r="Q996" s="27"/>
      <c r="R996" s="27"/>
      <c r="S996" s="22"/>
      <c r="T996" s="22"/>
      <c r="U996" s="28"/>
    </row>
    <row r="997" ht="15.75" customHeight="1">
      <c r="A997" s="189"/>
      <c r="B997" s="22"/>
      <c r="C997" s="22"/>
      <c r="D997" s="22"/>
      <c r="E997" s="22"/>
      <c r="F997" s="22"/>
      <c r="G997" s="22"/>
      <c r="H997" s="22"/>
      <c r="I997" s="266"/>
      <c r="J997" s="272"/>
      <c r="K997" s="272"/>
      <c r="L997" s="272"/>
      <c r="M997" s="273"/>
      <c r="N997" s="273"/>
      <c r="O997" s="273"/>
      <c r="P997" s="27"/>
      <c r="Q997" s="27"/>
      <c r="R997" s="27"/>
      <c r="S997" s="22"/>
      <c r="T997" s="22"/>
      <c r="U997" s="28"/>
    </row>
    <row r="998" ht="15.75" customHeight="1">
      <c r="A998" s="189"/>
      <c r="B998" s="22"/>
      <c r="C998" s="22"/>
      <c r="D998" s="22"/>
      <c r="E998" s="22"/>
      <c r="F998" s="22"/>
      <c r="G998" s="22"/>
      <c r="H998" s="22"/>
      <c r="I998" s="266"/>
      <c r="J998" s="272"/>
      <c r="K998" s="272"/>
      <c r="L998" s="272"/>
      <c r="M998" s="273"/>
      <c r="N998" s="273"/>
      <c r="O998" s="273"/>
      <c r="P998" s="27"/>
      <c r="Q998" s="27"/>
      <c r="R998" s="27"/>
      <c r="S998" s="22"/>
      <c r="T998" s="22"/>
      <c r="U998" s="28"/>
    </row>
    <row r="999" ht="15.75" customHeight="1">
      <c r="A999" s="189"/>
      <c r="B999" s="22"/>
      <c r="C999" s="22"/>
      <c r="D999" s="22"/>
      <c r="E999" s="22"/>
      <c r="F999" s="22"/>
      <c r="G999" s="22"/>
      <c r="H999" s="22"/>
      <c r="I999" s="266"/>
      <c r="J999" s="272"/>
      <c r="K999" s="272"/>
      <c r="L999" s="272"/>
      <c r="M999" s="273"/>
      <c r="N999" s="273"/>
      <c r="O999" s="273"/>
      <c r="P999" s="27"/>
      <c r="Q999" s="27"/>
      <c r="R999" s="27"/>
      <c r="S999" s="22"/>
      <c r="T999" s="22"/>
      <c r="U999" s="28"/>
    </row>
    <row r="1000" ht="15.75" customHeight="1">
      <c r="A1000" s="189"/>
      <c r="B1000" s="22"/>
      <c r="C1000" s="22"/>
      <c r="D1000" s="22"/>
      <c r="E1000" s="22"/>
      <c r="F1000" s="22"/>
      <c r="G1000" s="22"/>
      <c r="H1000" s="22"/>
      <c r="I1000" s="266"/>
      <c r="J1000" s="272"/>
      <c r="K1000" s="272"/>
      <c r="L1000" s="272"/>
      <c r="M1000" s="273"/>
      <c r="N1000" s="273"/>
      <c r="O1000" s="273"/>
      <c r="P1000" s="27"/>
      <c r="Q1000" s="27"/>
      <c r="R1000" s="27"/>
      <c r="S1000" s="22"/>
      <c r="T1000" s="22"/>
      <c r="U1000" s="28"/>
    </row>
    <row r="1001" ht="15.75" customHeight="1">
      <c r="A1001" s="189"/>
      <c r="B1001" s="22"/>
      <c r="C1001" s="22"/>
      <c r="D1001" s="22"/>
      <c r="E1001" s="22"/>
      <c r="F1001" s="22"/>
      <c r="G1001" s="22"/>
      <c r="H1001" s="22"/>
      <c r="I1001" s="266"/>
      <c r="J1001" s="272"/>
      <c r="K1001" s="272"/>
      <c r="L1001" s="272"/>
      <c r="M1001" s="273"/>
      <c r="N1001" s="273"/>
      <c r="O1001" s="273"/>
      <c r="P1001" s="27"/>
      <c r="Q1001" s="27"/>
      <c r="R1001" s="27"/>
      <c r="S1001" s="22"/>
      <c r="T1001" s="22"/>
      <c r="U1001" s="28"/>
    </row>
    <row r="1002" ht="15.75" customHeight="1">
      <c r="A1002" s="189"/>
      <c r="B1002" s="22"/>
      <c r="C1002" s="22"/>
      <c r="D1002" s="22"/>
      <c r="E1002" s="22"/>
      <c r="F1002" s="22"/>
      <c r="G1002" s="22"/>
      <c r="H1002" s="22"/>
      <c r="I1002" s="266"/>
      <c r="J1002" s="272"/>
      <c r="K1002" s="272"/>
      <c r="L1002" s="272"/>
      <c r="M1002" s="273"/>
      <c r="N1002" s="273"/>
      <c r="O1002" s="273"/>
      <c r="P1002" s="27"/>
      <c r="Q1002" s="27"/>
      <c r="R1002" s="27"/>
      <c r="S1002" s="22"/>
      <c r="T1002" s="22"/>
      <c r="U1002" s="28"/>
    </row>
    <row r="1003" ht="15.75" customHeight="1">
      <c r="A1003" s="189"/>
      <c r="B1003" s="22"/>
      <c r="C1003" s="22"/>
      <c r="D1003" s="22"/>
      <c r="E1003" s="22"/>
      <c r="F1003" s="22"/>
      <c r="G1003" s="22"/>
      <c r="H1003" s="22"/>
      <c r="I1003" s="266"/>
      <c r="J1003" s="272"/>
      <c r="K1003" s="272"/>
      <c r="L1003" s="272"/>
      <c r="M1003" s="273"/>
      <c r="N1003" s="273"/>
      <c r="O1003" s="273"/>
      <c r="P1003" s="27"/>
      <c r="Q1003" s="27"/>
      <c r="R1003" s="27"/>
      <c r="S1003" s="22"/>
      <c r="T1003" s="22"/>
      <c r="U1003" s="28"/>
    </row>
    <row r="1004" ht="15.75" customHeight="1">
      <c r="A1004" s="189"/>
      <c r="B1004" s="22"/>
      <c r="C1004" s="22"/>
      <c r="D1004" s="22"/>
      <c r="E1004" s="22"/>
      <c r="F1004" s="22"/>
      <c r="G1004" s="22"/>
      <c r="H1004" s="22"/>
      <c r="I1004" s="266"/>
      <c r="J1004" s="272"/>
      <c r="K1004" s="272"/>
      <c r="L1004" s="272"/>
      <c r="M1004" s="273"/>
      <c r="N1004" s="273"/>
      <c r="O1004" s="273"/>
      <c r="P1004" s="27"/>
      <c r="Q1004" s="27"/>
      <c r="R1004" s="27"/>
      <c r="S1004" s="22"/>
      <c r="T1004" s="22"/>
      <c r="U1004" s="28"/>
    </row>
    <row r="1005" ht="15.75" customHeight="1">
      <c r="A1005" s="189"/>
      <c r="B1005" s="22"/>
      <c r="C1005" s="22"/>
      <c r="D1005" s="22"/>
      <c r="E1005" s="22"/>
      <c r="F1005" s="22"/>
      <c r="G1005" s="22"/>
      <c r="H1005" s="22"/>
      <c r="I1005" s="266"/>
      <c r="J1005" s="272"/>
      <c r="K1005" s="272"/>
      <c r="L1005" s="272"/>
      <c r="M1005" s="273"/>
      <c r="N1005" s="273"/>
      <c r="O1005" s="273"/>
      <c r="P1005" s="27"/>
      <c r="Q1005" s="27"/>
      <c r="R1005" s="27"/>
      <c r="S1005" s="22"/>
      <c r="T1005" s="22"/>
      <c r="U1005" s="28"/>
    </row>
    <row r="1006" ht="15.75" customHeight="1">
      <c r="A1006" s="189"/>
      <c r="B1006" s="22"/>
      <c r="C1006" s="22"/>
      <c r="D1006" s="22"/>
      <c r="E1006" s="22"/>
      <c r="F1006" s="22"/>
      <c r="G1006" s="22"/>
      <c r="H1006" s="22"/>
      <c r="I1006" s="266"/>
      <c r="J1006" s="272"/>
      <c r="K1006" s="272"/>
      <c r="L1006" s="272"/>
      <c r="M1006" s="273"/>
      <c r="N1006" s="273"/>
      <c r="O1006" s="273"/>
      <c r="P1006" s="27"/>
      <c r="Q1006" s="27"/>
      <c r="R1006" s="27"/>
      <c r="S1006" s="22"/>
      <c r="T1006" s="22"/>
      <c r="U1006" s="28"/>
    </row>
    <row r="1007" ht="15.75" customHeight="1">
      <c r="A1007" s="189"/>
      <c r="B1007" s="22"/>
      <c r="C1007" s="22"/>
      <c r="D1007" s="22"/>
      <c r="E1007" s="22"/>
      <c r="F1007" s="22"/>
      <c r="G1007" s="22"/>
      <c r="H1007" s="22"/>
      <c r="I1007" s="266"/>
      <c r="J1007" s="272"/>
      <c r="K1007" s="272"/>
      <c r="L1007" s="272"/>
      <c r="M1007" s="273"/>
      <c r="N1007" s="273"/>
      <c r="O1007" s="273"/>
      <c r="P1007" s="27"/>
      <c r="Q1007" s="27"/>
      <c r="R1007" s="27"/>
      <c r="S1007" s="22"/>
      <c r="T1007" s="22"/>
      <c r="U1007" s="28"/>
    </row>
    <row r="1008" ht="15.75" customHeight="1">
      <c r="A1008" s="189"/>
      <c r="B1008" s="22"/>
      <c r="C1008" s="22"/>
      <c r="D1008" s="22"/>
      <c r="E1008" s="22"/>
      <c r="F1008" s="22"/>
      <c r="G1008" s="22"/>
      <c r="H1008" s="22"/>
      <c r="I1008" s="266"/>
      <c r="J1008" s="272"/>
      <c r="K1008" s="272"/>
      <c r="L1008" s="272"/>
      <c r="M1008" s="273"/>
      <c r="N1008" s="273"/>
      <c r="O1008" s="273"/>
      <c r="P1008" s="27"/>
      <c r="Q1008" s="27"/>
      <c r="R1008" s="27"/>
      <c r="S1008" s="22"/>
      <c r="T1008" s="22"/>
      <c r="U1008" s="28"/>
    </row>
    <row r="1009" ht="15.75" customHeight="1">
      <c r="A1009" s="189"/>
      <c r="B1009" s="22"/>
      <c r="C1009" s="22"/>
      <c r="D1009" s="22"/>
      <c r="E1009" s="22"/>
      <c r="F1009" s="22"/>
      <c r="G1009" s="22"/>
      <c r="H1009" s="22"/>
      <c r="I1009" s="266"/>
      <c r="J1009" s="272"/>
      <c r="K1009" s="272"/>
      <c r="L1009" s="272"/>
      <c r="M1009" s="273"/>
      <c r="N1009" s="273"/>
      <c r="O1009" s="273"/>
      <c r="P1009" s="27"/>
      <c r="Q1009" s="27"/>
      <c r="R1009" s="27"/>
      <c r="S1009" s="22"/>
      <c r="T1009" s="22"/>
      <c r="U1009" s="28"/>
    </row>
    <row r="1010" ht="15.75" customHeight="1">
      <c r="A1010" s="189"/>
      <c r="B1010" s="22"/>
      <c r="C1010" s="22"/>
      <c r="D1010" s="22"/>
      <c r="E1010" s="22"/>
      <c r="F1010" s="22"/>
      <c r="G1010" s="22"/>
      <c r="H1010" s="22"/>
      <c r="I1010" s="266"/>
      <c r="J1010" s="272"/>
      <c r="K1010" s="272"/>
      <c r="L1010" s="272"/>
      <c r="M1010" s="273"/>
      <c r="N1010" s="273"/>
      <c r="O1010" s="273"/>
      <c r="P1010" s="27"/>
      <c r="Q1010" s="27"/>
      <c r="R1010" s="27"/>
      <c r="S1010" s="22"/>
      <c r="T1010" s="22"/>
      <c r="U1010" s="28"/>
    </row>
    <row r="1011" ht="15.75" customHeight="1">
      <c r="A1011" s="189"/>
      <c r="B1011" s="22"/>
      <c r="C1011" s="22"/>
      <c r="D1011" s="22"/>
      <c r="E1011" s="22"/>
      <c r="F1011" s="22"/>
      <c r="G1011" s="22"/>
      <c r="H1011" s="22"/>
      <c r="I1011" s="266"/>
      <c r="J1011" s="272"/>
      <c r="K1011" s="272"/>
      <c r="L1011" s="272"/>
      <c r="M1011" s="273"/>
      <c r="N1011" s="273"/>
      <c r="O1011" s="273"/>
      <c r="P1011" s="27"/>
      <c r="Q1011" s="27"/>
      <c r="R1011" s="27"/>
      <c r="S1011" s="22"/>
      <c r="T1011" s="22"/>
      <c r="U1011" s="28"/>
    </row>
    <row r="1012" ht="15.75" customHeight="1">
      <c r="A1012" s="189"/>
      <c r="B1012" s="22"/>
      <c r="C1012" s="22"/>
      <c r="D1012" s="22"/>
      <c r="E1012" s="22"/>
      <c r="F1012" s="22"/>
      <c r="G1012" s="22"/>
      <c r="H1012" s="22"/>
      <c r="I1012" s="266"/>
      <c r="J1012" s="272"/>
      <c r="K1012" s="272"/>
      <c r="L1012" s="272"/>
      <c r="M1012" s="273"/>
      <c r="N1012" s="273"/>
      <c r="O1012" s="273"/>
      <c r="P1012" s="27"/>
      <c r="Q1012" s="27"/>
      <c r="R1012" s="27"/>
      <c r="S1012" s="22"/>
      <c r="T1012" s="22"/>
      <c r="U1012" s="28"/>
    </row>
    <row r="1013" ht="15.75" customHeight="1">
      <c r="A1013" s="189"/>
      <c r="B1013" s="22"/>
      <c r="C1013" s="22"/>
      <c r="D1013" s="22"/>
      <c r="E1013" s="22"/>
      <c r="F1013" s="22"/>
      <c r="G1013" s="22"/>
      <c r="H1013" s="22"/>
      <c r="I1013" s="266"/>
      <c r="J1013" s="272"/>
      <c r="K1013" s="272"/>
      <c r="L1013" s="272"/>
      <c r="M1013" s="273"/>
      <c r="N1013" s="273"/>
      <c r="O1013" s="273"/>
      <c r="P1013" s="27"/>
      <c r="Q1013" s="27"/>
      <c r="R1013" s="27"/>
      <c r="S1013" s="22"/>
      <c r="T1013" s="22"/>
      <c r="U1013" s="28"/>
    </row>
    <row r="1014" ht="15.75" customHeight="1">
      <c r="A1014" s="189"/>
      <c r="B1014" s="22"/>
      <c r="C1014" s="22"/>
      <c r="D1014" s="22"/>
      <c r="E1014" s="22"/>
      <c r="F1014" s="22"/>
      <c r="G1014" s="22"/>
      <c r="H1014" s="22"/>
      <c r="I1014" s="266"/>
      <c r="J1014" s="272"/>
      <c r="K1014" s="272"/>
      <c r="L1014" s="272"/>
      <c r="M1014" s="273"/>
      <c r="N1014" s="273"/>
      <c r="O1014" s="273"/>
      <c r="P1014" s="27"/>
      <c r="Q1014" s="27"/>
      <c r="R1014" s="27"/>
      <c r="S1014" s="22"/>
      <c r="T1014" s="22"/>
      <c r="U1014" s="28"/>
    </row>
    <row r="1015" ht="15.75" customHeight="1">
      <c r="A1015" s="189"/>
      <c r="B1015" s="22"/>
      <c r="C1015" s="22"/>
      <c r="D1015" s="22"/>
      <c r="E1015" s="22"/>
      <c r="F1015" s="22"/>
      <c r="G1015" s="22"/>
      <c r="H1015" s="22"/>
      <c r="I1015" s="266"/>
      <c r="J1015" s="272"/>
      <c r="K1015" s="272"/>
      <c r="L1015" s="272"/>
      <c r="M1015" s="273"/>
      <c r="N1015" s="273"/>
      <c r="O1015" s="273"/>
      <c r="P1015" s="27"/>
      <c r="Q1015" s="27"/>
      <c r="R1015" s="27"/>
      <c r="S1015" s="22"/>
      <c r="T1015" s="22"/>
      <c r="U1015" s="28"/>
    </row>
    <row r="1016" ht="15.75" customHeight="1">
      <c r="A1016" s="189"/>
      <c r="B1016" s="22"/>
      <c r="C1016" s="22"/>
      <c r="D1016" s="22"/>
      <c r="E1016" s="22"/>
      <c r="F1016" s="22"/>
      <c r="G1016" s="22"/>
      <c r="H1016" s="22"/>
      <c r="I1016" s="266"/>
      <c r="J1016" s="272"/>
      <c r="K1016" s="272"/>
      <c r="L1016" s="272"/>
      <c r="M1016" s="273"/>
      <c r="N1016" s="273"/>
      <c r="O1016" s="273"/>
      <c r="P1016" s="27"/>
      <c r="Q1016" s="27"/>
      <c r="R1016" s="27"/>
      <c r="S1016" s="22"/>
      <c r="T1016" s="22"/>
      <c r="U1016" s="28"/>
    </row>
    <row r="1017" ht="15.75" customHeight="1">
      <c r="A1017" s="189"/>
      <c r="B1017" s="22"/>
      <c r="C1017" s="22"/>
      <c r="D1017" s="22"/>
      <c r="E1017" s="22"/>
      <c r="F1017" s="22"/>
      <c r="G1017" s="22"/>
      <c r="H1017" s="22"/>
      <c r="I1017" s="266"/>
      <c r="J1017" s="272"/>
      <c r="K1017" s="272"/>
      <c r="L1017" s="272"/>
      <c r="M1017" s="273"/>
      <c r="N1017" s="273"/>
      <c r="O1017" s="273"/>
      <c r="P1017" s="27"/>
      <c r="Q1017" s="27"/>
      <c r="R1017" s="27"/>
      <c r="S1017" s="22"/>
      <c r="T1017" s="22"/>
      <c r="U1017" s="28"/>
    </row>
    <row r="1018" ht="15.75" customHeight="1">
      <c r="A1018" s="189"/>
      <c r="B1018" s="22"/>
      <c r="C1018" s="22"/>
      <c r="D1018" s="22"/>
      <c r="E1018" s="22"/>
      <c r="F1018" s="22"/>
      <c r="G1018" s="22"/>
      <c r="H1018" s="22"/>
      <c r="I1018" s="266"/>
      <c r="J1018" s="272"/>
      <c r="K1018" s="272"/>
      <c r="L1018" s="272"/>
      <c r="M1018" s="273"/>
      <c r="N1018" s="273"/>
      <c r="O1018" s="273"/>
      <c r="P1018" s="27"/>
      <c r="Q1018" s="27"/>
      <c r="R1018" s="27"/>
      <c r="S1018" s="22"/>
      <c r="T1018" s="22"/>
      <c r="U1018" s="28"/>
    </row>
    <row r="1019" ht="15.75" customHeight="1">
      <c r="A1019" s="189"/>
      <c r="B1019" s="22"/>
      <c r="C1019" s="22"/>
      <c r="D1019" s="22"/>
      <c r="E1019" s="22"/>
      <c r="F1019" s="22"/>
      <c r="G1019" s="22"/>
      <c r="H1019" s="22"/>
      <c r="I1019" s="266"/>
      <c r="J1019" s="272"/>
      <c r="K1019" s="272"/>
      <c r="L1019" s="272"/>
      <c r="M1019" s="273"/>
      <c r="N1019" s="273"/>
      <c r="O1019" s="273"/>
      <c r="P1019" s="27"/>
      <c r="Q1019" s="27"/>
      <c r="R1019" s="27"/>
      <c r="S1019" s="22"/>
      <c r="T1019" s="22"/>
      <c r="U1019" s="28"/>
    </row>
    <row r="1020" ht="15.75" customHeight="1">
      <c r="A1020" s="189"/>
      <c r="B1020" s="22"/>
      <c r="C1020" s="22"/>
      <c r="D1020" s="22"/>
      <c r="E1020" s="22"/>
      <c r="F1020" s="22"/>
      <c r="G1020" s="22"/>
      <c r="H1020" s="22"/>
      <c r="I1020" s="266"/>
      <c r="J1020" s="272"/>
      <c r="K1020" s="272"/>
      <c r="L1020" s="272"/>
      <c r="M1020" s="273"/>
      <c r="N1020" s="273"/>
      <c r="O1020" s="273"/>
      <c r="P1020" s="27"/>
      <c r="Q1020" s="27"/>
      <c r="R1020" s="27"/>
      <c r="S1020" s="22"/>
      <c r="T1020" s="22"/>
      <c r="U1020" s="28"/>
    </row>
    <row r="1021" ht="15.75" customHeight="1">
      <c r="A1021" s="189"/>
      <c r="B1021" s="22"/>
      <c r="C1021" s="22"/>
      <c r="D1021" s="22"/>
      <c r="E1021" s="22"/>
      <c r="F1021" s="22"/>
      <c r="G1021" s="22"/>
      <c r="H1021" s="22"/>
      <c r="I1021" s="266"/>
      <c r="J1021" s="272"/>
      <c r="K1021" s="272"/>
      <c r="L1021" s="272"/>
      <c r="M1021" s="273"/>
      <c r="N1021" s="273"/>
      <c r="O1021" s="273"/>
      <c r="P1021" s="27"/>
      <c r="Q1021" s="27"/>
      <c r="R1021" s="27"/>
      <c r="S1021" s="22"/>
      <c r="T1021" s="22"/>
      <c r="U1021" s="28"/>
    </row>
    <row r="1022" ht="15.75" customHeight="1">
      <c r="A1022" s="189"/>
      <c r="B1022" s="22"/>
      <c r="C1022" s="22"/>
      <c r="D1022" s="22"/>
      <c r="E1022" s="22"/>
      <c r="F1022" s="22"/>
      <c r="G1022" s="22"/>
      <c r="H1022" s="22"/>
      <c r="I1022" s="266"/>
      <c r="J1022" s="272"/>
      <c r="K1022" s="272"/>
      <c r="L1022" s="272"/>
      <c r="M1022" s="273"/>
      <c r="N1022" s="273"/>
      <c r="O1022" s="273"/>
      <c r="P1022" s="27"/>
      <c r="Q1022" s="27"/>
      <c r="R1022" s="27"/>
      <c r="S1022" s="22"/>
      <c r="T1022" s="22"/>
      <c r="U1022" s="28"/>
    </row>
    <row r="1023" ht="15.75" customHeight="1">
      <c r="A1023" s="189"/>
      <c r="B1023" s="22"/>
      <c r="C1023" s="22"/>
      <c r="D1023" s="22"/>
      <c r="E1023" s="22"/>
      <c r="F1023" s="22"/>
      <c r="G1023" s="22"/>
      <c r="H1023" s="22"/>
      <c r="I1023" s="266"/>
      <c r="J1023" s="272"/>
      <c r="K1023" s="272"/>
      <c r="L1023" s="272"/>
      <c r="M1023" s="273"/>
      <c r="N1023" s="273"/>
      <c r="O1023" s="273"/>
      <c r="P1023" s="27"/>
      <c r="Q1023" s="27"/>
      <c r="R1023" s="27"/>
      <c r="S1023" s="22"/>
      <c r="T1023" s="22"/>
      <c r="U1023" s="28"/>
    </row>
    <row r="1024" ht="15.75" customHeight="1">
      <c r="A1024" s="189"/>
      <c r="B1024" s="22"/>
      <c r="C1024" s="22"/>
      <c r="D1024" s="22"/>
      <c r="E1024" s="22"/>
      <c r="F1024" s="22"/>
      <c r="G1024" s="22"/>
      <c r="H1024" s="22"/>
      <c r="I1024" s="266"/>
      <c r="J1024" s="272"/>
      <c r="K1024" s="272"/>
      <c r="L1024" s="272"/>
      <c r="M1024" s="273"/>
      <c r="N1024" s="273"/>
      <c r="O1024" s="273"/>
      <c r="P1024" s="27"/>
      <c r="Q1024" s="27"/>
      <c r="R1024" s="27"/>
      <c r="S1024" s="22"/>
      <c r="T1024" s="22"/>
      <c r="U1024" s="28"/>
    </row>
    <row r="1025" ht="15.75" customHeight="1">
      <c r="A1025" s="189"/>
      <c r="B1025" s="22"/>
      <c r="C1025" s="22"/>
      <c r="D1025" s="22"/>
      <c r="E1025" s="22"/>
      <c r="F1025" s="22"/>
      <c r="G1025" s="22"/>
      <c r="H1025" s="22"/>
      <c r="I1025" s="266"/>
      <c r="J1025" s="272"/>
      <c r="K1025" s="272"/>
      <c r="L1025" s="272"/>
      <c r="M1025" s="273"/>
      <c r="N1025" s="273"/>
      <c r="O1025" s="273"/>
      <c r="P1025" s="27"/>
      <c r="Q1025" s="27"/>
      <c r="R1025" s="27"/>
      <c r="S1025" s="22"/>
      <c r="T1025" s="22"/>
      <c r="U1025" s="28"/>
    </row>
    <row r="1026" ht="15.75" customHeight="1">
      <c r="A1026" s="189"/>
      <c r="B1026" s="22"/>
      <c r="C1026" s="22"/>
      <c r="D1026" s="22"/>
      <c r="E1026" s="22"/>
      <c r="F1026" s="22"/>
      <c r="G1026" s="22"/>
      <c r="H1026" s="22"/>
      <c r="I1026" s="266"/>
      <c r="J1026" s="272"/>
      <c r="K1026" s="272"/>
      <c r="L1026" s="272"/>
      <c r="M1026" s="273"/>
      <c r="N1026" s="273"/>
      <c r="O1026" s="273"/>
      <c r="P1026" s="27"/>
      <c r="Q1026" s="27"/>
      <c r="R1026" s="27"/>
      <c r="S1026" s="22"/>
      <c r="T1026" s="22"/>
      <c r="U1026" s="28"/>
    </row>
    <row r="1027" ht="15.75" customHeight="1">
      <c r="A1027" s="189"/>
      <c r="B1027" s="22"/>
      <c r="C1027" s="22"/>
      <c r="D1027" s="22"/>
      <c r="E1027" s="22"/>
      <c r="F1027" s="22"/>
      <c r="G1027" s="22"/>
      <c r="H1027" s="22"/>
      <c r="I1027" s="266"/>
      <c r="J1027" s="272"/>
      <c r="K1027" s="272"/>
      <c r="L1027" s="272"/>
      <c r="M1027" s="273"/>
      <c r="N1027" s="273"/>
      <c r="O1027" s="273"/>
      <c r="P1027" s="27"/>
      <c r="Q1027" s="27"/>
      <c r="R1027" s="27"/>
      <c r="S1027" s="22"/>
      <c r="T1027" s="22"/>
      <c r="U1027" s="28"/>
    </row>
    <row r="1028" ht="15.75" customHeight="1">
      <c r="A1028" s="189"/>
      <c r="B1028" s="22"/>
      <c r="C1028" s="22"/>
      <c r="D1028" s="22"/>
      <c r="E1028" s="22"/>
      <c r="F1028" s="22"/>
      <c r="G1028" s="22"/>
      <c r="H1028" s="22"/>
      <c r="I1028" s="266"/>
      <c r="J1028" s="272"/>
      <c r="K1028" s="272"/>
      <c r="L1028" s="272"/>
      <c r="M1028" s="273"/>
      <c r="N1028" s="273"/>
      <c r="O1028" s="273"/>
      <c r="P1028" s="27"/>
      <c r="Q1028" s="27"/>
      <c r="R1028" s="27"/>
      <c r="S1028" s="22"/>
      <c r="T1028" s="22"/>
      <c r="U1028" s="28"/>
    </row>
    <row r="1029" ht="15.75" customHeight="1">
      <c r="A1029" s="189"/>
      <c r="B1029" s="22"/>
      <c r="C1029" s="22"/>
      <c r="D1029" s="22"/>
      <c r="E1029" s="22"/>
      <c r="F1029" s="22"/>
      <c r="G1029" s="22"/>
      <c r="H1029" s="22"/>
      <c r="I1029" s="266"/>
      <c r="J1029" s="272"/>
      <c r="K1029" s="272"/>
      <c r="L1029" s="272"/>
      <c r="M1029" s="273"/>
      <c r="N1029" s="273"/>
      <c r="O1029" s="273"/>
      <c r="P1029" s="27"/>
      <c r="Q1029" s="27"/>
      <c r="R1029" s="27"/>
      <c r="S1029" s="22"/>
      <c r="T1029" s="22"/>
      <c r="U1029" s="28"/>
    </row>
    <row r="1030" ht="15.75" customHeight="1">
      <c r="A1030" s="189"/>
      <c r="B1030" s="22"/>
      <c r="C1030" s="22"/>
      <c r="D1030" s="22"/>
      <c r="E1030" s="22"/>
      <c r="F1030" s="22"/>
      <c r="G1030" s="22"/>
      <c r="H1030" s="22"/>
      <c r="I1030" s="266"/>
      <c r="J1030" s="272"/>
      <c r="K1030" s="272"/>
      <c r="L1030" s="272"/>
      <c r="M1030" s="273"/>
      <c r="N1030" s="273"/>
      <c r="O1030" s="273"/>
      <c r="P1030" s="27"/>
      <c r="Q1030" s="27"/>
      <c r="R1030" s="27"/>
      <c r="S1030" s="22"/>
      <c r="T1030" s="22"/>
      <c r="U1030" s="28"/>
    </row>
    <row r="1031" ht="15.75" customHeight="1">
      <c r="A1031" s="189"/>
      <c r="B1031" s="22"/>
      <c r="C1031" s="22"/>
      <c r="D1031" s="22"/>
      <c r="E1031" s="22"/>
      <c r="F1031" s="22"/>
      <c r="G1031" s="22"/>
      <c r="H1031" s="22"/>
      <c r="I1031" s="266"/>
      <c r="J1031" s="272"/>
      <c r="K1031" s="272"/>
      <c r="L1031" s="272"/>
      <c r="M1031" s="273"/>
      <c r="N1031" s="273"/>
      <c r="O1031" s="273"/>
      <c r="P1031" s="27"/>
      <c r="Q1031" s="27"/>
      <c r="R1031" s="27"/>
      <c r="S1031" s="22"/>
      <c r="T1031" s="22"/>
      <c r="U1031" s="28"/>
    </row>
    <row r="1032" ht="15.75" customHeight="1">
      <c r="A1032" s="189"/>
      <c r="B1032" s="22"/>
      <c r="C1032" s="22"/>
      <c r="D1032" s="22"/>
      <c r="E1032" s="22"/>
      <c r="F1032" s="22"/>
      <c r="G1032" s="22"/>
      <c r="H1032" s="22"/>
      <c r="I1032" s="266"/>
      <c r="J1032" s="272"/>
      <c r="K1032" s="272"/>
      <c r="L1032" s="272"/>
      <c r="M1032" s="273"/>
      <c r="N1032" s="273"/>
      <c r="O1032" s="273"/>
      <c r="P1032" s="27"/>
      <c r="Q1032" s="27"/>
      <c r="R1032" s="27"/>
      <c r="S1032" s="22"/>
      <c r="T1032" s="22"/>
      <c r="U1032" s="28"/>
    </row>
    <row r="1033" ht="15.75" customHeight="1">
      <c r="A1033" s="189"/>
      <c r="B1033" s="22"/>
      <c r="C1033" s="22"/>
      <c r="D1033" s="22"/>
      <c r="E1033" s="22"/>
      <c r="F1033" s="22"/>
      <c r="G1033" s="22"/>
      <c r="H1033" s="22"/>
      <c r="I1033" s="266"/>
      <c r="J1033" s="272"/>
      <c r="K1033" s="272"/>
      <c r="L1033" s="272"/>
      <c r="M1033" s="273"/>
      <c r="N1033" s="273"/>
      <c r="O1033" s="273"/>
      <c r="P1033" s="27"/>
      <c r="Q1033" s="27"/>
      <c r="R1033" s="27"/>
      <c r="S1033" s="22"/>
      <c r="T1033" s="22"/>
      <c r="U1033" s="28"/>
    </row>
    <row r="1034" ht="15.75" customHeight="1">
      <c r="A1034" s="189"/>
      <c r="B1034" s="22"/>
      <c r="C1034" s="22"/>
      <c r="D1034" s="22"/>
      <c r="E1034" s="22"/>
      <c r="F1034" s="22"/>
      <c r="G1034" s="22"/>
      <c r="H1034" s="22"/>
      <c r="I1034" s="266"/>
      <c r="J1034" s="272"/>
      <c r="K1034" s="272"/>
      <c r="L1034" s="272"/>
      <c r="M1034" s="273"/>
      <c r="N1034" s="273"/>
      <c r="O1034" s="273"/>
      <c r="P1034" s="27"/>
      <c r="Q1034" s="27"/>
      <c r="R1034" s="27"/>
      <c r="S1034" s="22"/>
      <c r="T1034" s="22"/>
      <c r="U1034" s="28"/>
    </row>
    <row r="1035" ht="15.75" customHeight="1">
      <c r="A1035" s="189"/>
      <c r="B1035" s="22"/>
      <c r="C1035" s="22"/>
      <c r="D1035" s="22"/>
      <c r="E1035" s="22"/>
      <c r="F1035" s="22"/>
      <c r="G1035" s="22"/>
      <c r="H1035" s="22"/>
      <c r="I1035" s="266"/>
      <c r="J1035" s="272"/>
      <c r="K1035" s="272"/>
      <c r="L1035" s="272"/>
      <c r="M1035" s="273"/>
      <c r="N1035" s="273"/>
      <c r="O1035" s="273"/>
      <c r="P1035" s="27"/>
      <c r="Q1035" s="27"/>
      <c r="R1035" s="27"/>
      <c r="S1035" s="22"/>
      <c r="T1035" s="22"/>
      <c r="U1035" s="28"/>
    </row>
    <row r="1036" ht="15.75" customHeight="1">
      <c r="A1036" s="189"/>
      <c r="B1036" s="22"/>
      <c r="C1036" s="22"/>
      <c r="D1036" s="22"/>
      <c r="E1036" s="22"/>
      <c r="F1036" s="22"/>
      <c r="G1036" s="22"/>
      <c r="H1036" s="22"/>
      <c r="I1036" s="266"/>
      <c r="J1036" s="272"/>
      <c r="K1036" s="272"/>
      <c r="L1036" s="272"/>
      <c r="M1036" s="273"/>
      <c r="N1036" s="273"/>
      <c r="O1036" s="273"/>
      <c r="P1036" s="27"/>
      <c r="Q1036" s="27"/>
      <c r="R1036" s="27"/>
      <c r="S1036" s="22"/>
      <c r="T1036" s="22"/>
      <c r="U1036" s="28"/>
    </row>
    <row r="1037" ht="15.75" customHeight="1">
      <c r="A1037" s="189"/>
      <c r="B1037" s="22"/>
      <c r="C1037" s="22"/>
      <c r="D1037" s="22"/>
      <c r="E1037" s="22"/>
      <c r="F1037" s="22"/>
      <c r="G1037" s="22"/>
      <c r="H1037" s="22"/>
      <c r="I1037" s="266"/>
      <c r="J1037" s="272"/>
      <c r="K1037" s="272"/>
      <c r="L1037" s="272"/>
      <c r="M1037" s="273"/>
      <c r="N1037" s="273"/>
      <c r="O1037" s="273"/>
      <c r="P1037" s="27"/>
      <c r="Q1037" s="27"/>
      <c r="R1037" s="27"/>
      <c r="S1037" s="22"/>
      <c r="T1037" s="22"/>
      <c r="U1037" s="28"/>
    </row>
    <row r="1038" ht="15.75" customHeight="1">
      <c r="A1038" s="189"/>
      <c r="B1038" s="22"/>
      <c r="C1038" s="22"/>
      <c r="D1038" s="22"/>
      <c r="E1038" s="22"/>
      <c r="F1038" s="22"/>
      <c r="G1038" s="22"/>
      <c r="H1038" s="22"/>
      <c r="I1038" s="266"/>
      <c r="J1038" s="272"/>
      <c r="K1038" s="272"/>
      <c r="L1038" s="272"/>
      <c r="M1038" s="273"/>
      <c r="N1038" s="273"/>
      <c r="O1038" s="273"/>
      <c r="P1038" s="27"/>
      <c r="Q1038" s="27"/>
      <c r="R1038" s="27"/>
      <c r="S1038" s="22"/>
      <c r="T1038" s="22"/>
      <c r="U1038" s="28"/>
    </row>
    <row r="1039" ht="15.75" customHeight="1">
      <c r="A1039" s="189"/>
      <c r="B1039" s="22"/>
      <c r="C1039" s="22"/>
      <c r="D1039" s="22"/>
      <c r="E1039" s="22"/>
      <c r="F1039" s="22"/>
      <c r="G1039" s="22"/>
      <c r="H1039" s="22"/>
      <c r="I1039" s="266"/>
      <c r="J1039" s="272"/>
      <c r="K1039" s="272"/>
      <c r="L1039" s="272"/>
      <c r="M1039" s="273"/>
      <c r="N1039" s="273"/>
      <c r="O1039" s="273"/>
      <c r="P1039" s="27"/>
      <c r="Q1039" s="27"/>
      <c r="R1039" s="27"/>
      <c r="S1039" s="22"/>
      <c r="T1039" s="22"/>
      <c r="U1039" s="28"/>
    </row>
    <row r="1040" ht="15.75" customHeight="1">
      <c r="A1040" s="189"/>
      <c r="B1040" s="22"/>
      <c r="C1040" s="22"/>
      <c r="D1040" s="22"/>
      <c r="E1040" s="22"/>
      <c r="F1040" s="22"/>
      <c r="G1040" s="22"/>
      <c r="H1040" s="22"/>
      <c r="I1040" s="266"/>
      <c r="J1040" s="272"/>
      <c r="K1040" s="272"/>
      <c r="L1040" s="272"/>
      <c r="M1040" s="273"/>
      <c r="N1040" s="273"/>
      <c r="O1040" s="273"/>
      <c r="P1040" s="27"/>
      <c r="Q1040" s="27"/>
      <c r="R1040" s="27"/>
      <c r="S1040" s="22"/>
      <c r="T1040" s="22"/>
      <c r="U1040" s="28"/>
    </row>
    <row r="1041" ht="15.75" customHeight="1">
      <c r="A1041" s="189"/>
      <c r="B1041" s="22"/>
      <c r="C1041" s="22"/>
      <c r="D1041" s="22"/>
      <c r="E1041" s="22"/>
      <c r="F1041" s="22"/>
      <c r="G1041" s="22"/>
      <c r="H1041" s="22"/>
      <c r="I1041" s="266"/>
      <c r="J1041" s="272"/>
      <c r="K1041" s="272"/>
      <c r="L1041" s="272"/>
      <c r="M1041" s="273"/>
      <c r="N1041" s="273"/>
      <c r="O1041" s="273"/>
      <c r="P1041" s="27"/>
      <c r="Q1041" s="27"/>
      <c r="R1041" s="27"/>
      <c r="S1041" s="22"/>
      <c r="T1041" s="22"/>
      <c r="U1041" s="28"/>
    </row>
    <row r="1042" ht="15.75" customHeight="1">
      <c r="A1042" s="189"/>
      <c r="B1042" s="22"/>
      <c r="C1042" s="22"/>
      <c r="D1042" s="22"/>
      <c r="E1042" s="22"/>
      <c r="F1042" s="22"/>
      <c r="G1042" s="22"/>
      <c r="H1042" s="22"/>
      <c r="I1042" s="266"/>
      <c r="J1042" s="272"/>
      <c r="K1042" s="272"/>
      <c r="L1042" s="272"/>
      <c r="M1042" s="273"/>
      <c r="N1042" s="273"/>
      <c r="O1042" s="273"/>
      <c r="P1042" s="27"/>
      <c r="Q1042" s="27"/>
      <c r="R1042" s="27"/>
      <c r="S1042" s="22"/>
      <c r="T1042" s="22"/>
      <c r="U1042" s="28"/>
    </row>
    <row r="1043" ht="15.75" customHeight="1">
      <c r="A1043" s="189"/>
      <c r="B1043" s="22"/>
      <c r="C1043" s="22"/>
      <c r="D1043" s="22"/>
      <c r="E1043" s="22"/>
      <c r="F1043" s="22"/>
      <c r="G1043" s="22"/>
      <c r="H1043" s="22"/>
      <c r="I1043" s="266"/>
      <c r="J1043" s="272"/>
      <c r="K1043" s="272"/>
      <c r="L1043" s="272"/>
      <c r="M1043" s="273"/>
      <c r="N1043" s="273"/>
      <c r="O1043" s="273"/>
      <c r="P1043" s="27"/>
      <c r="Q1043" s="27"/>
      <c r="R1043" s="27"/>
      <c r="S1043" s="22"/>
      <c r="T1043" s="22"/>
      <c r="U1043" s="28"/>
    </row>
    <row r="1044" ht="15.75" customHeight="1">
      <c r="A1044" s="189"/>
      <c r="B1044" s="22"/>
      <c r="C1044" s="22"/>
      <c r="D1044" s="22"/>
      <c r="E1044" s="22"/>
      <c r="F1044" s="22"/>
      <c r="G1044" s="22"/>
      <c r="H1044" s="22"/>
      <c r="I1044" s="266"/>
      <c r="J1044" s="272"/>
      <c r="K1044" s="272"/>
      <c r="L1044" s="272"/>
      <c r="M1044" s="273"/>
      <c r="N1044" s="273"/>
      <c r="O1044" s="273"/>
      <c r="P1044" s="27"/>
      <c r="Q1044" s="27"/>
      <c r="R1044" s="27"/>
      <c r="S1044" s="22"/>
      <c r="T1044" s="22"/>
      <c r="U1044" s="28"/>
    </row>
    <row r="1045" ht="15.75" customHeight="1">
      <c r="A1045" s="189"/>
      <c r="B1045" s="22"/>
      <c r="C1045" s="22"/>
      <c r="D1045" s="22"/>
      <c r="E1045" s="22"/>
      <c r="F1045" s="22"/>
      <c r="G1045" s="22"/>
      <c r="H1045" s="22"/>
      <c r="I1045" s="266"/>
      <c r="J1045" s="272"/>
      <c r="K1045" s="272"/>
      <c r="L1045" s="272"/>
      <c r="M1045" s="273"/>
      <c r="N1045" s="273"/>
      <c r="O1045" s="273"/>
      <c r="P1045" s="27"/>
      <c r="Q1045" s="27"/>
      <c r="R1045" s="27"/>
      <c r="S1045" s="22"/>
      <c r="T1045" s="22"/>
      <c r="U1045" s="28"/>
    </row>
    <row r="1046" ht="15.75" customHeight="1">
      <c r="A1046" s="189"/>
      <c r="B1046" s="22"/>
      <c r="C1046" s="22"/>
      <c r="D1046" s="22"/>
      <c r="E1046" s="22"/>
      <c r="F1046" s="22"/>
      <c r="G1046" s="22"/>
      <c r="H1046" s="22"/>
      <c r="I1046" s="24"/>
      <c r="J1046" s="272"/>
      <c r="K1046" s="272"/>
      <c r="L1046" s="272"/>
      <c r="M1046" s="273"/>
      <c r="N1046" s="273"/>
      <c r="O1046" s="273"/>
      <c r="P1046" s="27"/>
      <c r="Q1046" s="27"/>
      <c r="R1046" s="27"/>
      <c r="S1046" s="22"/>
      <c r="T1046" s="22"/>
      <c r="U1046" s="28"/>
    </row>
    <row r="1047" ht="15.75" customHeight="1">
      <c r="A1047" s="189"/>
      <c r="B1047" s="22"/>
      <c r="C1047" s="22"/>
      <c r="D1047" s="22"/>
      <c r="E1047" s="22"/>
      <c r="F1047" s="22"/>
      <c r="G1047" s="22"/>
      <c r="H1047" s="22"/>
      <c r="I1047" s="24"/>
      <c r="J1047" s="272"/>
      <c r="K1047" s="272"/>
      <c r="L1047" s="272"/>
      <c r="M1047" s="273"/>
      <c r="N1047" s="273"/>
      <c r="O1047" s="273"/>
      <c r="P1047" s="27"/>
      <c r="Q1047" s="27"/>
      <c r="R1047" s="27"/>
      <c r="S1047" s="22"/>
      <c r="T1047" s="22"/>
      <c r="U1047" s="28"/>
    </row>
    <row r="1048" ht="15.75" customHeight="1">
      <c r="A1048" s="189"/>
      <c r="B1048" s="22"/>
      <c r="C1048" s="22"/>
      <c r="D1048" s="22"/>
      <c r="E1048" s="22"/>
      <c r="F1048" s="22"/>
      <c r="G1048" s="22"/>
      <c r="H1048" s="22"/>
      <c r="I1048" s="24"/>
      <c r="J1048" s="272"/>
      <c r="K1048" s="272"/>
      <c r="L1048" s="272"/>
      <c r="M1048" s="273"/>
      <c r="N1048" s="273"/>
      <c r="O1048" s="273"/>
      <c r="P1048" s="27"/>
      <c r="Q1048" s="27"/>
      <c r="R1048" s="27"/>
      <c r="S1048" s="22"/>
      <c r="T1048" s="22"/>
      <c r="U1048" s="28"/>
    </row>
    <row r="1049" ht="15.75" customHeight="1">
      <c r="A1049" s="189"/>
      <c r="B1049" s="22"/>
      <c r="C1049" s="22"/>
      <c r="D1049" s="22"/>
      <c r="E1049" s="22"/>
      <c r="F1049" s="22"/>
      <c r="G1049" s="22"/>
      <c r="H1049" s="22"/>
      <c r="I1049" s="24"/>
      <c r="J1049" s="272"/>
      <c r="K1049" s="272"/>
      <c r="L1049" s="272"/>
      <c r="M1049" s="273"/>
      <c r="N1049" s="273"/>
      <c r="O1049" s="273"/>
      <c r="P1049" s="27"/>
      <c r="Q1049" s="27"/>
      <c r="R1049" s="27"/>
      <c r="S1049" s="22"/>
      <c r="T1049" s="22"/>
      <c r="U1049" s="28"/>
    </row>
    <row r="1050" ht="15.75" customHeight="1">
      <c r="A1050" s="189"/>
      <c r="B1050" s="22"/>
      <c r="C1050" s="22"/>
      <c r="D1050" s="22"/>
      <c r="E1050" s="22"/>
      <c r="F1050" s="22"/>
      <c r="G1050" s="22"/>
      <c r="H1050" s="22"/>
      <c r="I1050" s="24"/>
      <c r="J1050" s="272"/>
      <c r="K1050" s="272"/>
      <c r="L1050" s="272"/>
      <c r="M1050" s="273"/>
      <c r="N1050" s="273"/>
      <c r="O1050" s="273"/>
      <c r="P1050" s="27"/>
      <c r="Q1050" s="27"/>
      <c r="R1050" s="27"/>
      <c r="S1050" s="22"/>
      <c r="T1050" s="22"/>
      <c r="U1050" s="28"/>
    </row>
    <row r="1051" ht="15.75" customHeight="1">
      <c r="A1051" s="189"/>
      <c r="B1051" s="22"/>
      <c r="C1051" s="22"/>
      <c r="D1051" s="22"/>
      <c r="E1051" s="22"/>
      <c r="F1051" s="22"/>
      <c r="G1051" s="22"/>
      <c r="H1051" s="22"/>
      <c r="I1051" s="24"/>
      <c r="J1051" s="24"/>
      <c r="K1051" s="24"/>
      <c r="L1051" s="24"/>
      <c r="M1051" s="26"/>
      <c r="N1051" s="26"/>
      <c r="O1051" s="26"/>
      <c r="P1051" s="27"/>
      <c r="Q1051" s="27"/>
      <c r="R1051" s="27"/>
      <c r="S1051" s="22"/>
      <c r="T1051" s="22"/>
      <c r="U1051" s="28"/>
    </row>
    <row r="1052" ht="15.75" customHeight="1">
      <c r="A1052" s="189"/>
      <c r="B1052" s="22"/>
      <c r="C1052" s="22"/>
      <c r="D1052" s="22"/>
      <c r="E1052" s="22"/>
      <c r="F1052" s="22"/>
      <c r="G1052" s="22"/>
      <c r="H1052" s="22"/>
      <c r="I1052" s="24"/>
      <c r="J1052" s="24"/>
      <c r="K1052" s="24"/>
      <c r="L1052" s="24"/>
      <c r="M1052" s="26"/>
      <c r="N1052" s="26"/>
      <c r="O1052" s="26"/>
      <c r="P1052" s="27"/>
      <c r="Q1052" s="27"/>
      <c r="R1052" s="27"/>
      <c r="S1052" s="22"/>
      <c r="T1052" s="22"/>
      <c r="U1052" s="28"/>
    </row>
    <row r="1053" ht="15.75" customHeight="1">
      <c r="A1053" s="189"/>
      <c r="B1053" s="22"/>
      <c r="C1053" s="22"/>
      <c r="D1053" s="22"/>
      <c r="E1053" s="22"/>
      <c r="F1053" s="22"/>
      <c r="G1053" s="22"/>
      <c r="H1053" s="22"/>
      <c r="I1053" s="24"/>
      <c r="J1053" s="24"/>
      <c r="K1053" s="24"/>
      <c r="L1053" s="24"/>
      <c r="M1053" s="26"/>
      <c r="N1053" s="26"/>
      <c r="O1053" s="26"/>
      <c r="P1053" s="27"/>
      <c r="Q1053" s="27"/>
      <c r="R1053" s="27"/>
      <c r="S1053" s="22"/>
      <c r="T1053" s="22"/>
      <c r="U1053" s="28"/>
    </row>
    <row r="1054" ht="15.75" customHeight="1">
      <c r="A1054" s="189"/>
      <c r="B1054" s="22"/>
      <c r="C1054" s="22"/>
      <c r="D1054" s="22"/>
      <c r="E1054" s="22"/>
      <c r="F1054" s="22"/>
      <c r="G1054" s="22"/>
      <c r="H1054" s="22"/>
      <c r="I1054" s="24"/>
      <c r="J1054" s="24"/>
      <c r="K1054" s="24"/>
      <c r="L1054" s="24"/>
      <c r="M1054" s="26"/>
      <c r="N1054" s="26"/>
      <c r="O1054" s="26"/>
      <c r="P1054" s="27"/>
      <c r="Q1054" s="27"/>
      <c r="R1054" s="27"/>
      <c r="S1054" s="22"/>
      <c r="T1054" s="22"/>
      <c r="U1054" s="28"/>
    </row>
    <row r="1055" ht="15.75" customHeight="1">
      <c r="A1055" s="189"/>
      <c r="B1055" s="22"/>
      <c r="C1055" s="22"/>
      <c r="D1055" s="22"/>
      <c r="E1055" s="22"/>
      <c r="F1055" s="22"/>
      <c r="G1055" s="22"/>
      <c r="H1055" s="22"/>
      <c r="I1055" s="24"/>
      <c r="J1055" s="24"/>
      <c r="K1055" s="24"/>
      <c r="L1055" s="24"/>
      <c r="M1055" s="26"/>
      <c r="N1055" s="26"/>
      <c r="O1055" s="26"/>
      <c r="P1055" s="27"/>
      <c r="Q1055" s="27"/>
      <c r="R1055" s="27"/>
      <c r="S1055" s="22"/>
      <c r="T1055" s="22"/>
      <c r="U1055" s="28"/>
    </row>
    <row r="1056" ht="15.75" customHeight="1">
      <c r="A1056" s="189"/>
      <c r="B1056" s="22"/>
      <c r="C1056" s="22"/>
      <c r="D1056" s="22"/>
      <c r="E1056" s="22"/>
      <c r="F1056" s="22"/>
      <c r="G1056" s="22"/>
      <c r="H1056" s="22"/>
      <c r="I1056" s="24"/>
      <c r="J1056" s="24"/>
      <c r="K1056" s="24"/>
      <c r="L1056" s="24"/>
      <c r="M1056" s="26"/>
      <c r="N1056" s="26"/>
      <c r="O1056" s="26"/>
      <c r="P1056" s="27"/>
      <c r="Q1056" s="27"/>
      <c r="R1056" s="27"/>
      <c r="S1056" s="22"/>
      <c r="T1056" s="22"/>
      <c r="U1056" s="28"/>
    </row>
    <row r="1057" ht="15.75" customHeight="1">
      <c r="A1057" s="189"/>
      <c r="B1057" s="22"/>
      <c r="C1057" s="22"/>
      <c r="D1057" s="22"/>
      <c r="E1057" s="22"/>
      <c r="F1057" s="22"/>
      <c r="G1057" s="22"/>
      <c r="H1057" s="22"/>
      <c r="I1057" s="24"/>
      <c r="J1057" s="24"/>
      <c r="K1057" s="24"/>
      <c r="L1057" s="24"/>
      <c r="M1057" s="26"/>
      <c r="N1057" s="26"/>
      <c r="O1057" s="26"/>
      <c r="P1057" s="27"/>
      <c r="Q1057" s="27"/>
      <c r="R1057" s="27"/>
      <c r="S1057" s="22"/>
      <c r="T1057" s="22"/>
      <c r="U1057" s="28"/>
    </row>
    <row r="1058" ht="15.75" customHeight="1">
      <c r="A1058" s="189"/>
      <c r="B1058" s="22"/>
      <c r="C1058" s="22"/>
      <c r="D1058" s="22"/>
      <c r="E1058" s="22"/>
      <c r="F1058" s="22"/>
      <c r="G1058" s="22"/>
      <c r="H1058" s="22"/>
      <c r="I1058" s="24"/>
      <c r="J1058" s="24"/>
      <c r="K1058" s="24"/>
      <c r="L1058" s="24"/>
      <c r="M1058" s="26"/>
      <c r="N1058" s="26"/>
      <c r="O1058" s="26"/>
      <c r="P1058" s="27"/>
      <c r="Q1058" s="27"/>
      <c r="R1058" s="27"/>
      <c r="S1058" s="22"/>
      <c r="T1058" s="22"/>
      <c r="U1058" s="28"/>
    </row>
    <row r="1059" ht="15.75" customHeight="1">
      <c r="A1059" s="189"/>
      <c r="B1059" s="22"/>
      <c r="C1059" s="22"/>
      <c r="D1059" s="22"/>
      <c r="E1059" s="22"/>
      <c r="F1059" s="22"/>
      <c r="G1059" s="22"/>
      <c r="H1059" s="22"/>
      <c r="I1059" s="24"/>
      <c r="J1059" s="24"/>
      <c r="K1059" s="24"/>
      <c r="L1059" s="24"/>
      <c r="M1059" s="26"/>
      <c r="N1059" s="26"/>
      <c r="O1059" s="26"/>
      <c r="P1059" s="27"/>
      <c r="Q1059" s="27"/>
      <c r="R1059" s="27"/>
      <c r="S1059" s="22"/>
      <c r="T1059" s="22"/>
      <c r="U1059" s="28"/>
    </row>
    <row r="1060" ht="15.75" customHeight="1">
      <c r="A1060" s="189"/>
      <c r="B1060" s="22"/>
      <c r="C1060" s="22"/>
      <c r="D1060" s="22"/>
      <c r="E1060" s="22"/>
      <c r="F1060" s="22"/>
      <c r="G1060" s="22"/>
      <c r="H1060" s="22"/>
      <c r="I1060" s="24"/>
      <c r="J1060" s="24"/>
      <c r="K1060" s="24"/>
      <c r="L1060" s="24"/>
      <c r="M1060" s="26"/>
      <c r="N1060" s="26"/>
      <c r="O1060" s="26"/>
      <c r="P1060" s="27"/>
      <c r="Q1060" s="27"/>
      <c r="R1060" s="27"/>
      <c r="S1060" s="22"/>
      <c r="T1060" s="22"/>
      <c r="U1060" s="28"/>
    </row>
    <row r="1061" ht="15.75" customHeight="1">
      <c r="A1061" s="189"/>
      <c r="B1061" s="22"/>
      <c r="C1061" s="22"/>
      <c r="D1061" s="22"/>
      <c r="E1061" s="22"/>
      <c r="F1061" s="22"/>
      <c r="G1061" s="22"/>
      <c r="H1061" s="22"/>
      <c r="I1061" s="24"/>
      <c r="J1061" s="24"/>
      <c r="K1061" s="24"/>
      <c r="L1061" s="24"/>
      <c r="M1061" s="26"/>
      <c r="N1061" s="26"/>
      <c r="O1061" s="26"/>
      <c r="P1061" s="27"/>
      <c r="Q1061" s="27"/>
      <c r="R1061" s="27"/>
      <c r="S1061" s="22"/>
      <c r="T1061" s="22"/>
      <c r="U1061" s="28"/>
    </row>
    <row r="1062" ht="15.75" customHeight="1">
      <c r="A1062" s="189"/>
      <c r="B1062" s="22"/>
      <c r="C1062" s="22"/>
      <c r="D1062" s="22"/>
      <c r="E1062" s="22"/>
      <c r="F1062" s="22"/>
      <c r="G1062" s="22"/>
      <c r="H1062" s="22"/>
      <c r="I1062" s="24"/>
      <c r="J1062" s="24"/>
      <c r="K1062" s="24"/>
      <c r="L1062" s="24"/>
      <c r="M1062" s="26"/>
      <c r="N1062" s="26"/>
      <c r="O1062" s="26"/>
      <c r="P1062" s="27"/>
      <c r="Q1062" s="27"/>
      <c r="R1062" s="27"/>
      <c r="S1062" s="22"/>
      <c r="T1062" s="22"/>
      <c r="U1062" s="28"/>
    </row>
    <row r="1063" ht="15.75" customHeight="1">
      <c r="A1063" s="189"/>
      <c r="B1063" s="22"/>
      <c r="C1063" s="22"/>
      <c r="D1063" s="22"/>
      <c r="E1063" s="22"/>
      <c r="F1063" s="22"/>
      <c r="G1063" s="22"/>
      <c r="H1063" s="22"/>
      <c r="I1063" s="24"/>
      <c r="J1063" s="24"/>
      <c r="K1063" s="24"/>
      <c r="L1063" s="24"/>
      <c r="M1063" s="26"/>
      <c r="N1063" s="26"/>
      <c r="O1063" s="26"/>
      <c r="P1063" s="27"/>
      <c r="Q1063" s="27"/>
      <c r="R1063" s="27"/>
      <c r="S1063" s="22"/>
      <c r="T1063" s="22"/>
      <c r="U1063" s="28"/>
    </row>
    <row r="1064" ht="15.75" customHeight="1">
      <c r="A1064" s="189"/>
      <c r="B1064" s="22"/>
      <c r="C1064" s="22"/>
      <c r="D1064" s="22"/>
      <c r="E1064" s="22"/>
      <c r="F1064" s="22"/>
      <c r="G1064" s="22"/>
      <c r="H1064" s="22"/>
      <c r="I1064" s="24"/>
      <c r="J1064" s="24"/>
      <c r="K1064" s="24"/>
      <c r="L1064" s="24"/>
      <c r="M1064" s="26"/>
      <c r="N1064" s="26"/>
      <c r="O1064" s="26"/>
      <c r="P1064" s="27"/>
      <c r="Q1064" s="27"/>
      <c r="R1064" s="27"/>
      <c r="S1064" s="22"/>
      <c r="T1064" s="22"/>
      <c r="U1064" s="28"/>
    </row>
    <row r="1065" ht="15.75" customHeight="1">
      <c r="A1065" s="189"/>
      <c r="B1065" s="22"/>
      <c r="C1065" s="22"/>
      <c r="D1065" s="22"/>
      <c r="E1065" s="22"/>
      <c r="F1065" s="22"/>
      <c r="G1065" s="22"/>
      <c r="H1065" s="22"/>
      <c r="I1065" s="24"/>
      <c r="J1065" s="24"/>
      <c r="K1065" s="24"/>
      <c r="L1065" s="24"/>
      <c r="M1065" s="26"/>
      <c r="N1065" s="26"/>
      <c r="O1065" s="26"/>
      <c r="P1065" s="27"/>
      <c r="Q1065" s="27"/>
      <c r="R1065" s="27"/>
      <c r="S1065" s="22"/>
      <c r="T1065" s="22"/>
      <c r="U1065" s="28"/>
    </row>
    <row r="1066" ht="15.75" customHeight="1">
      <c r="A1066" s="189"/>
      <c r="B1066" s="22"/>
      <c r="C1066" s="22"/>
      <c r="D1066" s="22"/>
      <c r="E1066" s="22"/>
      <c r="F1066" s="22"/>
      <c r="G1066" s="22"/>
      <c r="H1066" s="22"/>
      <c r="I1066" s="24"/>
      <c r="J1066" s="24"/>
      <c r="K1066" s="24"/>
      <c r="L1066" s="24"/>
      <c r="M1066" s="26"/>
      <c r="N1066" s="26"/>
      <c r="O1066" s="26"/>
      <c r="P1066" s="27"/>
      <c r="Q1066" s="27"/>
      <c r="R1066" s="27"/>
      <c r="S1066" s="22"/>
      <c r="T1066" s="22"/>
      <c r="U1066" s="28"/>
    </row>
    <row r="1067" ht="15.75" customHeight="1">
      <c r="A1067" s="189"/>
      <c r="B1067" s="22"/>
      <c r="C1067" s="22"/>
      <c r="D1067" s="22"/>
      <c r="E1067" s="22"/>
      <c r="F1067" s="22"/>
      <c r="G1067" s="22"/>
      <c r="H1067" s="22"/>
      <c r="I1067" s="24"/>
      <c r="J1067" s="24"/>
      <c r="K1067" s="24"/>
      <c r="L1067" s="24"/>
      <c r="M1067" s="26"/>
      <c r="N1067" s="26"/>
      <c r="O1067" s="26"/>
      <c r="P1067" s="27"/>
      <c r="Q1067" s="27"/>
      <c r="R1067" s="27"/>
      <c r="S1067" s="22"/>
      <c r="T1067" s="22"/>
      <c r="U1067" s="28"/>
    </row>
    <row r="1068" ht="15.75" customHeight="1">
      <c r="A1068" s="189"/>
      <c r="B1068" s="22"/>
      <c r="C1068" s="22"/>
      <c r="D1068" s="22"/>
      <c r="E1068" s="22"/>
      <c r="F1068" s="22"/>
      <c r="G1068" s="22"/>
      <c r="H1068" s="22"/>
      <c r="I1068" s="24"/>
      <c r="J1068" s="24"/>
      <c r="K1068" s="24"/>
      <c r="L1068" s="24"/>
      <c r="M1068" s="26"/>
      <c r="N1068" s="26"/>
      <c r="O1068" s="26"/>
      <c r="P1068" s="27"/>
      <c r="Q1068" s="27"/>
      <c r="R1068" s="27"/>
      <c r="S1068" s="22"/>
      <c r="T1068" s="22"/>
      <c r="U1068" s="28"/>
    </row>
    <row r="1069" ht="15.75" customHeight="1">
      <c r="A1069" s="189"/>
      <c r="B1069" s="22"/>
      <c r="C1069" s="22"/>
      <c r="D1069" s="22"/>
      <c r="E1069" s="22"/>
      <c r="F1069" s="22"/>
      <c r="G1069" s="22"/>
      <c r="H1069" s="22"/>
      <c r="I1069" s="24"/>
      <c r="J1069" s="24"/>
      <c r="K1069" s="24"/>
      <c r="L1069" s="24"/>
      <c r="M1069" s="26"/>
      <c r="N1069" s="26"/>
      <c r="O1069" s="26"/>
      <c r="P1069" s="27"/>
      <c r="Q1069" s="27"/>
      <c r="R1069" s="27"/>
      <c r="S1069" s="22"/>
      <c r="T1069" s="22"/>
      <c r="U1069" s="28"/>
    </row>
    <row r="1070" ht="15.75" customHeight="1">
      <c r="A1070" s="189"/>
      <c r="B1070" s="22"/>
      <c r="C1070" s="22"/>
      <c r="D1070" s="22"/>
      <c r="E1070" s="22"/>
      <c r="F1070" s="22"/>
      <c r="G1070" s="22"/>
      <c r="H1070" s="22"/>
      <c r="I1070" s="24"/>
      <c r="J1070" s="24"/>
      <c r="K1070" s="24"/>
      <c r="L1070" s="24"/>
      <c r="M1070" s="26"/>
      <c r="N1070" s="26"/>
      <c r="O1070" s="26"/>
      <c r="P1070" s="27"/>
      <c r="Q1070" s="27"/>
      <c r="R1070" s="27"/>
      <c r="S1070" s="22"/>
      <c r="T1070" s="22"/>
      <c r="U1070" s="28"/>
    </row>
    <row r="1071" ht="15.75" customHeight="1">
      <c r="A1071" s="189"/>
      <c r="B1071" s="22"/>
      <c r="C1071" s="22"/>
      <c r="D1071" s="22"/>
      <c r="E1071" s="22"/>
      <c r="F1071" s="22"/>
      <c r="G1071" s="22"/>
      <c r="H1071" s="22"/>
      <c r="I1071" s="24"/>
      <c r="J1071" s="24"/>
      <c r="K1071" s="24"/>
      <c r="L1071" s="24"/>
      <c r="M1071" s="26"/>
      <c r="N1071" s="26"/>
      <c r="O1071" s="26"/>
      <c r="P1071" s="27"/>
      <c r="Q1071" s="27"/>
      <c r="R1071" s="27"/>
      <c r="S1071" s="22"/>
      <c r="T1071" s="22"/>
      <c r="U1071" s="28"/>
    </row>
    <row r="1072" ht="15.75" customHeight="1">
      <c r="A1072" s="189"/>
      <c r="B1072" s="22"/>
      <c r="C1072" s="22"/>
      <c r="D1072" s="22"/>
      <c r="E1072" s="22"/>
      <c r="F1072" s="22"/>
      <c r="G1072" s="22"/>
      <c r="H1072" s="22"/>
      <c r="I1072" s="24"/>
      <c r="J1072" s="24"/>
      <c r="K1072" s="24"/>
      <c r="L1072" s="24"/>
      <c r="M1072" s="26"/>
      <c r="N1072" s="26"/>
      <c r="O1072" s="26"/>
      <c r="P1072" s="27"/>
      <c r="Q1072" s="27"/>
      <c r="R1072" s="27"/>
      <c r="S1072" s="22"/>
      <c r="T1072" s="22"/>
      <c r="U1072" s="28"/>
    </row>
    <row r="1073" ht="15.75" customHeight="1">
      <c r="A1073" s="189"/>
      <c r="B1073" s="22"/>
      <c r="C1073" s="22"/>
      <c r="D1073" s="22"/>
      <c r="E1073" s="22"/>
      <c r="F1073" s="22"/>
      <c r="G1073" s="22"/>
      <c r="H1073" s="22"/>
      <c r="I1073" s="24"/>
      <c r="J1073" s="24"/>
      <c r="K1073" s="24"/>
      <c r="L1073" s="24"/>
      <c r="M1073" s="26"/>
      <c r="N1073" s="26"/>
      <c r="O1073" s="26"/>
      <c r="P1073" s="27"/>
      <c r="Q1073" s="27"/>
      <c r="R1073" s="27"/>
      <c r="S1073" s="22"/>
      <c r="T1073" s="22"/>
      <c r="U1073" s="28"/>
    </row>
    <row r="1074" ht="15.75" customHeight="1">
      <c r="A1074" s="189"/>
      <c r="B1074" s="22"/>
      <c r="C1074" s="22"/>
      <c r="D1074" s="22"/>
      <c r="E1074" s="22"/>
      <c r="F1074" s="22"/>
      <c r="G1074" s="22"/>
      <c r="H1074" s="22"/>
      <c r="I1074" s="24"/>
      <c r="J1074" s="24"/>
      <c r="K1074" s="24"/>
      <c r="L1074" s="24"/>
      <c r="M1074" s="26"/>
      <c r="N1074" s="26"/>
      <c r="O1074" s="26"/>
      <c r="P1074" s="27"/>
      <c r="Q1074" s="27"/>
      <c r="R1074" s="27"/>
      <c r="S1074" s="22"/>
      <c r="T1074" s="22"/>
      <c r="U1074" s="28"/>
    </row>
    <row r="1075" ht="15.75" customHeight="1">
      <c r="A1075" s="189"/>
      <c r="B1075" s="22"/>
      <c r="C1075" s="22"/>
      <c r="D1075" s="22"/>
      <c r="E1075" s="22"/>
      <c r="F1075" s="22"/>
      <c r="G1075" s="22"/>
      <c r="H1075" s="22"/>
      <c r="I1075" s="24"/>
      <c r="J1075" s="24"/>
      <c r="K1075" s="24"/>
      <c r="L1075" s="24"/>
      <c r="M1075" s="26"/>
      <c r="N1075" s="26"/>
      <c r="O1075" s="26"/>
      <c r="P1075" s="27"/>
      <c r="Q1075" s="27"/>
      <c r="R1075" s="27"/>
      <c r="S1075" s="22"/>
      <c r="T1075" s="22"/>
      <c r="U1075" s="28"/>
    </row>
    <row r="1076" ht="15.75" customHeight="1">
      <c r="A1076" s="189"/>
      <c r="B1076" s="22"/>
      <c r="C1076" s="22"/>
      <c r="D1076" s="22"/>
      <c r="E1076" s="22"/>
      <c r="F1076" s="22"/>
      <c r="G1076" s="22"/>
      <c r="H1076" s="22"/>
      <c r="I1076" s="24"/>
      <c r="J1076" s="24"/>
      <c r="K1076" s="24"/>
      <c r="L1076" s="24"/>
      <c r="M1076" s="26"/>
      <c r="N1076" s="26"/>
      <c r="O1076" s="26"/>
      <c r="P1076" s="27"/>
      <c r="Q1076" s="27"/>
      <c r="R1076" s="27"/>
      <c r="S1076" s="22"/>
      <c r="T1076" s="22"/>
      <c r="U1076" s="28"/>
    </row>
    <row r="1077" ht="15.75" customHeight="1">
      <c r="A1077" s="189"/>
      <c r="B1077" s="22"/>
      <c r="C1077" s="22"/>
      <c r="D1077" s="22"/>
      <c r="E1077" s="22"/>
      <c r="F1077" s="22"/>
      <c r="G1077" s="22"/>
      <c r="H1077" s="22"/>
      <c r="I1077" s="24"/>
      <c r="J1077" s="24"/>
      <c r="K1077" s="24"/>
      <c r="L1077" s="24"/>
      <c r="M1077" s="26"/>
      <c r="N1077" s="26"/>
      <c r="O1077" s="26"/>
      <c r="P1077" s="27"/>
      <c r="Q1077" s="27"/>
      <c r="R1077" s="27"/>
      <c r="S1077" s="22"/>
      <c r="T1077" s="22"/>
      <c r="U1077" s="28"/>
    </row>
    <row r="1078" ht="15.75" customHeight="1">
      <c r="A1078" s="189"/>
      <c r="B1078" s="22"/>
      <c r="C1078" s="22"/>
      <c r="D1078" s="22"/>
      <c r="E1078" s="22"/>
      <c r="F1078" s="22"/>
      <c r="G1078" s="22"/>
      <c r="H1078" s="22"/>
      <c r="I1078" s="24"/>
      <c r="J1078" s="24"/>
      <c r="K1078" s="24"/>
      <c r="L1078" s="24"/>
      <c r="M1078" s="26"/>
      <c r="N1078" s="26"/>
      <c r="O1078" s="26"/>
      <c r="P1078" s="27"/>
      <c r="Q1078" s="27"/>
      <c r="R1078" s="27"/>
      <c r="S1078" s="22"/>
      <c r="T1078" s="22"/>
      <c r="U1078" s="28"/>
    </row>
    <row r="1079" ht="15.75" customHeight="1">
      <c r="A1079" s="189"/>
      <c r="B1079" s="22"/>
      <c r="C1079" s="22"/>
      <c r="D1079" s="22"/>
      <c r="E1079" s="22"/>
      <c r="F1079" s="22"/>
      <c r="G1079" s="22"/>
      <c r="H1079" s="22"/>
      <c r="I1079" s="24"/>
      <c r="J1079" s="24"/>
      <c r="K1079" s="24"/>
      <c r="L1079" s="24"/>
      <c r="M1079" s="26"/>
      <c r="N1079" s="26"/>
      <c r="O1079" s="26"/>
      <c r="P1079" s="27"/>
      <c r="Q1079" s="27"/>
      <c r="R1079" s="27"/>
      <c r="S1079" s="22"/>
      <c r="T1079" s="22"/>
      <c r="U1079" s="28"/>
    </row>
    <row r="1080" ht="15.75" customHeight="1">
      <c r="A1080" s="189"/>
      <c r="B1080" s="22"/>
      <c r="C1080" s="22"/>
      <c r="D1080" s="22"/>
      <c r="E1080" s="22"/>
      <c r="F1080" s="22"/>
      <c r="G1080" s="22"/>
      <c r="H1080" s="22"/>
      <c r="I1080" s="24"/>
      <c r="J1080" s="24"/>
      <c r="K1080" s="24"/>
      <c r="L1080" s="24"/>
      <c r="M1080" s="26"/>
      <c r="N1080" s="26"/>
      <c r="O1080" s="26"/>
      <c r="P1080" s="27"/>
      <c r="Q1080" s="27"/>
      <c r="R1080" s="27"/>
      <c r="S1080" s="22"/>
      <c r="T1080" s="22"/>
      <c r="U1080" s="28"/>
    </row>
    <row r="1081" ht="15.75" customHeight="1">
      <c r="A1081" s="189"/>
      <c r="B1081" s="22"/>
      <c r="C1081" s="22"/>
      <c r="D1081" s="22"/>
      <c r="E1081" s="22"/>
      <c r="F1081" s="22"/>
      <c r="G1081" s="22"/>
      <c r="H1081" s="22"/>
      <c r="I1081" s="24"/>
      <c r="J1081" s="24"/>
      <c r="K1081" s="24"/>
      <c r="L1081" s="24"/>
      <c r="M1081" s="26"/>
      <c r="N1081" s="26"/>
      <c r="O1081" s="26"/>
      <c r="P1081" s="27"/>
      <c r="Q1081" s="27"/>
      <c r="R1081" s="27"/>
      <c r="S1081" s="22"/>
      <c r="T1081" s="22"/>
      <c r="U1081" s="28"/>
    </row>
    <row r="1082" ht="15.75" customHeight="1">
      <c r="A1082" s="189"/>
      <c r="B1082" s="22"/>
      <c r="C1082" s="22"/>
      <c r="D1082" s="22"/>
      <c r="E1082" s="22"/>
      <c r="F1082" s="22"/>
      <c r="G1082" s="22"/>
      <c r="H1082" s="22"/>
      <c r="I1082" s="24"/>
      <c r="J1082" s="24"/>
      <c r="K1082" s="24"/>
      <c r="L1082" s="24"/>
      <c r="M1082" s="26"/>
      <c r="N1082" s="26"/>
      <c r="O1082" s="26"/>
      <c r="P1082" s="27"/>
      <c r="Q1082" s="27"/>
      <c r="R1082" s="27"/>
      <c r="S1082" s="22"/>
      <c r="T1082" s="22"/>
      <c r="U1082" s="28"/>
    </row>
    <row r="1083" ht="15.75" customHeight="1">
      <c r="A1083" s="189"/>
      <c r="B1083" s="22"/>
      <c r="C1083" s="22"/>
      <c r="D1083" s="22"/>
      <c r="E1083" s="22"/>
      <c r="F1083" s="22"/>
      <c r="G1083" s="22"/>
      <c r="H1083" s="22"/>
      <c r="I1083" s="24"/>
      <c r="J1083" s="24"/>
      <c r="K1083" s="24"/>
      <c r="L1083" s="24"/>
      <c r="M1083" s="26"/>
      <c r="N1083" s="26"/>
      <c r="O1083" s="26"/>
      <c r="P1083" s="27"/>
      <c r="Q1083" s="27"/>
      <c r="R1083" s="27"/>
      <c r="S1083" s="22"/>
      <c r="T1083" s="22"/>
      <c r="U1083" s="28"/>
    </row>
    <row r="1084" ht="15.75" customHeight="1">
      <c r="A1084" s="189"/>
      <c r="B1084" s="22"/>
      <c r="C1084" s="22"/>
      <c r="D1084" s="22"/>
      <c r="E1084" s="22"/>
      <c r="F1084" s="22"/>
      <c r="G1084" s="22"/>
      <c r="H1084" s="22"/>
      <c r="I1084" s="24"/>
      <c r="J1084" s="24"/>
      <c r="K1084" s="24"/>
      <c r="L1084" s="24"/>
      <c r="M1084" s="26"/>
      <c r="N1084" s="26"/>
      <c r="O1084" s="26"/>
      <c r="P1084" s="27"/>
      <c r="Q1084" s="27"/>
      <c r="R1084" s="27"/>
      <c r="S1084" s="22"/>
      <c r="T1084" s="22"/>
      <c r="U1084" s="28"/>
    </row>
    <row r="1085" ht="15.75" customHeight="1">
      <c r="A1085" s="189"/>
      <c r="B1085" s="22"/>
      <c r="C1085" s="22"/>
      <c r="D1085" s="22"/>
      <c r="E1085" s="22"/>
      <c r="F1085" s="22"/>
      <c r="G1085" s="22"/>
      <c r="H1085" s="22"/>
      <c r="I1085" s="24"/>
      <c r="J1085" s="24"/>
      <c r="K1085" s="24"/>
      <c r="L1085" s="24"/>
      <c r="M1085" s="26"/>
      <c r="N1085" s="26"/>
      <c r="O1085" s="26"/>
      <c r="P1085" s="27"/>
      <c r="Q1085" s="27"/>
      <c r="R1085" s="27"/>
      <c r="S1085" s="22"/>
      <c r="T1085" s="22"/>
      <c r="U1085" s="28"/>
    </row>
    <row r="1086" ht="15.75" customHeight="1">
      <c r="A1086" s="189"/>
      <c r="B1086" s="22"/>
      <c r="C1086" s="22"/>
      <c r="D1086" s="22"/>
      <c r="E1086" s="22"/>
      <c r="F1086" s="22"/>
      <c r="G1086" s="22"/>
      <c r="H1086" s="22"/>
      <c r="I1086" s="24"/>
      <c r="J1086" s="24"/>
      <c r="K1086" s="24"/>
      <c r="L1086" s="24"/>
      <c r="M1086" s="26"/>
      <c r="N1086" s="26"/>
      <c r="O1086" s="26"/>
      <c r="P1086" s="27"/>
      <c r="Q1086" s="27"/>
      <c r="R1086" s="27"/>
      <c r="S1086" s="22"/>
      <c r="T1086" s="22"/>
      <c r="U1086" s="28"/>
    </row>
    <row r="1087" ht="15.75" customHeight="1">
      <c r="A1087" s="189"/>
      <c r="B1087" s="22"/>
      <c r="C1087" s="22"/>
      <c r="D1087" s="22"/>
      <c r="E1087" s="22"/>
      <c r="F1087" s="22"/>
      <c r="G1087" s="22"/>
      <c r="H1087" s="22"/>
      <c r="I1087" s="24"/>
      <c r="J1087" s="24"/>
      <c r="K1087" s="24"/>
      <c r="L1087" s="24"/>
      <c r="M1087" s="26"/>
      <c r="N1087" s="26"/>
      <c r="O1087" s="26"/>
      <c r="P1087" s="27"/>
      <c r="Q1087" s="27"/>
      <c r="R1087" s="27"/>
      <c r="S1087" s="22"/>
      <c r="T1087" s="22"/>
      <c r="U1087" s="28"/>
    </row>
    <row r="1088" ht="15.75" customHeight="1">
      <c r="A1088" s="189"/>
      <c r="B1088" s="22"/>
      <c r="C1088" s="22"/>
      <c r="D1088" s="22"/>
      <c r="E1088" s="22"/>
      <c r="F1088" s="22"/>
      <c r="G1088" s="22"/>
      <c r="H1088" s="22"/>
      <c r="I1088" s="24"/>
      <c r="J1088" s="24"/>
      <c r="K1088" s="24"/>
      <c r="L1088" s="24"/>
      <c r="M1088" s="26"/>
      <c r="N1088" s="26"/>
      <c r="O1088" s="26"/>
      <c r="P1088" s="27"/>
      <c r="Q1088" s="27"/>
      <c r="R1088" s="27"/>
      <c r="S1088" s="22"/>
      <c r="T1088" s="22"/>
      <c r="U1088" s="28"/>
    </row>
    <row r="1089" ht="15.75" customHeight="1">
      <c r="A1089" s="189"/>
      <c r="B1089" s="22"/>
      <c r="C1089" s="22"/>
      <c r="D1089" s="22"/>
      <c r="E1089" s="22"/>
      <c r="F1089" s="22"/>
      <c r="G1089" s="22"/>
      <c r="H1089" s="22"/>
      <c r="I1089" s="24"/>
      <c r="J1089" s="24"/>
      <c r="K1089" s="24"/>
      <c r="L1089" s="24"/>
      <c r="M1089" s="26"/>
      <c r="N1089" s="26"/>
      <c r="O1089" s="26"/>
      <c r="P1089" s="27"/>
      <c r="Q1089" s="27"/>
      <c r="R1089" s="27"/>
      <c r="S1089" s="22"/>
      <c r="T1089" s="22"/>
      <c r="U1089" s="28"/>
    </row>
    <row r="1090" ht="15.75" customHeight="1">
      <c r="A1090" s="189"/>
      <c r="B1090" s="22"/>
      <c r="C1090" s="22"/>
      <c r="D1090" s="22"/>
      <c r="E1090" s="22"/>
      <c r="F1090" s="22"/>
      <c r="G1090" s="22"/>
      <c r="H1090" s="22"/>
      <c r="I1090" s="24"/>
      <c r="J1090" s="24"/>
      <c r="K1090" s="24"/>
      <c r="L1090" s="24"/>
      <c r="M1090" s="26"/>
      <c r="N1090" s="26"/>
      <c r="O1090" s="26"/>
      <c r="P1090" s="27"/>
      <c r="Q1090" s="27"/>
      <c r="R1090" s="27"/>
      <c r="S1090" s="22"/>
      <c r="T1090" s="22"/>
      <c r="U1090" s="28"/>
    </row>
    <row r="1091" ht="15.75" customHeight="1">
      <c r="A1091" s="189"/>
      <c r="B1091" s="22"/>
      <c r="C1091" s="22"/>
      <c r="D1091" s="22"/>
      <c r="E1091" s="22"/>
      <c r="F1091" s="22"/>
      <c r="G1091" s="22"/>
      <c r="H1091" s="22"/>
      <c r="I1091" s="24"/>
      <c r="J1091" s="24"/>
      <c r="K1091" s="24"/>
      <c r="L1091" s="24"/>
      <c r="M1091" s="26"/>
      <c r="N1091" s="26"/>
      <c r="O1091" s="26"/>
      <c r="P1091" s="27"/>
      <c r="Q1091" s="27"/>
      <c r="R1091" s="27"/>
      <c r="S1091" s="22"/>
      <c r="T1091" s="22"/>
      <c r="U1091" s="28"/>
    </row>
    <row r="1092" ht="15.75" customHeight="1">
      <c r="A1092" s="189"/>
      <c r="B1092" s="22"/>
      <c r="C1092" s="22"/>
      <c r="D1092" s="22"/>
      <c r="E1092" s="22"/>
      <c r="F1092" s="22"/>
      <c r="G1092" s="22"/>
      <c r="H1092" s="22"/>
      <c r="I1092" s="24"/>
      <c r="J1092" s="24"/>
      <c r="K1092" s="24"/>
      <c r="L1092" s="24"/>
      <c r="M1092" s="26"/>
      <c r="N1092" s="26"/>
      <c r="O1092" s="26"/>
      <c r="P1092" s="27"/>
      <c r="Q1092" s="27"/>
      <c r="R1092" s="27"/>
      <c r="S1092" s="22"/>
      <c r="T1092" s="22"/>
      <c r="U1092" s="28"/>
    </row>
    <row r="1093" ht="15.75" customHeight="1">
      <c r="A1093" s="189"/>
      <c r="B1093" s="22"/>
      <c r="C1093" s="22"/>
      <c r="D1093" s="22"/>
      <c r="E1093" s="22"/>
      <c r="F1093" s="22"/>
      <c r="G1093" s="22"/>
      <c r="H1093" s="22"/>
      <c r="I1093" s="24"/>
      <c r="J1093" s="24"/>
      <c r="K1093" s="24"/>
      <c r="L1093" s="24"/>
      <c r="M1093" s="26"/>
      <c r="N1093" s="26"/>
      <c r="O1093" s="26"/>
      <c r="P1093" s="27"/>
      <c r="Q1093" s="27"/>
      <c r="R1093" s="27"/>
      <c r="S1093" s="22"/>
      <c r="T1093" s="22"/>
      <c r="U1093" s="28"/>
    </row>
    <row r="1094" ht="15.75" customHeight="1">
      <c r="A1094" s="189"/>
      <c r="B1094" s="22"/>
      <c r="C1094" s="22"/>
      <c r="D1094" s="22"/>
      <c r="E1094" s="22"/>
      <c r="F1094" s="22"/>
      <c r="G1094" s="22"/>
      <c r="H1094" s="22"/>
      <c r="I1094" s="24"/>
      <c r="J1094" s="24"/>
      <c r="K1094" s="24"/>
      <c r="L1094" s="24"/>
      <c r="M1094" s="26"/>
      <c r="N1094" s="26"/>
      <c r="O1094" s="26"/>
      <c r="P1094" s="27"/>
      <c r="Q1094" s="27"/>
      <c r="R1094" s="27"/>
      <c r="S1094" s="22"/>
      <c r="T1094" s="22"/>
      <c r="U1094" s="28"/>
    </row>
    <row r="1095" ht="15.75" customHeight="1">
      <c r="A1095" s="189"/>
      <c r="B1095" s="22"/>
      <c r="C1095" s="22"/>
      <c r="D1095" s="22"/>
      <c r="E1095" s="22"/>
      <c r="F1095" s="22"/>
      <c r="G1095" s="22"/>
      <c r="H1095" s="22"/>
      <c r="I1095" s="24"/>
      <c r="J1095" s="24"/>
      <c r="K1095" s="24"/>
      <c r="L1095" s="24"/>
      <c r="M1095" s="26"/>
      <c r="N1095" s="26"/>
      <c r="O1095" s="26"/>
      <c r="P1095" s="27"/>
      <c r="Q1095" s="27"/>
      <c r="R1095" s="27"/>
      <c r="S1095" s="22"/>
      <c r="T1095" s="22"/>
      <c r="U1095" s="28"/>
    </row>
    <row r="1096" ht="15.75" customHeight="1">
      <c r="A1096" s="189"/>
      <c r="B1096" s="22"/>
      <c r="C1096" s="22"/>
      <c r="D1096" s="22"/>
      <c r="E1096" s="22"/>
      <c r="F1096" s="22"/>
      <c r="G1096" s="22"/>
      <c r="H1096" s="22"/>
      <c r="I1096" s="24"/>
      <c r="J1096" s="24"/>
      <c r="K1096" s="24"/>
      <c r="L1096" s="24"/>
      <c r="M1096" s="26"/>
      <c r="N1096" s="26"/>
      <c r="O1096" s="26"/>
      <c r="P1096" s="27"/>
      <c r="Q1096" s="27"/>
      <c r="R1096" s="27"/>
      <c r="S1096" s="22"/>
      <c r="T1096" s="22"/>
      <c r="U1096" s="28"/>
    </row>
    <row r="1097" ht="15.75" customHeight="1">
      <c r="A1097" s="189"/>
      <c r="B1097" s="22"/>
      <c r="C1097" s="22"/>
      <c r="D1097" s="22"/>
      <c r="E1097" s="22"/>
      <c r="F1097" s="22"/>
      <c r="G1097" s="22"/>
      <c r="H1097" s="22"/>
      <c r="I1097" s="24"/>
      <c r="J1097" s="24"/>
      <c r="K1097" s="24"/>
      <c r="L1097" s="24"/>
      <c r="M1097" s="26"/>
      <c r="N1097" s="26"/>
      <c r="O1097" s="26"/>
      <c r="P1097" s="27"/>
      <c r="Q1097" s="27"/>
      <c r="R1097" s="27"/>
      <c r="S1097" s="22"/>
      <c r="T1097" s="22"/>
      <c r="U1097" s="28"/>
    </row>
    <row r="1098" ht="15.75" customHeight="1">
      <c r="A1098" s="189"/>
      <c r="B1098" s="22"/>
      <c r="C1098" s="22"/>
      <c r="D1098" s="22"/>
      <c r="E1098" s="22"/>
      <c r="F1098" s="22"/>
      <c r="G1098" s="22"/>
      <c r="H1098" s="22"/>
      <c r="I1098" s="24"/>
      <c r="J1098" s="24"/>
      <c r="K1098" s="24"/>
      <c r="L1098" s="24"/>
      <c r="M1098" s="26"/>
      <c r="N1098" s="26"/>
      <c r="O1098" s="26"/>
      <c r="P1098" s="27"/>
      <c r="Q1098" s="27"/>
      <c r="R1098" s="27"/>
      <c r="S1098" s="22"/>
      <c r="T1098" s="22"/>
      <c r="U1098" s="28"/>
    </row>
    <row r="1099" ht="15.75" customHeight="1">
      <c r="A1099" s="189"/>
      <c r="B1099" s="22"/>
      <c r="C1099" s="22"/>
      <c r="D1099" s="22"/>
      <c r="E1099" s="22"/>
      <c r="F1099" s="22"/>
      <c r="G1099" s="22"/>
      <c r="H1099" s="22"/>
      <c r="I1099" s="24"/>
      <c r="J1099" s="24"/>
      <c r="K1099" s="24"/>
      <c r="L1099" s="24"/>
      <c r="M1099" s="26"/>
      <c r="N1099" s="26"/>
      <c r="O1099" s="26"/>
      <c r="P1099" s="27"/>
      <c r="Q1099" s="27"/>
      <c r="R1099" s="27"/>
      <c r="S1099" s="22"/>
      <c r="T1099" s="22"/>
      <c r="U1099" s="28"/>
    </row>
    <row r="1100" ht="15.75" customHeight="1">
      <c r="A1100" s="189"/>
      <c r="B1100" s="22"/>
      <c r="C1100" s="22"/>
      <c r="D1100" s="22"/>
      <c r="E1100" s="22"/>
      <c r="F1100" s="22"/>
      <c r="G1100" s="22"/>
      <c r="H1100" s="22"/>
      <c r="I1100" s="24"/>
      <c r="J1100" s="24"/>
      <c r="K1100" s="24"/>
      <c r="L1100" s="24"/>
      <c r="M1100" s="26"/>
      <c r="N1100" s="26"/>
      <c r="O1100" s="26"/>
      <c r="P1100" s="27"/>
      <c r="Q1100" s="27"/>
      <c r="R1100" s="27"/>
      <c r="S1100" s="22"/>
      <c r="T1100" s="22"/>
      <c r="U1100" s="28"/>
    </row>
    <row r="1101" ht="15.75" customHeight="1">
      <c r="A1101" s="189"/>
      <c r="B1101" s="22"/>
      <c r="C1101" s="22"/>
      <c r="D1101" s="22"/>
      <c r="E1101" s="22"/>
      <c r="F1101" s="22"/>
      <c r="G1101" s="22"/>
      <c r="H1101" s="22"/>
      <c r="I1101" s="24"/>
      <c r="J1101" s="24"/>
      <c r="K1101" s="24"/>
      <c r="L1101" s="24"/>
      <c r="M1101" s="26"/>
      <c r="N1101" s="26"/>
      <c r="O1101" s="26"/>
      <c r="P1101" s="27"/>
      <c r="Q1101" s="27"/>
      <c r="R1101" s="27"/>
      <c r="S1101" s="22"/>
      <c r="T1101" s="22"/>
      <c r="U1101" s="28"/>
    </row>
    <row r="1102" ht="15.75" customHeight="1">
      <c r="A1102" s="189"/>
      <c r="B1102" s="22"/>
      <c r="C1102" s="22"/>
      <c r="D1102" s="22"/>
      <c r="E1102" s="22"/>
      <c r="F1102" s="22"/>
      <c r="G1102" s="22"/>
      <c r="H1102" s="22"/>
      <c r="I1102" s="24"/>
      <c r="J1102" s="24"/>
      <c r="K1102" s="24"/>
      <c r="L1102" s="24"/>
      <c r="M1102" s="26"/>
      <c r="N1102" s="26"/>
      <c r="O1102" s="26"/>
      <c r="P1102" s="27"/>
      <c r="Q1102" s="27"/>
      <c r="R1102" s="27"/>
      <c r="S1102" s="22"/>
      <c r="T1102" s="22"/>
      <c r="U1102" s="28"/>
    </row>
    <row r="1103" ht="15.75" customHeight="1">
      <c r="A1103" s="189"/>
      <c r="B1103" s="22"/>
      <c r="C1103" s="22"/>
      <c r="D1103" s="22"/>
      <c r="E1103" s="22"/>
      <c r="F1103" s="22"/>
      <c r="G1103" s="22"/>
      <c r="H1103" s="22"/>
      <c r="I1103" s="24"/>
      <c r="J1103" s="24"/>
      <c r="K1103" s="24"/>
      <c r="L1103" s="24"/>
      <c r="M1103" s="26"/>
      <c r="N1103" s="26"/>
      <c r="O1103" s="26"/>
      <c r="P1103" s="27"/>
      <c r="Q1103" s="27"/>
      <c r="R1103" s="27"/>
      <c r="S1103" s="22"/>
      <c r="T1103" s="22"/>
      <c r="U1103" s="28"/>
    </row>
    <row r="1104" ht="15.75" customHeight="1">
      <c r="A1104" s="189"/>
      <c r="B1104" s="22"/>
      <c r="C1104" s="22"/>
      <c r="D1104" s="22"/>
      <c r="E1104" s="22"/>
      <c r="F1104" s="22"/>
      <c r="G1104" s="22"/>
      <c r="H1104" s="22"/>
      <c r="I1104" s="24"/>
      <c r="J1104" s="24"/>
      <c r="K1104" s="24"/>
      <c r="L1104" s="24"/>
      <c r="M1104" s="26"/>
      <c r="N1104" s="26"/>
      <c r="O1104" s="26"/>
      <c r="P1104" s="27"/>
      <c r="Q1104" s="27"/>
      <c r="R1104" s="27"/>
      <c r="S1104" s="22"/>
      <c r="T1104" s="22"/>
      <c r="U1104" s="28"/>
    </row>
    <row r="1105" ht="15.75" customHeight="1">
      <c r="A1105" s="189"/>
      <c r="B1105" s="22"/>
      <c r="C1105" s="22"/>
      <c r="D1105" s="22"/>
      <c r="E1105" s="22"/>
      <c r="F1105" s="22"/>
      <c r="G1105" s="22"/>
      <c r="H1105" s="22"/>
      <c r="I1105" s="24"/>
      <c r="J1105" s="24"/>
      <c r="K1105" s="24"/>
      <c r="L1105" s="24"/>
      <c r="M1105" s="26"/>
      <c r="N1105" s="26"/>
      <c r="O1105" s="26"/>
      <c r="P1105" s="27"/>
      <c r="Q1105" s="27"/>
      <c r="R1105" s="27"/>
      <c r="S1105" s="22"/>
      <c r="T1105" s="22"/>
      <c r="U1105" s="28"/>
    </row>
    <row r="1106" ht="15.75" customHeight="1">
      <c r="A1106" s="189"/>
      <c r="B1106" s="22"/>
      <c r="C1106" s="22"/>
      <c r="D1106" s="22"/>
      <c r="E1106" s="22"/>
      <c r="F1106" s="22"/>
      <c r="G1106" s="22"/>
      <c r="H1106" s="22"/>
      <c r="I1106" s="24"/>
      <c r="J1106" s="24"/>
      <c r="K1106" s="24"/>
      <c r="L1106" s="24"/>
      <c r="M1106" s="26"/>
      <c r="N1106" s="26"/>
      <c r="O1106" s="26"/>
      <c r="P1106" s="27"/>
      <c r="Q1106" s="27"/>
      <c r="R1106" s="27"/>
      <c r="S1106" s="22"/>
      <c r="T1106" s="22"/>
      <c r="U1106" s="28"/>
    </row>
    <row r="1107" ht="15.75" customHeight="1">
      <c r="A1107" s="189"/>
      <c r="B1107" s="22"/>
      <c r="C1107" s="22"/>
      <c r="D1107" s="22"/>
      <c r="E1107" s="22"/>
      <c r="F1107" s="22"/>
      <c r="G1107" s="22"/>
      <c r="H1107" s="22"/>
      <c r="I1107" s="24"/>
      <c r="J1107" s="24"/>
      <c r="K1107" s="24"/>
      <c r="L1107" s="24"/>
      <c r="M1107" s="26"/>
      <c r="N1107" s="26"/>
      <c r="O1107" s="26"/>
      <c r="P1107" s="27"/>
      <c r="Q1107" s="27"/>
      <c r="R1107" s="27"/>
      <c r="S1107" s="22"/>
      <c r="T1107" s="22"/>
      <c r="U1107" s="28"/>
    </row>
    <row r="1108" ht="15.75" customHeight="1">
      <c r="A1108" s="189"/>
      <c r="B1108" s="22"/>
      <c r="C1108" s="22"/>
      <c r="D1108" s="22"/>
      <c r="E1108" s="22"/>
      <c r="F1108" s="22"/>
      <c r="G1108" s="22"/>
      <c r="H1108" s="22"/>
      <c r="I1108" s="24"/>
      <c r="J1108" s="24"/>
      <c r="K1108" s="24"/>
      <c r="L1108" s="24"/>
      <c r="M1108" s="26"/>
      <c r="N1108" s="26"/>
      <c r="O1108" s="26"/>
      <c r="P1108" s="27"/>
      <c r="Q1108" s="27"/>
      <c r="R1108" s="27"/>
      <c r="S1108" s="22"/>
      <c r="T1108" s="22"/>
      <c r="U1108" s="28"/>
    </row>
    <row r="1109" ht="15.75" customHeight="1">
      <c r="A1109" s="189"/>
      <c r="B1109" s="22"/>
      <c r="C1109" s="22"/>
      <c r="D1109" s="22"/>
      <c r="E1109" s="22"/>
      <c r="F1109" s="22"/>
      <c r="G1109" s="22"/>
      <c r="H1109" s="22"/>
      <c r="I1109" s="24"/>
      <c r="J1109" s="24"/>
      <c r="K1109" s="24"/>
      <c r="L1109" s="24"/>
      <c r="M1109" s="26"/>
      <c r="N1109" s="26"/>
      <c r="O1109" s="26"/>
      <c r="P1109" s="27"/>
      <c r="Q1109" s="27"/>
      <c r="R1109" s="27"/>
      <c r="S1109" s="22"/>
      <c r="T1109" s="22"/>
      <c r="U1109" s="28"/>
    </row>
    <row r="1110" ht="15.75" customHeight="1">
      <c r="A1110" s="189"/>
      <c r="B1110" s="22"/>
      <c r="C1110" s="22"/>
      <c r="D1110" s="22"/>
      <c r="E1110" s="22"/>
      <c r="F1110" s="22"/>
      <c r="G1110" s="22"/>
      <c r="H1110" s="22"/>
      <c r="I1110" s="24"/>
      <c r="J1110" s="24"/>
      <c r="K1110" s="24"/>
      <c r="L1110" s="24"/>
      <c r="M1110" s="26"/>
      <c r="N1110" s="26"/>
      <c r="O1110" s="26"/>
      <c r="P1110" s="27"/>
      <c r="Q1110" s="27"/>
      <c r="R1110" s="27"/>
      <c r="S1110" s="22"/>
      <c r="T1110" s="22"/>
      <c r="U1110" s="28"/>
    </row>
    <row r="1111" ht="15.75" customHeight="1">
      <c r="A1111" s="189"/>
      <c r="B1111" s="22"/>
      <c r="C1111" s="22"/>
      <c r="D1111" s="22"/>
      <c r="E1111" s="22"/>
      <c r="F1111" s="22"/>
      <c r="G1111" s="22"/>
      <c r="H1111" s="22"/>
      <c r="I1111" s="24"/>
      <c r="J1111" s="24"/>
      <c r="K1111" s="24"/>
      <c r="L1111" s="24"/>
      <c r="M1111" s="26"/>
      <c r="N1111" s="26"/>
      <c r="O1111" s="26"/>
      <c r="P1111" s="27"/>
      <c r="Q1111" s="27"/>
      <c r="R1111" s="27"/>
      <c r="S1111" s="22"/>
      <c r="T1111" s="22"/>
      <c r="U1111" s="28"/>
    </row>
    <row r="1112" ht="15.75" customHeight="1">
      <c r="A1112" s="189"/>
      <c r="B1112" s="22"/>
      <c r="C1112" s="22"/>
      <c r="D1112" s="22"/>
      <c r="E1112" s="22"/>
      <c r="F1112" s="22"/>
      <c r="G1112" s="22"/>
      <c r="H1112" s="22"/>
      <c r="I1112" s="24"/>
      <c r="J1112" s="24"/>
      <c r="K1112" s="24"/>
      <c r="L1112" s="24"/>
      <c r="M1112" s="26"/>
      <c r="N1112" s="26"/>
      <c r="O1112" s="26"/>
      <c r="P1112" s="27"/>
      <c r="Q1112" s="27"/>
      <c r="R1112" s="27"/>
      <c r="S1112" s="22"/>
      <c r="T1112" s="22"/>
      <c r="U1112" s="28"/>
    </row>
    <row r="1113" ht="15.75" customHeight="1">
      <c r="A1113" s="189"/>
      <c r="B1113" s="22"/>
      <c r="C1113" s="22"/>
      <c r="D1113" s="22"/>
      <c r="E1113" s="22"/>
      <c r="F1113" s="22"/>
      <c r="G1113" s="22"/>
      <c r="H1113" s="22"/>
      <c r="I1113" s="24"/>
      <c r="J1113" s="24"/>
      <c r="K1113" s="24"/>
      <c r="L1113" s="24"/>
      <c r="M1113" s="26"/>
      <c r="N1113" s="26"/>
      <c r="O1113" s="26"/>
      <c r="P1113" s="27"/>
      <c r="Q1113" s="27"/>
      <c r="R1113" s="27"/>
      <c r="S1113" s="22"/>
      <c r="T1113" s="22"/>
      <c r="U1113" s="28"/>
    </row>
    <row r="1114" ht="15.75" customHeight="1">
      <c r="A1114" s="189"/>
      <c r="B1114" s="22"/>
      <c r="C1114" s="22"/>
      <c r="D1114" s="22"/>
      <c r="E1114" s="22"/>
      <c r="F1114" s="22"/>
      <c r="G1114" s="22"/>
      <c r="H1114" s="22"/>
      <c r="I1114" s="24"/>
      <c r="J1114" s="24"/>
      <c r="K1114" s="24"/>
      <c r="L1114" s="24"/>
      <c r="M1114" s="26"/>
      <c r="N1114" s="26"/>
      <c r="O1114" s="26"/>
      <c r="P1114" s="27"/>
      <c r="Q1114" s="27"/>
      <c r="R1114" s="27"/>
      <c r="S1114" s="22"/>
      <c r="T1114" s="22"/>
      <c r="U1114" s="28"/>
    </row>
    <row r="1115" ht="15.75" customHeight="1">
      <c r="A1115" s="189"/>
      <c r="B1115" s="22"/>
      <c r="C1115" s="22"/>
      <c r="D1115" s="22"/>
      <c r="E1115" s="22"/>
      <c r="F1115" s="22"/>
      <c r="G1115" s="22"/>
      <c r="H1115" s="22"/>
      <c r="I1115" s="24"/>
      <c r="J1115" s="24"/>
      <c r="K1115" s="24"/>
      <c r="L1115" s="24"/>
      <c r="M1115" s="26"/>
      <c r="N1115" s="26"/>
      <c r="O1115" s="26"/>
      <c r="P1115" s="27"/>
      <c r="Q1115" s="27"/>
      <c r="R1115" s="27"/>
      <c r="S1115" s="22"/>
      <c r="T1115" s="22"/>
      <c r="U1115" s="28"/>
    </row>
    <row r="1116" ht="15.75" customHeight="1">
      <c r="A1116" s="189"/>
      <c r="B1116" s="22"/>
      <c r="C1116" s="22"/>
      <c r="D1116" s="22"/>
      <c r="E1116" s="22"/>
      <c r="F1116" s="22"/>
      <c r="G1116" s="22"/>
      <c r="H1116" s="22"/>
      <c r="I1116" s="24"/>
      <c r="J1116" s="24"/>
      <c r="K1116" s="24"/>
      <c r="L1116" s="24"/>
      <c r="M1116" s="26"/>
      <c r="N1116" s="26"/>
      <c r="O1116" s="26"/>
      <c r="P1116" s="27"/>
      <c r="Q1116" s="27"/>
      <c r="R1116" s="27"/>
      <c r="S1116" s="22"/>
      <c r="T1116" s="22"/>
      <c r="U1116" s="28"/>
    </row>
    <row r="1117" ht="15.75" customHeight="1">
      <c r="A1117" s="189"/>
      <c r="B1117" s="22"/>
      <c r="C1117" s="22"/>
      <c r="D1117" s="22"/>
      <c r="E1117" s="22"/>
      <c r="F1117" s="22"/>
      <c r="G1117" s="22"/>
      <c r="H1117" s="22"/>
      <c r="I1117" s="24"/>
      <c r="J1117" s="24"/>
      <c r="K1117" s="24"/>
      <c r="L1117" s="24"/>
      <c r="M1117" s="26"/>
      <c r="N1117" s="26"/>
      <c r="O1117" s="26"/>
      <c r="P1117" s="27"/>
      <c r="Q1117" s="27"/>
      <c r="R1117" s="27"/>
      <c r="S1117" s="22"/>
      <c r="T1117" s="22"/>
      <c r="U1117" s="28"/>
    </row>
    <row r="1118" ht="15.75" customHeight="1">
      <c r="A1118" s="189"/>
      <c r="B1118" s="22"/>
      <c r="C1118" s="22"/>
      <c r="D1118" s="22"/>
      <c r="E1118" s="22"/>
      <c r="F1118" s="22"/>
      <c r="G1118" s="22"/>
      <c r="H1118" s="22"/>
      <c r="I1118" s="24"/>
      <c r="J1118" s="24"/>
      <c r="K1118" s="24"/>
      <c r="L1118" s="24"/>
      <c r="M1118" s="26"/>
      <c r="N1118" s="26"/>
      <c r="O1118" s="26"/>
      <c r="P1118" s="27"/>
      <c r="Q1118" s="27"/>
      <c r="R1118" s="27"/>
      <c r="S1118" s="22"/>
      <c r="T1118" s="22"/>
      <c r="U1118" s="28"/>
    </row>
    <row r="1119" ht="15.75" customHeight="1">
      <c r="A1119" s="189"/>
      <c r="B1119" s="22"/>
      <c r="C1119" s="22"/>
      <c r="D1119" s="22"/>
      <c r="E1119" s="22"/>
      <c r="F1119" s="22"/>
      <c r="G1119" s="22"/>
      <c r="H1119" s="22"/>
      <c r="I1119" s="24"/>
      <c r="J1119" s="24"/>
      <c r="K1119" s="24"/>
      <c r="L1119" s="24"/>
      <c r="M1119" s="26"/>
      <c r="N1119" s="26"/>
      <c r="O1119" s="26"/>
      <c r="P1119" s="27"/>
      <c r="Q1119" s="27"/>
      <c r="R1119" s="27"/>
      <c r="S1119" s="22"/>
      <c r="T1119" s="22"/>
      <c r="U1119" s="28"/>
    </row>
    <row r="1120" ht="15.75" customHeight="1">
      <c r="A1120" s="189"/>
      <c r="B1120" s="22"/>
      <c r="C1120" s="22"/>
      <c r="D1120" s="22"/>
      <c r="E1120" s="22"/>
      <c r="F1120" s="22"/>
      <c r="G1120" s="22"/>
      <c r="H1120" s="22"/>
      <c r="I1120" s="24"/>
      <c r="J1120" s="24"/>
      <c r="K1120" s="24"/>
      <c r="L1120" s="24"/>
      <c r="M1120" s="26"/>
      <c r="N1120" s="26"/>
      <c r="O1120" s="26"/>
      <c r="P1120" s="27"/>
      <c r="Q1120" s="27"/>
      <c r="R1120" s="27"/>
      <c r="S1120" s="22"/>
      <c r="T1120" s="22"/>
      <c r="U1120" s="28"/>
    </row>
    <row r="1121" ht="15.75" customHeight="1">
      <c r="A1121" s="189"/>
      <c r="B1121" s="22"/>
      <c r="C1121" s="22"/>
      <c r="D1121" s="22"/>
      <c r="E1121" s="22"/>
      <c r="F1121" s="22"/>
      <c r="G1121" s="22"/>
      <c r="H1121" s="22"/>
      <c r="I1121" s="24"/>
      <c r="J1121" s="24"/>
      <c r="K1121" s="24"/>
      <c r="L1121" s="24"/>
      <c r="M1121" s="26"/>
      <c r="N1121" s="26"/>
      <c r="O1121" s="26"/>
      <c r="P1121" s="27"/>
      <c r="Q1121" s="27"/>
      <c r="R1121" s="27"/>
      <c r="S1121" s="22"/>
      <c r="T1121" s="22"/>
      <c r="U1121" s="28"/>
    </row>
    <row r="1122" ht="15.75" customHeight="1">
      <c r="A1122" s="189"/>
      <c r="B1122" s="22"/>
      <c r="C1122" s="22"/>
      <c r="D1122" s="22"/>
      <c r="E1122" s="22"/>
      <c r="F1122" s="22"/>
      <c r="G1122" s="22"/>
      <c r="H1122" s="22"/>
      <c r="I1122" s="24"/>
      <c r="J1122" s="24"/>
      <c r="K1122" s="24"/>
      <c r="L1122" s="24"/>
      <c r="M1122" s="26"/>
      <c r="N1122" s="26"/>
      <c r="O1122" s="26"/>
      <c r="P1122" s="27"/>
      <c r="Q1122" s="27"/>
      <c r="R1122" s="27"/>
      <c r="S1122" s="22"/>
      <c r="T1122" s="22"/>
      <c r="U1122" s="28"/>
    </row>
    <row r="1123" ht="15.75" customHeight="1">
      <c r="A1123" s="189"/>
      <c r="B1123" s="22"/>
      <c r="C1123" s="22"/>
      <c r="D1123" s="22"/>
      <c r="E1123" s="22"/>
      <c r="F1123" s="22"/>
      <c r="G1123" s="22"/>
      <c r="H1123" s="22"/>
      <c r="I1123" s="24"/>
      <c r="J1123" s="24"/>
      <c r="K1123" s="24"/>
      <c r="L1123" s="24"/>
      <c r="M1123" s="26"/>
      <c r="N1123" s="26"/>
      <c r="O1123" s="26"/>
      <c r="P1123" s="27"/>
      <c r="Q1123" s="27"/>
      <c r="R1123" s="27"/>
      <c r="S1123" s="22"/>
      <c r="T1123" s="22"/>
      <c r="U1123" s="28"/>
    </row>
    <row r="1124" ht="15.75" customHeight="1">
      <c r="A1124" s="189"/>
      <c r="B1124" s="22"/>
      <c r="C1124" s="22"/>
      <c r="D1124" s="22"/>
      <c r="E1124" s="22"/>
      <c r="F1124" s="22"/>
      <c r="G1124" s="22"/>
      <c r="H1124" s="22"/>
      <c r="I1124" s="24"/>
      <c r="J1124" s="24"/>
      <c r="K1124" s="24"/>
      <c r="L1124" s="24"/>
      <c r="M1124" s="26"/>
      <c r="N1124" s="26"/>
      <c r="O1124" s="26"/>
      <c r="P1124" s="27"/>
      <c r="Q1124" s="27"/>
      <c r="R1124" s="27"/>
      <c r="S1124" s="22"/>
      <c r="T1124" s="22"/>
      <c r="U1124" s="28"/>
    </row>
    <row r="1125" ht="15.75" customHeight="1">
      <c r="A1125" s="189"/>
      <c r="B1125" s="22"/>
      <c r="C1125" s="22"/>
      <c r="D1125" s="22"/>
      <c r="E1125" s="22"/>
      <c r="F1125" s="22"/>
      <c r="G1125" s="22"/>
      <c r="H1125" s="22"/>
      <c r="I1125" s="24"/>
      <c r="J1125" s="24"/>
      <c r="K1125" s="24"/>
      <c r="L1125" s="24"/>
      <c r="M1125" s="26"/>
      <c r="N1125" s="26"/>
      <c r="O1125" s="26"/>
      <c r="P1125" s="27"/>
      <c r="Q1125" s="27"/>
      <c r="R1125" s="27"/>
      <c r="S1125" s="22"/>
      <c r="T1125" s="22"/>
      <c r="U1125" s="28"/>
    </row>
    <row r="1126" ht="15.75" customHeight="1">
      <c r="A1126" s="189"/>
      <c r="B1126" s="22"/>
      <c r="C1126" s="22"/>
      <c r="D1126" s="22"/>
      <c r="E1126" s="22"/>
      <c r="F1126" s="22"/>
      <c r="G1126" s="22"/>
      <c r="H1126" s="22"/>
      <c r="I1126" s="24"/>
      <c r="J1126" s="24"/>
      <c r="K1126" s="24"/>
      <c r="L1126" s="24"/>
      <c r="M1126" s="26"/>
      <c r="N1126" s="26"/>
      <c r="O1126" s="26"/>
      <c r="P1126" s="27"/>
      <c r="Q1126" s="27"/>
      <c r="R1126" s="27"/>
      <c r="S1126" s="22"/>
      <c r="T1126" s="22"/>
      <c r="U1126" s="28"/>
    </row>
    <row r="1127" ht="15.75" customHeight="1">
      <c r="A1127" s="189"/>
      <c r="B1127" s="22"/>
      <c r="C1127" s="22"/>
      <c r="D1127" s="22"/>
      <c r="E1127" s="22"/>
      <c r="F1127" s="22"/>
      <c r="G1127" s="22"/>
      <c r="H1127" s="22"/>
      <c r="I1127" s="24"/>
      <c r="J1127" s="24"/>
      <c r="K1127" s="24"/>
      <c r="L1127" s="24"/>
      <c r="M1127" s="26"/>
      <c r="N1127" s="26"/>
      <c r="O1127" s="26"/>
      <c r="P1127" s="27"/>
      <c r="Q1127" s="27"/>
      <c r="R1127" s="27"/>
      <c r="S1127" s="22"/>
      <c r="T1127" s="22"/>
      <c r="U1127" s="28"/>
    </row>
    <row r="1128" ht="15.75" customHeight="1">
      <c r="A1128" s="189"/>
      <c r="B1128" s="22"/>
      <c r="C1128" s="22"/>
      <c r="D1128" s="22"/>
      <c r="E1128" s="22"/>
      <c r="F1128" s="22"/>
      <c r="G1128" s="22"/>
      <c r="H1128" s="22"/>
      <c r="I1128" s="24"/>
      <c r="J1128" s="24"/>
      <c r="K1128" s="24"/>
      <c r="L1128" s="24"/>
      <c r="M1128" s="26"/>
      <c r="N1128" s="26"/>
      <c r="O1128" s="26"/>
      <c r="P1128" s="27"/>
      <c r="Q1128" s="27"/>
      <c r="R1128" s="27"/>
      <c r="S1128" s="22"/>
      <c r="T1128" s="22"/>
      <c r="U1128" s="28"/>
    </row>
    <row r="1129" ht="15.75" customHeight="1">
      <c r="A1129" s="189"/>
      <c r="B1129" s="22"/>
      <c r="C1129" s="22"/>
      <c r="D1129" s="22"/>
      <c r="E1129" s="22"/>
      <c r="F1129" s="22"/>
      <c r="G1129" s="22"/>
      <c r="H1129" s="22"/>
      <c r="I1129" s="24"/>
      <c r="J1129" s="24"/>
      <c r="K1129" s="24"/>
      <c r="L1129" s="24"/>
      <c r="M1129" s="26"/>
      <c r="N1129" s="26"/>
      <c r="O1129" s="26"/>
      <c r="P1129" s="27"/>
      <c r="Q1129" s="27"/>
      <c r="R1129" s="27"/>
      <c r="S1129" s="22"/>
      <c r="T1129" s="22"/>
      <c r="U1129" s="28"/>
    </row>
    <row r="1130" ht="15.75" customHeight="1">
      <c r="A1130" s="189"/>
      <c r="B1130" s="22"/>
      <c r="C1130" s="22"/>
      <c r="D1130" s="22"/>
      <c r="E1130" s="22"/>
      <c r="F1130" s="22"/>
      <c r="G1130" s="22"/>
      <c r="H1130" s="22"/>
      <c r="I1130" s="24"/>
      <c r="J1130" s="24"/>
      <c r="K1130" s="24"/>
      <c r="L1130" s="24"/>
      <c r="M1130" s="26"/>
      <c r="N1130" s="26"/>
      <c r="O1130" s="26"/>
      <c r="P1130" s="27"/>
      <c r="Q1130" s="27"/>
      <c r="R1130" s="27"/>
      <c r="S1130" s="22"/>
      <c r="T1130" s="22"/>
      <c r="U1130" s="28"/>
    </row>
    <row r="1131" ht="15.75" customHeight="1">
      <c r="A1131" s="189"/>
      <c r="B1131" s="22"/>
      <c r="C1131" s="22"/>
      <c r="D1131" s="22"/>
      <c r="E1131" s="22"/>
      <c r="F1131" s="22"/>
      <c r="G1131" s="22"/>
      <c r="H1131" s="22"/>
      <c r="I1131" s="24"/>
      <c r="J1131" s="24"/>
      <c r="K1131" s="24"/>
      <c r="L1131" s="24"/>
      <c r="M1131" s="26"/>
      <c r="N1131" s="26"/>
      <c r="O1131" s="26"/>
      <c r="P1131" s="27"/>
      <c r="Q1131" s="27"/>
      <c r="R1131" s="27"/>
      <c r="S1131" s="22"/>
      <c r="T1131" s="22"/>
      <c r="U1131" s="28"/>
    </row>
    <row r="1132" ht="15.75" customHeight="1">
      <c r="A1132" s="189"/>
      <c r="B1132" s="22"/>
      <c r="C1132" s="22"/>
      <c r="D1132" s="22"/>
      <c r="E1132" s="22"/>
      <c r="F1132" s="22"/>
      <c r="G1132" s="22"/>
      <c r="H1132" s="22"/>
      <c r="I1132" s="24"/>
      <c r="J1132" s="24"/>
      <c r="K1132" s="24"/>
      <c r="L1132" s="24"/>
      <c r="M1132" s="26"/>
      <c r="N1132" s="26"/>
      <c r="O1132" s="26"/>
      <c r="P1132" s="27"/>
      <c r="Q1132" s="27"/>
      <c r="R1132" s="27"/>
      <c r="S1132" s="22"/>
      <c r="T1132" s="22"/>
      <c r="U1132" s="28"/>
    </row>
    <row r="1133" ht="15.75" customHeight="1">
      <c r="A1133" s="189"/>
      <c r="B1133" s="22"/>
      <c r="C1133" s="22"/>
      <c r="D1133" s="22"/>
      <c r="E1133" s="22"/>
      <c r="F1133" s="22"/>
      <c r="G1133" s="22"/>
      <c r="H1133" s="22"/>
      <c r="I1133" s="24"/>
      <c r="J1133" s="24"/>
      <c r="K1133" s="24"/>
      <c r="L1133" s="24"/>
      <c r="M1133" s="26"/>
      <c r="N1133" s="26"/>
      <c r="O1133" s="26"/>
      <c r="P1133" s="27"/>
      <c r="Q1133" s="27"/>
      <c r="R1133" s="27"/>
      <c r="S1133" s="22"/>
      <c r="T1133" s="22"/>
      <c r="U1133" s="28"/>
    </row>
    <row r="1134" ht="15.75" customHeight="1">
      <c r="A1134" s="189"/>
      <c r="B1134" s="22"/>
      <c r="C1134" s="22"/>
      <c r="D1134" s="22"/>
      <c r="E1134" s="22"/>
      <c r="F1134" s="22"/>
      <c r="G1134" s="22"/>
      <c r="H1134" s="22"/>
      <c r="I1134" s="24"/>
      <c r="J1134" s="24"/>
      <c r="K1134" s="24"/>
      <c r="L1134" s="24"/>
      <c r="M1134" s="26"/>
      <c r="N1134" s="26"/>
      <c r="O1134" s="26"/>
      <c r="P1134" s="27"/>
      <c r="Q1134" s="27"/>
      <c r="R1134" s="27"/>
      <c r="S1134" s="22"/>
      <c r="T1134" s="22"/>
      <c r="U1134" s="28"/>
    </row>
    <row r="1135" ht="15.75" customHeight="1">
      <c r="A1135" s="189"/>
      <c r="B1135" s="22"/>
      <c r="C1135" s="22"/>
      <c r="D1135" s="22"/>
      <c r="E1135" s="22"/>
      <c r="F1135" s="22"/>
      <c r="G1135" s="22"/>
      <c r="H1135" s="22"/>
      <c r="I1135" s="24"/>
      <c r="J1135" s="24"/>
      <c r="K1135" s="24"/>
      <c r="L1135" s="24"/>
      <c r="M1135" s="26"/>
      <c r="N1135" s="26"/>
      <c r="O1135" s="26"/>
      <c r="P1135" s="27"/>
      <c r="Q1135" s="27"/>
      <c r="R1135" s="27"/>
      <c r="S1135" s="22"/>
      <c r="T1135" s="22"/>
      <c r="U1135" s="28"/>
    </row>
    <row r="1136" ht="15.75" customHeight="1">
      <c r="A1136" s="189"/>
      <c r="B1136" s="22"/>
      <c r="C1136" s="22"/>
      <c r="D1136" s="22"/>
      <c r="E1136" s="22"/>
      <c r="F1136" s="22"/>
      <c r="G1136" s="22"/>
      <c r="H1136" s="22"/>
      <c r="I1136" s="24"/>
      <c r="J1136" s="24"/>
      <c r="K1136" s="24"/>
      <c r="L1136" s="24"/>
      <c r="M1136" s="26"/>
      <c r="N1136" s="26"/>
      <c r="O1136" s="26"/>
      <c r="P1136" s="27"/>
      <c r="Q1136" s="27"/>
      <c r="R1136" s="27"/>
      <c r="S1136" s="22"/>
      <c r="T1136" s="22"/>
      <c r="U1136" s="28"/>
    </row>
    <row r="1137" ht="15.75" customHeight="1">
      <c r="A1137" s="189"/>
      <c r="B1137" s="22"/>
      <c r="C1137" s="22"/>
      <c r="D1137" s="22"/>
      <c r="E1137" s="22"/>
      <c r="F1137" s="22"/>
      <c r="G1137" s="22"/>
      <c r="H1137" s="22"/>
      <c r="I1137" s="24"/>
      <c r="J1137" s="24"/>
      <c r="K1137" s="24"/>
      <c r="L1137" s="24"/>
      <c r="M1137" s="26"/>
      <c r="N1137" s="26"/>
      <c r="O1137" s="26"/>
      <c r="P1137" s="27"/>
      <c r="Q1137" s="27"/>
      <c r="R1137" s="27"/>
      <c r="S1137" s="22"/>
      <c r="T1137" s="22"/>
      <c r="U1137" s="28"/>
    </row>
    <row r="1138" ht="15.75" customHeight="1">
      <c r="A1138" s="189"/>
      <c r="B1138" s="22"/>
      <c r="C1138" s="22"/>
      <c r="D1138" s="22"/>
      <c r="E1138" s="22"/>
      <c r="F1138" s="22"/>
      <c r="G1138" s="22"/>
      <c r="H1138" s="22"/>
      <c r="I1138" s="24"/>
      <c r="J1138" s="24"/>
      <c r="K1138" s="24"/>
      <c r="L1138" s="24"/>
      <c r="M1138" s="26"/>
      <c r="N1138" s="26"/>
      <c r="O1138" s="26"/>
      <c r="P1138" s="27"/>
      <c r="Q1138" s="27"/>
      <c r="R1138" s="27"/>
      <c r="S1138" s="22"/>
      <c r="T1138" s="22"/>
      <c r="U1138" s="28"/>
    </row>
    <row r="1139" ht="15.75" customHeight="1">
      <c r="A1139" s="189"/>
      <c r="B1139" s="22"/>
      <c r="C1139" s="22"/>
      <c r="D1139" s="22"/>
      <c r="E1139" s="22"/>
      <c r="F1139" s="22"/>
      <c r="G1139" s="22"/>
      <c r="H1139" s="22"/>
      <c r="I1139" s="24"/>
      <c r="J1139" s="24"/>
      <c r="K1139" s="24"/>
      <c r="L1139" s="24"/>
      <c r="M1139" s="26"/>
      <c r="N1139" s="26"/>
      <c r="O1139" s="26"/>
      <c r="P1139" s="27"/>
      <c r="Q1139" s="27"/>
      <c r="R1139" s="27"/>
      <c r="S1139" s="22"/>
      <c r="T1139" s="22"/>
      <c r="U1139" s="28"/>
    </row>
    <row r="1140" ht="15.75" customHeight="1">
      <c r="A1140" s="189"/>
      <c r="B1140" s="22"/>
      <c r="C1140" s="22"/>
      <c r="D1140" s="22"/>
      <c r="E1140" s="22"/>
      <c r="F1140" s="22"/>
      <c r="G1140" s="22"/>
      <c r="H1140" s="22"/>
      <c r="I1140" s="24"/>
      <c r="J1140" s="24"/>
      <c r="K1140" s="24"/>
      <c r="L1140" s="24"/>
      <c r="M1140" s="26"/>
      <c r="N1140" s="26"/>
      <c r="O1140" s="26"/>
      <c r="P1140" s="27"/>
      <c r="Q1140" s="27"/>
      <c r="R1140" s="27"/>
      <c r="S1140" s="22"/>
      <c r="T1140" s="22"/>
      <c r="U1140" s="28"/>
    </row>
    <row r="1141" ht="15.75" customHeight="1">
      <c r="A1141" s="189"/>
      <c r="B1141" s="22"/>
      <c r="C1141" s="22"/>
      <c r="D1141" s="22"/>
      <c r="E1141" s="22"/>
      <c r="F1141" s="22"/>
      <c r="G1141" s="22"/>
      <c r="H1141" s="22"/>
      <c r="I1141" s="24"/>
      <c r="J1141" s="24"/>
      <c r="K1141" s="24"/>
      <c r="L1141" s="24"/>
      <c r="M1141" s="26"/>
      <c r="N1141" s="26"/>
      <c r="O1141" s="26"/>
      <c r="P1141" s="27"/>
      <c r="Q1141" s="27"/>
      <c r="R1141" s="27"/>
      <c r="S1141" s="22"/>
      <c r="T1141" s="22"/>
      <c r="U1141" s="28"/>
    </row>
    <row r="1142" ht="15.75" customHeight="1">
      <c r="A1142" s="189"/>
      <c r="B1142" s="22"/>
      <c r="C1142" s="22"/>
      <c r="D1142" s="22"/>
      <c r="E1142" s="22"/>
      <c r="F1142" s="22"/>
      <c r="G1142" s="22"/>
      <c r="H1142" s="22"/>
      <c r="I1142" s="24"/>
      <c r="J1142" s="24"/>
      <c r="K1142" s="24"/>
      <c r="L1142" s="24"/>
      <c r="M1142" s="26"/>
      <c r="N1142" s="26"/>
      <c r="O1142" s="26"/>
      <c r="P1142" s="27"/>
      <c r="Q1142" s="27"/>
      <c r="R1142" s="27"/>
      <c r="S1142" s="22"/>
      <c r="T1142" s="22"/>
      <c r="U1142" s="28"/>
    </row>
    <row r="1143" ht="15.75" customHeight="1">
      <c r="A1143" s="189"/>
      <c r="B1143" s="22"/>
      <c r="C1143" s="22"/>
      <c r="D1143" s="22"/>
      <c r="E1143" s="22"/>
      <c r="F1143" s="22"/>
      <c r="G1143" s="22"/>
      <c r="H1143" s="22"/>
      <c r="I1143" s="24"/>
      <c r="J1143" s="24"/>
      <c r="K1143" s="24"/>
      <c r="L1143" s="24"/>
      <c r="M1143" s="26"/>
      <c r="N1143" s="26"/>
      <c r="O1143" s="26"/>
      <c r="P1143" s="27"/>
      <c r="Q1143" s="27"/>
      <c r="R1143" s="27"/>
      <c r="S1143" s="22"/>
      <c r="T1143" s="22"/>
      <c r="U1143" s="28"/>
    </row>
    <row r="1144" ht="15.75" customHeight="1">
      <c r="A1144" s="189"/>
      <c r="B1144" s="22"/>
      <c r="C1144" s="22"/>
      <c r="D1144" s="22"/>
      <c r="E1144" s="22"/>
      <c r="F1144" s="22"/>
      <c r="G1144" s="22"/>
      <c r="H1144" s="22"/>
      <c r="I1144" s="24"/>
      <c r="J1144" s="24"/>
      <c r="K1144" s="24"/>
      <c r="L1144" s="24"/>
      <c r="M1144" s="26"/>
      <c r="N1144" s="26"/>
      <c r="O1144" s="26"/>
      <c r="P1144" s="27"/>
      <c r="Q1144" s="27"/>
      <c r="R1144" s="27"/>
      <c r="S1144" s="22"/>
      <c r="T1144" s="22"/>
      <c r="U1144" s="28"/>
    </row>
    <row r="1145" ht="15.75" customHeight="1">
      <c r="A1145" s="189"/>
      <c r="B1145" s="22"/>
      <c r="C1145" s="22"/>
      <c r="D1145" s="22"/>
      <c r="E1145" s="22"/>
      <c r="F1145" s="22"/>
      <c r="G1145" s="22"/>
      <c r="H1145" s="22"/>
      <c r="I1145" s="24"/>
      <c r="J1145" s="24"/>
      <c r="K1145" s="24"/>
      <c r="L1145" s="24"/>
      <c r="M1145" s="26"/>
      <c r="N1145" s="26"/>
      <c r="O1145" s="26"/>
      <c r="P1145" s="27"/>
      <c r="Q1145" s="27"/>
      <c r="R1145" s="27"/>
      <c r="S1145" s="22"/>
      <c r="T1145" s="22"/>
      <c r="U1145" s="28"/>
    </row>
    <row r="1146" ht="15.75" customHeight="1">
      <c r="A1146" s="189"/>
      <c r="B1146" s="22"/>
      <c r="C1146" s="22"/>
      <c r="D1146" s="22"/>
      <c r="E1146" s="22"/>
      <c r="F1146" s="22"/>
      <c r="G1146" s="22"/>
      <c r="H1146" s="22"/>
      <c r="I1146" s="24"/>
      <c r="J1146" s="24"/>
      <c r="K1146" s="24"/>
      <c r="L1146" s="24"/>
      <c r="M1146" s="26"/>
      <c r="N1146" s="26"/>
      <c r="O1146" s="26"/>
      <c r="P1146" s="27"/>
      <c r="Q1146" s="27"/>
      <c r="R1146" s="27"/>
      <c r="S1146" s="22"/>
      <c r="T1146" s="22"/>
      <c r="U1146" s="28"/>
    </row>
    <row r="1147" ht="15.75" customHeight="1">
      <c r="A1147" s="189"/>
      <c r="B1147" s="22"/>
      <c r="C1147" s="22"/>
      <c r="D1147" s="22"/>
      <c r="E1147" s="22"/>
      <c r="F1147" s="22"/>
      <c r="G1147" s="22"/>
      <c r="H1147" s="22"/>
      <c r="I1147" s="24"/>
      <c r="J1147" s="24"/>
      <c r="K1147" s="24"/>
      <c r="L1147" s="24"/>
      <c r="M1147" s="26"/>
      <c r="N1147" s="26"/>
      <c r="O1147" s="26"/>
      <c r="P1147" s="27"/>
      <c r="Q1147" s="27"/>
      <c r="R1147" s="27"/>
      <c r="S1147" s="22"/>
      <c r="T1147" s="22"/>
      <c r="U1147" s="28"/>
    </row>
    <row r="1148" ht="15.75" customHeight="1">
      <c r="A1148" s="189"/>
      <c r="B1148" s="22"/>
      <c r="C1148" s="22"/>
      <c r="D1148" s="22"/>
      <c r="E1148" s="22"/>
      <c r="F1148" s="22"/>
      <c r="G1148" s="22"/>
      <c r="H1148" s="22"/>
      <c r="I1148" s="24"/>
      <c r="J1148" s="24"/>
      <c r="K1148" s="24"/>
      <c r="L1148" s="24"/>
      <c r="M1148" s="26"/>
      <c r="N1148" s="26"/>
      <c r="O1148" s="26"/>
      <c r="P1148" s="27"/>
      <c r="Q1148" s="27"/>
      <c r="R1148" s="27"/>
      <c r="S1148" s="22"/>
      <c r="T1148" s="22"/>
      <c r="U1148" s="28"/>
    </row>
    <row r="1149" ht="15.75" customHeight="1">
      <c r="A1149" s="189"/>
      <c r="B1149" s="22"/>
      <c r="C1149" s="22"/>
      <c r="D1149" s="22"/>
      <c r="E1149" s="22"/>
      <c r="F1149" s="22"/>
      <c r="G1149" s="22"/>
      <c r="H1149" s="22"/>
      <c r="I1149" s="24"/>
      <c r="J1149" s="24"/>
      <c r="K1149" s="24"/>
      <c r="L1149" s="24"/>
      <c r="M1149" s="26"/>
      <c r="N1149" s="26"/>
      <c r="O1149" s="26"/>
      <c r="P1149" s="27"/>
      <c r="Q1149" s="27"/>
      <c r="R1149" s="27"/>
      <c r="S1149" s="22"/>
      <c r="T1149" s="22"/>
      <c r="U1149" s="28"/>
    </row>
    <row r="1150" ht="15.75" customHeight="1">
      <c r="A1150" s="189"/>
      <c r="B1150" s="22"/>
      <c r="C1150" s="22"/>
      <c r="D1150" s="22"/>
      <c r="E1150" s="22"/>
      <c r="F1150" s="22"/>
      <c r="G1150" s="22"/>
      <c r="H1150" s="22"/>
      <c r="I1150" s="24"/>
      <c r="J1150" s="24"/>
      <c r="K1150" s="24"/>
      <c r="L1150" s="24"/>
      <c r="M1150" s="26"/>
      <c r="N1150" s="26"/>
      <c r="O1150" s="26"/>
      <c r="P1150" s="27"/>
      <c r="Q1150" s="27"/>
      <c r="R1150" s="27"/>
      <c r="S1150" s="22"/>
      <c r="T1150" s="22"/>
      <c r="U1150" s="28"/>
    </row>
    <row r="1151" ht="15.75" customHeight="1">
      <c r="A1151" s="189"/>
      <c r="B1151" s="22"/>
      <c r="C1151" s="22"/>
      <c r="D1151" s="22"/>
      <c r="E1151" s="22"/>
      <c r="F1151" s="22"/>
      <c r="G1151" s="22"/>
      <c r="H1151" s="22"/>
      <c r="I1151" s="24"/>
      <c r="J1151" s="24"/>
      <c r="K1151" s="24"/>
      <c r="L1151" s="24"/>
      <c r="M1151" s="26"/>
      <c r="N1151" s="26"/>
      <c r="O1151" s="26"/>
      <c r="P1151" s="27"/>
      <c r="Q1151" s="27"/>
      <c r="R1151" s="27"/>
      <c r="S1151" s="22"/>
      <c r="T1151" s="22"/>
      <c r="U1151" s="28"/>
    </row>
    <row r="1152" ht="15.75" customHeight="1">
      <c r="A1152" s="189"/>
      <c r="B1152" s="22"/>
      <c r="C1152" s="22"/>
      <c r="D1152" s="22"/>
      <c r="E1152" s="22"/>
      <c r="F1152" s="22"/>
      <c r="G1152" s="22"/>
      <c r="H1152" s="22"/>
      <c r="I1152" s="24"/>
      <c r="J1152" s="24"/>
      <c r="K1152" s="24"/>
      <c r="L1152" s="24"/>
      <c r="M1152" s="26"/>
      <c r="N1152" s="26"/>
      <c r="O1152" s="26"/>
      <c r="P1152" s="27"/>
      <c r="Q1152" s="27"/>
      <c r="R1152" s="27"/>
      <c r="S1152" s="22"/>
      <c r="T1152" s="22"/>
      <c r="U1152" s="28"/>
    </row>
    <row r="1153" ht="15.75" customHeight="1">
      <c r="A1153" s="189"/>
      <c r="B1153" s="22"/>
      <c r="C1153" s="22"/>
      <c r="D1153" s="22"/>
      <c r="E1153" s="22"/>
      <c r="F1153" s="22"/>
      <c r="G1153" s="22"/>
      <c r="H1153" s="22"/>
      <c r="I1153" s="24"/>
      <c r="J1153" s="24"/>
      <c r="K1153" s="24"/>
      <c r="L1153" s="24"/>
      <c r="M1153" s="26"/>
      <c r="N1153" s="26"/>
      <c r="O1153" s="26"/>
      <c r="P1153" s="27"/>
      <c r="Q1153" s="27"/>
      <c r="R1153" s="27"/>
      <c r="S1153" s="22"/>
      <c r="T1153" s="22"/>
      <c r="U1153" s="28"/>
    </row>
    <row r="1154" ht="15.75" customHeight="1">
      <c r="A1154" s="189"/>
      <c r="B1154" s="22"/>
      <c r="C1154" s="22"/>
      <c r="D1154" s="22"/>
      <c r="E1154" s="22"/>
      <c r="F1154" s="22"/>
      <c r="G1154" s="22"/>
      <c r="H1154" s="22"/>
      <c r="I1154" s="24"/>
      <c r="J1154" s="24"/>
      <c r="K1154" s="24"/>
      <c r="L1154" s="24"/>
      <c r="M1154" s="26"/>
      <c r="N1154" s="26"/>
      <c r="O1154" s="26"/>
      <c r="P1154" s="27"/>
      <c r="Q1154" s="27"/>
      <c r="R1154" s="27"/>
      <c r="S1154" s="22"/>
      <c r="T1154" s="22"/>
      <c r="U1154" s="28"/>
    </row>
    <row r="1155" ht="15.75" customHeight="1">
      <c r="A1155" s="189"/>
      <c r="B1155" s="22"/>
      <c r="C1155" s="22"/>
      <c r="D1155" s="22"/>
      <c r="E1155" s="22"/>
      <c r="F1155" s="22"/>
      <c r="G1155" s="22"/>
      <c r="H1155" s="22"/>
      <c r="I1155" s="24"/>
      <c r="J1155" s="24"/>
      <c r="K1155" s="24"/>
      <c r="L1155" s="24"/>
      <c r="M1155" s="26"/>
      <c r="N1155" s="26"/>
      <c r="O1155" s="26"/>
      <c r="P1155" s="27"/>
      <c r="Q1155" s="27"/>
      <c r="R1155" s="27"/>
      <c r="S1155" s="22"/>
      <c r="T1155" s="22"/>
      <c r="U1155" s="28"/>
    </row>
    <row r="1156" ht="15.75" customHeight="1">
      <c r="A1156" s="189"/>
      <c r="B1156" s="22"/>
      <c r="C1156" s="22"/>
      <c r="D1156" s="22"/>
      <c r="E1156" s="22"/>
      <c r="F1156" s="22"/>
      <c r="G1156" s="22"/>
      <c r="H1156" s="22"/>
      <c r="I1156" s="24"/>
      <c r="J1156" s="24"/>
      <c r="K1156" s="24"/>
      <c r="L1156" s="24"/>
      <c r="M1156" s="26"/>
      <c r="N1156" s="26"/>
      <c r="O1156" s="26"/>
      <c r="P1156" s="27"/>
      <c r="Q1156" s="27"/>
      <c r="R1156" s="27"/>
      <c r="S1156" s="22"/>
      <c r="T1156" s="22"/>
      <c r="U1156" s="28"/>
    </row>
    <row r="1157" ht="15.75" customHeight="1">
      <c r="A1157" s="189"/>
      <c r="B1157" s="22"/>
      <c r="C1157" s="22"/>
      <c r="D1157" s="22"/>
      <c r="E1157" s="22"/>
      <c r="F1157" s="22"/>
      <c r="G1157" s="22"/>
      <c r="H1157" s="22"/>
      <c r="I1157" s="24"/>
      <c r="J1157" s="24"/>
      <c r="K1157" s="24"/>
      <c r="L1157" s="24"/>
      <c r="M1157" s="26"/>
      <c r="N1157" s="26"/>
      <c r="O1157" s="26"/>
      <c r="P1157" s="27"/>
      <c r="Q1157" s="27"/>
      <c r="R1157" s="27"/>
      <c r="S1157" s="22"/>
      <c r="T1157" s="22"/>
      <c r="U1157" s="28"/>
    </row>
    <row r="1158" ht="15.75" customHeight="1">
      <c r="A1158" s="189"/>
      <c r="B1158" s="22"/>
      <c r="C1158" s="22"/>
      <c r="D1158" s="22"/>
      <c r="E1158" s="22"/>
      <c r="F1158" s="22"/>
      <c r="G1158" s="22"/>
      <c r="H1158" s="22"/>
      <c r="I1158" s="24"/>
      <c r="J1158" s="24"/>
      <c r="K1158" s="24"/>
      <c r="L1158" s="24"/>
      <c r="M1158" s="26"/>
      <c r="N1158" s="26"/>
      <c r="O1158" s="26"/>
      <c r="P1158" s="27"/>
      <c r="Q1158" s="27"/>
      <c r="R1158" s="27"/>
      <c r="S1158" s="22"/>
      <c r="T1158" s="22"/>
      <c r="U1158" s="28"/>
    </row>
    <row r="1159" ht="15.75" customHeight="1">
      <c r="A1159" s="189"/>
      <c r="B1159" s="22"/>
      <c r="C1159" s="22"/>
      <c r="D1159" s="22"/>
      <c r="E1159" s="22"/>
      <c r="F1159" s="22"/>
      <c r="G1159" s="22"/>
      <c r="H1159" s="22"/>
      <c r="I1159" s="24"/>
      <c r="J1159" s="24"/>
      <c r="K1159" s="24"/>
      <c r="L1159" s="24"/>
      <c r="M1159" s="26"/>
      <c r="N1159" s="26"/>
      <c r="O1159" s="26"/>
      <c r="P1159" s="27"/>
      <c r="Q1159" s="27"/>
      <c r="R1159" s="27"/>
      <c r="S1159" s="22"/>
      <c r="T1159" s="22"/>
      <c r="U1159" s="28"/>
    </row>
    <row r="1160" ht="15.75" customHeight="1">
      <c r="A1160" s="189"/>
      <c r="B1160" s="22"/>
      <c r="C1160" s="22"/>
      <c r="D1160" s="22"/>
      <c r="E1160" s="22"/>
      <c r="F1160" s="22"/>
      <c r="G1160" s="22"/>
      <c r="H1160" s="22"/>
      <c r="I1160" s="24"/>
      <c r="J1160" s="24"/>
      <c r="K1160" s="24"/>
      <c r="L1160" s="24"/>
      <c r="M1160" s="26"/>
      <c r="N1160" s="26"/>
      <c r="O1160" s="26"/>
      <c r="P1160" s="27"/>
      <c r="Q1160" s="27"/>
      <c r="R1160" s="27"/>
      <c r="S1160" s="22"/>
      <c r="T1160" s="22"/>
      <c r="U1160" s="28"/>
    </row>
    <row r="1161" ht="15.75" customHeight="1">
      <c r="A1161" s="189"/>
      <c r="B1161" s="22"/>
      <c r="C1161" s="22"/>
      <c r="D1161" s="22"/>
      <c r="E1161" s="22"/>
      <c r="F1161" s="22"/>
      <c r="G1161" s="22"/>
      <c r="H1161" s="22"/>
      <c r="I1161" s="24"/>
      <c r="J1161" s="24"/>
      <c r="K1161" s="24"/>
      <c r="L1161" s="24"/>
      <c r="M1161" s="26"/>
      <c r="N1161" s="26"/>
      <c r="O1161" s="26"/>
      <c r="P1161" s="27"/>
      <c r="Q1161" s="27"/>
      <c r="R1161" s="27"/>
      <c r="S1161" s="22"/>
      <c r="T1161" s="22"/>
      <c r="U1161" s="28"/>
    </row>
    <row r="1162" ht="15.75" customHeight="1">
      <c r="A1162" s="189"/>
      <c r="B1162" s="22"/>
      <c r="C1162" s="22"/>
      <c r="D1162" s="22"/>
      <c r="E1162" s="22"/>
      <c r="F1162" s="22"/>
      <c r="G1162" s="22"/>
      <c r="H1162" s="22"/>
      <c r="I1162" s="24"/>
      <c r="J1162" s="24"/>
      <c r="K1162" s="24"/>
      <c r="L1162" s="24"/>
      <c r="M1162" s="26"/>
      <c r="N1162" s="26"/>
      <c r="O1162" s="26"/>
      <c r="P1162" s="27"/>
      <c r="Q1162" s="27"/>
      <c r="R1162" s="27"/>
      <c r="S1162" s="22"/>
      <c r="T1162" s="22"/>
      <c r="U1162" s="28"/>
    </row>
    <row r="1163" ht="15.75" customHeight="1">
      <c r="A1163" s="189"/>
      <c r="B1163" s="22"/>
      <c r="C1163" s="22"/>
      <c r="D1163" s="22"/>
      <c r="E1163" s="22"/>
      <c r="F1163" s="22"/>
      <c r="G1163" s="22"/>
      <c r="H1163" s="22"/>
      <c r="I1163" s="24"/>
      <c r="J1163" s="24"/>
      <c r="K1163" s="24"/>
      <c r="L1163" s="24"/>
      <c r="M1163" s="26"/>
      <c r="N1163" s="26"/>
      <c r="O1163" s="26"/>
      <c r="P1163" s="27"/>
      <c r="Q1163" s="27"/>
      <c r="R1163" s="27"/>
      <c r="S1163" s="22"/>
      <c r="T1163" s="22"/>
      <c r="U1163" s="28"/>
    </row>
    <row r="1164" ht="15.75" customHeight="1">
      <c r="A1164" s="189"/>
      <c r="B1164" s="22"/>
      <c r="C1164" s="22"/>
      <c r="D1164" s="22"/>
      <c r="E1164" s="22"/>
      <c r="F1164" s="22"/>
      <c r="G1164" s="22"/>
      <c r="H1164" s="22"/>
      <c r="I1164" s="24"/>
      <c r="J1164" s="24"/>
      <c r="K1164" s="24"/>
      <c r="L1164" s="24"/>
      <c r="M1164" s="26"/>
      <c r="N1164" s="26"/>
      <c r="O1164" s="26"/>
      <c r="P1164" s="27"/>
      <c r="Q1164" s="27"/>
      <c r="R1164" s="27"/>
      <c r="S1164" s="22"/>
      <c r="T1164" s="22"/>
      <c r="U1164" s="28"/>
    </row>
    <row r="1165" ht="15.75" customHeight="1">
      <c r="A1165" s="189"/>
      <c r="B1165" s="22"/>
      <c r="C1165" s="22"/>
      <c r="D1165" s="22"/>
      <c r="E1165" s="22"/>
      <c r="F1165" s="22"/>
      <c r="G1165" s="22"/>
      <c r="H1165" s="22"/>
      <c r="I1165" s="24"/>
      <c r="J1165" s="24"/>
      <c r="K1165" s="24"/>
      <c r="L1165" s="24"/>
      <c r="M1165" s="26"/>
      <c r="N1165" s="26"/>
      <c r="O1165" s="26"/>
      <c r="P1165" s="27"/>
      <c r="Q1165" s="27"/>
      <c r="R1165" s="27"/>
      <c r="S1165" s="22"/>
      <c r="T1165" s="22"/>
      <c r="U1165" s="28"/>
    </row>
    <row r="1166" ht="15.75" customHeight="1">
      <c r="A1166" s="189"/>
      <c r="B1166" s="22"/>
      <c r="C1166" s="22"/>
      <c r="D1166" s="22"/>
      <c r="E1166" s="22"/>
      <c r="F1166" s="22"/>
      <c r="G1166" s="22"/>
      <c r="H1166" s="22"/>
      <c r="I1166" s="24"/>
      <c r="J1166" s="24"/>
      <c r="K1166" s="24"/>
      <c r="L1166" s="24"/>
      <c r="M1166" s="26"/>
      <c r="N1166" s="26"/>
      <c r="O1166" s="26"/>
      <c r="P1166" s="27"/>
      <c r="Q1166" s="27"/>
      <c r="R1166" s="27"/>
      <c r="S1166" s="22"/>
      <c r="T1166" s="22"/>
      <c r="U1166" s="28"/>
    </row>
    <row r="1167" ht="15.75" customHeight="1">
      <c r="A1167" s="189"/>
      <c r="B1167" s="22"/>
      <c r="C1167" s="22"/>
      <c r="D1167" s="22"/>
      <c r="E1167" s="22"/>
      <c r="F1167" s="22"/>
      <c r="G1167" s="22"/>
      <c r="H1167" s="22"/>
      <c r="I1167" s="24"/>
      <c r="J1167" s="24"/>
      <c r="K1167" s="24"/>
      <c r="L1167" s="24"/>
      <c r="M1167" s="26"/>
      <c r="N1167" s="26"/>
      <c r="O1167" s="26"/>
      <c r="P1167" s="27"/>
      <c r="Q1167" s="27"/>
      <c r="R1167" s="27"/>
      <c r="S1167" s="22"/>
      <c r="T1167" s="22"/>
      <c r="U1167" s="28"/>
    </row>
    <row r="1168" ht="15.75" customHeight="1">
      <c r="A1168" s="189"/>
      <c r="B1168" s="22"/>
      <c r="C1168" s="22"/>
      <c r="D1168" s="22"/>
      <c r="E1168" s="22"/>
      <c r="F1168" s="22"/>
      <c r="G1168" s="22"/>
      <c r="H1168" s="22"/>
      <c r="I1168" s="24"/>
      <c r="J1168" s="24"/>
      <c r="K1168" s="24"/>
      <c r="L1168" s="24"/>
      <c r="M1168" s="26"/>
      <c r="N1168" s="26"/>
      <c r="O1168" s="26"/>
      <c r="P1168" s="27"/>
      <c r="Q1168" s="27"/>
      <c r="R1168" s="27"/>
      <c r="S1168" s="22"/>
      <c r="T1168" s="22"/>
      <c r="U1168" s="28"/>
    </row>
    <row r="1169" ht="15.75" customHeight="1">
      <c r="A1169" s="189"/>
      <c r="B1169" s="22"/>
      <c r="C1169" s="22"/>
      <c r="D1169" s="22"/>
      <c r="E1169" s="22"/>
      <c r="F1169" s="22"/>
      <c r="G1169" s="22"/>
      <c r="H1169" s="22"/>
      <c r="I1169" s="24"/>
      <c r="J1169" s="24"/>
      <c r="K1169" s="24"/>
      <c r="L1169" s="24"/>
      <c r="M1169" s="26"/>
      <c r="N1169" s="26"/>
      <c r="O1169" s="26"/>
      <c r="P1169" s="27"/>
      <c r="Q1169" s="27"/>
      <c r="R1169" s="27"/>
      <c r="S1169" s="22"/>
      <c r="T1169" s="22"/>
      <c r="U1169" s="28"/>
    </row>
    <row r="1170" ht="15.75" customHeight="1">
      <c r="A1170" s="189"/>
      <c r="B1170" s="22"/>
      <c r="C1170" s="22"/>
      <c r="D1170" s="22"/>
      <c r="E1170" s="22"/>
      <c r="F1170" s="22"/>
      <c r="G1170" s="22"/>
      <c r="H1170" s="22"/>
      <c r="I1170" s="24"/>
      <c r="J1170" s="24"/>
      <c r="K1170" s="24"/>
      <c r="L1170" s="24"/>
      <c r="M1170" s="26"/>
      <c r="N1170" s="26"/>
      <c r="O1170" s="26"/>
      <c r="P1170" s="27"/>
      <c r="Q1170" s="27"/>
      <c r="R1170" s="27"/>
      <c r="S1170" s="22"/>
      <c r="T1170" s="22"/>
      <c r="U1170" s="28"/>
    </row>
    <row r="1171" ht="15.75" customHeight="1">
      <c r="A1171" s="189"/>
      <c r="B1171" s="22"/>
      <c r="C1171" s="22"/>
      <c r="D1171" s="22"/>
      <c r="E1171" s="22"/>
      <c r="F1171" s="22"/>
      <c r="G1171" s="22"/>
      <c r="H1171" s="22"/>
      <c r="I1171" s="24"/>
      <c r="J1171" s="24"/>
      <c r="K1171" s="24"/>
      <c r="L1171" s="24"/>
      <c r="M1171" s="26"/>
      <c r="N1171" s="26"/>
      <c r="O1171" s="26"/>
      <c r="P1171" s="27"/>
      <c r="Q1171" s="27"/>
      <c r="R1171" s="27"/>
      <c r="S1171" s="22"/>
      <c r="T1171" s="22"/>
      <c r="U1171" s="28"/>
    </row>
    <row r="1172" ht="15.75" customHeight="1">
      <c r="A1172" s="189"/>
      <c r="B1172" s="22"/>
      <c r="C1172" s="22"/>
      <c r="D1172" s="22"/>
      <c r="E1172" s="22"/>
      <c r="F1172" s="22"/>
      <c r="G1172" s="22"/>
      <c r="H1172" s="22"/>
      <c r="I1172" s="24"/>
      <c r="J1172" s="24"/>
      <c r="K1172" s="24"/>
      <c r="L1172" s="24"/>
      <c r="M1172" s="26"/>
      <c r="N1172" s="26"/>
      <c r="O1172" s="26"/>
      <c r="P1172" s="27"/>
      <c r="Q1172" s="27"/>
      <c r="R1172" s="27"/>
      <c r="S1172" s="22"/>
      <c r="T1172" s="22"/>
      <c r="U1172" s="28"/>
    </row>
    <row r="1173" ht="15.75" customHeight="1">
      <c r="A1173" s="189"/>
      <c r="B1173" s="22"/>
      <c r="C1173" s="22"/>
      <c r="D1173" s="22"/>
      <c r="E1173" s="22"/>
      <c r="F1173" s="22"/>
      <c r="G1173" s="22"/>
      <c r="H1173" s="22"/>
      <c r="I1173" s="24"/>
      <c r="J1173" s="24"/>
      <c r="K1173" s="24"/>
      <c r="L1173" s="24"/>
      <c r="M1173" s="26"/>
      <c r="N1173" s="26"/>
      <c r="O1173" s="26"/>
      <c r="P1173" s="27"/>
      <c r="Q1173" s="27"/>
      <c r="R1173" s="27"/>
      <c r="S1173" s="22"/>
      <c r="T1173" s="22"/>
      <c r="U1173" s="28"/>
    </row>
    <row r="1174" ht="15.75" customHeight="1">
      <c r="A1174" s="189"/>
      <c r="B1174" s="22"/>
      <c r="C1174" s="22"/>
      <c r="D1174" s="22"/>
      <c r="E1174" s="22"/>
      <c r="F1174" s="22"/>
      <c r="G1174" s="22"/>
      <c r="H1174" s="22"/>
      <c r="I1174" s="24"/>
      <c r="J1174" s="24"/>
      <c r="K1174" s="24"/>
      <c r="L1174" s="24"/>
      <c r="M1174" s="26"/>
      <c r="N1174" s="26"/>
      <c r="O1174" s="26"/>
      <c r="P1174" s="27"/>
      <c r="Q1174" s="27"/>
      <c r="R1174" s="27"/>
      <c r="S1174" s="22"/>
      <c r="T1174" s="22"/>
      <c r="U1174" s="28"/>
    </row>
    <row r="1175" ht="15.75" customHeight="1">
      <c r="A1175" s="189"/>
      <c r="B1175" s="22"/>
      <c r="C1175" s="22"/>
      <c r="D1175" s="22"/>
      <c r="E1175" s="22"/>
      <c r="F1175" s="22"/>
      <c r="G1175" s="22"/>
      <c r="H1175" s="22"/>
      <c r="I1175" s="24"/>
      <c r="J1175" s="24"/>
      <c r="K1175" s="24"/>
      <c r="L1175" s="24"/>
      <c r="M1175" s="26"/>
      <c r="N1175" s="26"/>
      <c r="O1175" s="26"/>
      <c r="P1175" s="27"/>
      <c r="Q1175" s="27"/>
      <c r="R1175" s="27"/>
      <c r="S1175" s="22"/>
      <c r="T1175" s="22"/>
      <c r="U1175" s="28"/>
    </row>
    <row r="1176" ht="15.75" customHeight="1">
      <c r="A1176" s="189"/>
      <c r="B1176" s="22"/>
      <c r="C1176" s="22"/>
      <c r="D1176" s="22"/>
      <c r="E1176" s="22"/>
      <c r="F1176" s="22"/>
      <c r="G1176" s="22"/>
      <c r="H1176" s="22"/>
      <c r="I1176" s="24"/>
      <c r="J1176" s="24"/>
      <c r="K1176" s="24"/>
      <c r="L1176" s="24"/>
      <c r="M1176" s="26"/>
      <c r="N1176" s="26"/>
      <c r="O1176" s="26"/>
      <c r="P1176" s="27"/>
      <c r="Q1176" s="27"/>
      <c r="R1176" s="27"/>
      <c r="S1176" s="22"/>
      <c r="T1176" s="22"/>
      <c r="U1176" s="28"/>
    </row>
    <row r="1177" ht="15.75" customHeight="1">
      <c r="A1177" s="189"/>
      <c r="B1177" s="22"/>
      <c r="C1177" s="22"/>
      <c r="D1177" s="22"/>
      <c r="E1177" s="22"/>
      <c r="F1177" s="22"/>
      <c r="G1177" s="22"/>
      <c r="H1177" s="22"/>
      <c r="I1177" s="24"/>
      <c r="J1177" s="24"/>
      <c r="K1177" s="24"/>
      <c r="L1177" s="24"/>
      <c r="M1177" s="26"/>
      <c r="N1177" s="26"/>
      <c r="O1177" s="26"/>
      <c r="P1177" s="27"/>
      <c r="Q1177" s="27"/>
      <c r="R1177" s="27"/>
      <c r="S1177" s="22"/>
      <c r="T1177" s="22"/>
      <c r="U1177" s="28"/>
    </row>
    <row r="1178" ht="15.75" customHeight="1">
      <c r="A1178" s="189"/>
      <c r="B1178" s="22"/>
      <c r="C1178" s="22"/>
      <c r="D1178" s="22"/>
      <c r="E1178" s="22"/>
      <c r="F1178" s="22"/>
      <c r="G1178" s="22"/>
      <c r="H1178" s="22"/>
      <c r="I1178" s="24"/>
      <c r="J1178" s="24"/>
      <c r="K1178" s="24"/>
      <c r="L1178" s="24"/>
      <c r="M1178" s="26"/>
      <c r="N1178" s="26"/>
      <c r="O1178" s="26"/>
      <c r="P1178" s="27"/>
      <c r="Q1178" s="27"/>
      <c r="R1178" s="27"/>
      <c r="S1178" s="22"/>
      <c r="T1178" s="22"/>
      <c r="U1178" s="28"/>
    </row>
    <row r="1179" ht="15.75" customHeight="1">
      <c r="A1179" s="189"/>
      <c r="B1179" s="22"/>
      <c r="C1179" s="22"/>
      <c r="D1179" s="22"/>
      <c r="E1179" s="22"/>
      <c r="F1179" s="22"/>
      <c r="G1179" s="22"/>
      <c r="H1179" s="22"/>
      <c r="I1179" s="24"/>
      <c r="J1179" s="24"/>
      <c r="K1179" s="24"/>
      <c r="L1179" s="24"/>
      <c r="M1179" s="26"/>
      <c r="N1179" s="26"/>
      <c r="O1179" s="26"/>
      <c r="P1179" s="27"/>
      <c r="Q1179" s="27"/>
      <c r="R1179" s="27"/>
      <c r="S1179" s="22"/>
      <c r="T1179" s="22"/>
      <c r="U1179" s="28"/>
    </row>
    <row r="1180" ht="15.75" customHeight="1">
      <c r="A1180" s="189"/>
      <c r="B1180" s="22"/>
      <c r="C1180" s="22"/>
      <c r="D1180" s="22"/>
      <c r="E1180" s="22"/>
      <c r="F1180" s="22"/>
      <c r="G1180" s="22"/>
      <c r="H1180" s="22"/>
      <c r="I1180" s="24"/>
      <c r="J1180" s="24"/>
      <c r="K1180" s="24"/>
      <c r="L1180" s="24"/>
      <c r="M1180" s="26"/>
      <c r="N1180" s="26"/>
      <c r="O1180" s="26"/>
      <c r="P1180" s="27"/>
      <c r="Q1180" s="27"/>
      <c r="R1180" s="27"/>
      <c r="S1180" s="22"/>
      <c r="T1180" s="22"/>
      <c r="U1180" s="28"/>
    </row>
    <row r="1181" ht="15.75" customHeight="1">
      <c r="A1181" s="189"/>
      <c r="B1181" s="22"/>
      <c r="C1181" s="22"/>
      <c r="D1181" s="22"/>
      <c r="E1181" s="22"/>
      <c r="F1181" s="22"/>
      <c r="G1181" s="22"/>
      <c r="H1181" s="22"/>
      <c r="I1181" s="24"/>
      <c r="J1181" s="24"/>
      <c r="K1181" s="24"/>
      <c r="L1181" s="24"/>
      <c r="M1181" s="26"/>
      <c r="N1181" s="26"/>
      <c r="O1181" s="26"/>
      <c r="P1181" s="27"/>
      <c r="Q1181" s="27"/>
      <c r="R1181" s="27"/>
      <c r="S1181" s="22"/>
      <c r="T1181" s="22"/>
      <c r="U1181" s="28"/>
    </row>
    <row r="1182" ht="15.75" customHeight="1">
      <c r="A1182" s="189"/>
      <c r="B1182" s="22"/>
      <c r="C1182" s="22"/>
      <c r="D1182" s="22"/>
      <c r="E1182" s="22"/>
      <c r="F1182" s="22"/>
      <c r="G1182" s="22"/>
      <c r="H1182" s="22"/>
      <c r="I1182" s="24"/>
      <c r="J1182" s="24"/>
      <c r="K1182" s="24"/>
      <c r="L1182" s="24"/>
      <c r="M1182" s="26"/>
      <c r="N1182" s="26"/>
      <c r="O1182" s="26"/>
      <c r="P1182" s="27"/>
      <c r="Q1182" s="27"/>
      <c r="R1182" s="27"/>
      <c r="S1182" s="22"/>
      <c r="T1182" s="22"/>
      <c r="U1182" s="28"/>
    </row>
    <row r="1183" ht="15.75" customHeight="1">
      <c r="A1183" s="189"/>
      <c r="B1183" s="22"/>
      <c r="C1183" s="22"/>
      <c r="D1183" s="22"/>
      <c r="E1183" s="22"/>
      <c r="F1183" s="22"/>
      <c r="G1183" s="22"/>
      <c r="H1183" s="22"/>
      <c r="I1183" s="24"/>
      <c r="J1183" s="24"/>
      <c r="K1183" s="24"/>
      <c r="L1183" s="24"/>
      <c r="M1183" s="26"/>
      <c r="N1183" s="26"/>
      <c r="O1183" s="26"/>
      <c r="P1183" s="27"/>
      <c r="Q1183" s="27"/>
      <c r="R1183" s="27"/>
      <c r="S1183" s="22"/>
      <c r="T1183" s="22"/>
      <c r="U1183" s="28"/>
    </row>
    <row r="1184" ht="15.75" customHeight="1">
      <c r="A1184" s="189"/>
      <c r="B1184" s="22"/>
      <c r="C1184" s="22"/>
      <c r="D1184" s="22"/>
      <c r="E1184" s="22"/>
      <c r="F1184" s="22"/>
      <c r="G1184" s="22"/>
      <c r="H1184" s="22"/>
      <c r="I1184" s="24"/>
      <c r="J1184" s="24"/>
      <c r="K1184" s="24"/>
      <c r="L1184" s="24"/>
      <c r="M1184" s="26"/>
      <c r="N1184" s="26"/>
      <c r="O1184" s="26"/>
      <c r="P1184" s="27"/>
      <c r="Q1184" s="27"/>
      <c r="R1184" s="27"/>
      <c r="S1184" s="22"/>
      <c r="T1184" s="22"/>
      <c r="U1184" s="28"/>
    </row>
    <row r="1185" ht="15.75" customHeight="1">
      <c r="A1185" s="189"/>
      <c r="B1185" s="22"/>
      <c r="C1185" s="22"/>
      <c r="D1185" s="22"/>
      <c r="E1185" s="22"/>
      <c r="F1185" s="22"/>
      <c r="G1185" s="22"/>
      <c r="H1185" s="22"/>
      <c r="I1185" s="24"/>
      <c r="J1185" s="24"/>
      <c r="K1185" s="24"/>
      <c r="L1185" s="24"/>
      <c r="M1185" s="26"/>
      <c r="N1185" s="26"/>
      <c r="O1185" s="26"/>
      <c r="P1185" s="27"/>
      <c r="Q1185" s="27"/>
      <c r="R1185" s="27"/>
      <c r="S1185" s="22"/>
      <c r="T1185" s="22"/>
      <c r="U1185" s="28"/>
    </row>
    <row r="1186" ht="15.75" customHeight="1">
      <c r="A1186" s="189"/>
      <c r="B1186" s="22"/>
      <c r="C1186" s="22"/>
      <c r="D1186" s="22"/>
      <c r="E1186" s="22"/>
      <c r="F1186" s="22"/>
      <c r="G1186" s="22"/>
      <c r="H1186" s="22"/>
      <c r="I1186" s="24"/>
      <c r="J1186" s="24"/>
      <c r="K1186" s="24"/>
      <c r="L1186" s="24"/>
      <c r="M1186" s="26"/>
      <c r="N1186" s="26"/>
      <c r="O1186" s="26"/>
      <c r="P1186" s="27"/>
      <c r="Q1186" s="27"/>
      <c r="R1186" s="27"/>
      <c r="S1186" s="22"/>
      <c r="T1186" s="22"/>
      <c r="U1186" s="28"/>
    </row>
    <row r="1187" ht="15.75" customHeight="1">
      <c r="A1187" s="189"/>
      <c r="B1187" s="22"/>
      <c r="C1187" s="22"/>
      <c r="D1187" s="22"/>
      <c r="E1187" s="22"/>
      <c r="F1187" s="22"/>
      <c r="G1187" s="22"/>
      <c r="H1187" s="22"/>
      <c r="I1187" s="24"/>
      <c r="J1187" s="24"/>
      <c r="K1187" s="24"/>
      <c r="L1187" s="24"/>
      <c r="M1187" s="26"/>
      <c r="N1187" s="26"/>
      <c r="O1187" s="26"/>
      <c r="P1187" s="27"/>
      <c r="Q1187" s="27"/>
      <c r="R1187" s="27"/>
      <c r="S1187" s="22"/>
      <c r="T1187" s="22"/>
      <c r="U1187" s="28"/>
    </row>
    <row r="1188" ht="15.75" customHeight="1">
      <c r="A1188" s="189"/>
      <c r="B1188" s="22"/>
      <c r="C1188" s="22"/>
      <c r="D1188" s="22"/>
      <c r="E1188" s="22"/>
      <c r="F1188" s="22"/>
      <c r="G1188" s="22"/>
      <c r="H1188" s="22"/>
      <c r="I1188" s="24"/>
      <c r="J1188" s="24"/>
      <c r="K1188" s="24"/>
      <c r="L1188" s="24"/>
      <c r="M1188" s="26"/>
      <c r="N1188" s="26"/>
      <c r="O1188" s="26"/>
      <c r="P1188" s="27"/>
      <c r="Q1188" s="27"/>
      <c r="R1188" s="27"/>
      <c r="S1188" s="22"/>
      <c r="T1188" s="22"/>
      <c r="U1188" s="28"/>
    </row>
    <row r="1189" ht="15.75" customHeight="1">
      <c r="A1189" s="189"/>
      <c r="B1189" s="22"/>
      <c r="C1189" s="22"/>
      <c r="D1189" s="22"/>
      <c r="E1189" s="22"/>
      <c r="F1189" s="22"/>
      <c r="G1189" s="22"/>
      <c r="H1189" s="22"/>
      <c r="I1189" s="24"/>
      <c r="J1189" s="24"/>
      <c r="K1189" s="24"/>
      <c r="L1189" s="24"/>
      <c r="M1189" s="26"/>
      <c r="N1189" s="26"/>
      <c r="O1189" s="26"/>
      <c r="P1189" s="27"/>
      <c r="Q1189" s="27"/>
      <c r="R1189" s="27"/>
      <c r="S1189" s="22"/>
      <c r="T1189" s="22"/>
      <c r="U1189" s="28"/>
    </row>
    <row r="1190" ht="15.75" customHeight="1">
      <c r="A1190" s="189"/>
      <c r="B1190" s="22"/>
      <c r="C1190" s="22"/>
      <c r="D1190" s="22"/>
      <c r="E1190" s="22"/>
      <c r="F1190" s="22"/>
      <c r="G1190" s="22"/>
      <c r="H1190" s="22"/>
      <c r="I1190" s="24"/>
      <c r="J1190" s="24"/>
      <c r="K1190" s="24"/>
      <c r="L1190" s="24"/>
      <c r="M1190" s="26"/>
      <c r="N1190" s="26"/>
      <c r="O1190" s="26"/>
      <c r="P1190" s="27"/>
      <c r="Q1190" s="27"/>
      <c r="R1190" s="27"/>
      <c r="S1190" s="22"/>
      <c r="T1190" s="22"/>
      <c r="U1190" s="28"/>
    </row>
    <row r="1191" ht="15.75" customHeight="1">
      <c r="A1191" s="189"/>
      <c r="B1191" s="22"/>
      <c r="C1191" s="22"/>
      <c r="D1191" s="22"/>
      <c r="E1191" s="22"/>
      <c r="F1191" s="22"/>
      <c r="G1191" s="22"/>
      <c r="H1191" s="22"/>
      <c r="I1191" s="24"/>
      <c r="J1191" s="24"/>
      <c r="K1191" s="24"/>
      <c r="L1191" s="24"/>
      <c r="M1191" s="26"/>
      <c r="N1191" s="26"/>
      <c r="O1191" s="26"/>
      <c r="P1191" s="27"/>
      <c r="Q1191" s="27"/>
      <c r="R1191" s="27"/>
      <c r="S1191" s="22"/>
      <c r="T1191" s="22"/>
      <c r="U1191" s="28"/>
    </row>
    <row r="1192" ht="15.75" customHeight="1">
      <c r="A1192" s="189"/>
      <c r="B1192" s="22"/>
      <c r="C1192" s="22"/>
      <c r="D1192" s="22"/>
      <c r="E1192" s="22"/>
      <c r="F1192" s="22"/>
      <c r="G1192" s="22"/>
      <c r="H1192" s="22"/>
      <c r="I1192" s="24"/>
      <c r="J1192" s="24"/>
      <c r="K1192" s="24"/>
      <c r="L1192" s="24"/>
      <c r="M1192" s="26"/>
      <c r="N1192" s="26"/>
      <c r="O1192" s="26"/>
      <c r="P1192" s="27"/>
      <c r="Q1192" s="27"/>
      <c r="R1192" s="27"/>
      <c r="S1192" s="22"/>
      <c r="T1192" s="22"/>
      <c r="U1192" s="28"/>
    </row>
    <row r="1193" ht="15.75" customHeight="1">
      <c r="A1193" s="189"/>
      <c r="B1193" s="22"/>
      <c r="C1193" s="22"/>
      <c r="D1193" s="22"/>
      <c r="E1193" s="22"/>
      <c r="F1193" s="22"/>
      <c r="G1193" s="22"/>
      <c r="H1193" s="22"/>
      <c r="I1193" s="24"/>
      <c r="J1193" s="24"/>
      <c r="K1193" s="24"/>
      <c r="L1193" s="24"/>
      <c r="M1193" s="26"/>
      <c r="N1193" s="26"/>
      <c r="O1193" s="26"/>
      <c r="P1193" s="27"/>
      <c r="Q1193" s="27"/>
      <c r="R1193" s="27"/>
      <c r="S1193" s="22"/>
      <c r="T1193" s="22"/>
      <c r="U1193" s="28"/>
    </row>
    <row r="1194" ht="15.75" customHeight="1">
      <c r="A1194" s="189"/>
      <c r="B1194" s="22"/>
      <c r="C1194" s="22"/>
      <c r="D1194" s="22"/>
      <c r="E1194" s="22"/>
      <c r="F1194" s="22"/>
      <c r="G1194" s="22"/>
      <c r="H1194" s="22"/>
      <c r="I1194" s="24"/>
      <c r="J1194" s="24"/>
      <c r="K1194" s="24"/>
      <c r="L1194" s="24"/>
      <c r="M1194" s="26"/>
      <c r="N1194" s="26"/>
      <c r="O1194" s="26"/>
      <c r="P1194" s="27"/>
      <c r="Q1194" s="27"/>
      <c r="R1194" s="27"/>
      <c r="S1194" s="22"/>
      <c r="T1194" s="22"/>
      <c r="U1194" s="28"/>
    </row>
    <row r="1195" ht="15.75" customHeight="1">
      <c r="A1195" s="189"/>
      <c r="B1195" s="22"/>
      <c r="C1195" s="22"/>
      <c r="D1195" s="22"/>
      <c r="E1195" s="22"/>
      <c r="F1195" s="22"/>
      <c r="G1195" s="22"/>
      <c r="H1195" s="22"/>
      <c r="I1195" s="24"/>
      <c r="J1195" s="24"/>
      <c r="K1195" s="24"/>
      <c r="L1195" s="24"/>
      <c r="M1195" s="26"/>
      <c r="N1195" s="26"/>
      <c r="O1195" s="26"/>
      <c r="P1195" s="27"/>
      <c r="Q1195" s="27"/>
      <c r="R1195" s="27"/>
      <c r="S1195" s="22"/>
      <c r="T1195" s="22"/>
      <c r="U1195" s="28"/>
    </row>
    <row r="1196" ht="15.75" customHeight="1">
      <c r="A1196" s="189"/>
      <c r="B1196" s="22"/>
      <c r="C1196" s="22"/>
      <c r="D1196" s="22"/>
      <c r="E1196" s="22"/>
      <c r="F1196" s="22"/>
      <c r="G1196" s="22"/>
      <c r="H1196" s="22"/>
      <c r="I1196" s="24"/>
      <c r="J1196" s="24"/>
      <c r="K1196" s="24"/>
      <c r="L1196" s="24"/>
      <c r="M1196" s="26"/>
      <c r="N1196" s="26"/>
      <c r="O1196" s="26"/>
      <c r="P1196" s="27"/>
      <c r="Q1196" s="27"/>
      <c r="R1196" s="27"/>
      <c r="S1196" s="22"/>
      <c r="T1196" s="22"/>
      <c r="U1196" s="28"/>
    </row>
    <row r="1197" ht="15.75" customHeight="1">
      <c r="A1197" s="189"/>
      <c r="B1197" s="22"/>
      <c r="C1197" s="22"/>
      <c r="D1197" s="22"/>
      <c r="E1197" s="22"/>
      <c r="F1197" s="22"/>
      <c r="G1197" s="22"/>
      <c r="H1197" s="22"/>
      <c r="I1197" s="24"/>
      <c r="J1197" s="24"/>
      <c r="K1197" s="24"/>
      <c r="L1197" s="24"/>
      <c r="M1197" s="26"/>
      <c r="N1197" s="26"/>
      <c r="O1197" s="26"/>
      <c r="P1197" s="27"/>
      <c r="Q1197" s="27"/>
      <c r="R1197" s="27"/>
      <c r="S1197" s="22"/>
      <c r="T1197" s="22"/>
      <c r="U1197" s="28"/>
    </row>
    <row r="1198" ht="15.75" customHeight="1">
      <c r="A1198" s="189"/>
      <c r="B1198" s="22"/>
      <c r="C1198" s="22"/>
      <c r="D1198" s="22"/>
      <c r="E1198" s="22"/>
      <c r="F1198" s="22"/>
      <c r="G1198" s="22"/>
      <c r="H1198" s="22"/>
      <c r="I1198" s="24"/>
      <c r="J1198" s="24"/>
      <c r="K1198" s="24"/>
      <c r="L1198" s="24"/>
      <c r="M1198" s="26"/>
      <c r="N1198" s="26"/>
      <c r="O1198" s="26"/>
      <c r="P1198" s="27"/>
      <c r="Q1198" s="27"/>
      <c r="R1198" s="27"/>
      <c r="S1198" s="22"/>
      <c r="T1198" s="22"/>
      <c r="U1198" s="28"/>
    </row>
    <row r="1199" ht="15.75" customHeight="1">
      <c r="A1199" s="189"/>
      <c r="B1199" s="22"/>
      <c r="C1199" s="22"/>
      <c r="D1199" s="22"/>
      <c r="E1199" s="22"/>
      <c r="F1199" s="22"/>
      <c r="G1199" s="22"/>
      <c r="H1199" s="22"/>
      <c r="I1199" s="24"/>
      <c r="J1199" s="24"/>
      <c r="K1199" s="24"/>
      <c r="L1199" s="24"/>
      <c r="M1199" s="26"/>
      <c r="N1199" s="26"/>
      <c r="O1199" s="26"/>
      <c r="P1199" s="27"/>
      <c r="Q1199" s="27"/>
      <c r="R1199" s="27"/>
      <c r="S1199" s="22"/>
      <c r="T1199" s="22"/>
      <c r="U1199" s="28"/>
    </row>
    <row r="1200" ht="15.75" customHeight="1">
      <c r="A1200" s="189"/>
      <c r="B1200" s="22"/>
      <c r="C1200" s="22"/>
      <c r="D1200" s="22"/>
      <c r="E1200" s="22"/>
      <c r="F1200" s="22"/>
      <c r="G1200" s="22"/>
      <c r="H1200" s="22"/>
      <c r="I1200" s="24"/>
      <c r="J1200" s="24"/>
      <c r="K1200" s="24"/>
      <c r="L1200" s="24"/>
      <c r="M1200" s="26"/>
      <c r="N1200" s="26"/>
      <c r="O1200" s="26"/>
      <c r="P1200" s="27"/>
      <c r="Q1200" s="27"/>
      <c r="R1200" s="27"/>
      <c r="S1200" s="22"/>
      <c r="T1200" s="22"/>
      <c r="U1200" s="28"/>
    </row>
    <row r="1201" ht="15.75" customHeight="1">
      <c r="A1201" s="189"/>
      <c r="B1201" s="22"/>
      <c r="C1201" s="22"/>
      <c r="D1201" s="22"/>
      <c r="E1201" s="22"/>
      <c r="F1201" s="22"/>
      <c r="G1201" s="22"/>
      <c r="H1201" s="22"/>
      <c r="I1201" s="24"/>
      <c r="J1201" s="24"/>
      <c r="K1201" s="24"/>
      <c r="L1201" s="24"/>
      <c r="M1201" s="26"/>
      <c r="N1201" s="26"/>
      <c r="O1201" s="26"/>
      <c r="P1201" s="27"/>
      <c r="Q1201" s="27"/>
      <c r="R1201" s="27"/>
      <c r="S1201" s="22"/>
      <c r="T1201" s="22"/>
      <c r="U1201" s="28"/>
    </row>
    <row r="1202" ht="15.75" customHeight="1">
      <c r="A1202" s="189"/>
      <c r="B1202" s="22"/>
      <c r="C1202" s="22"/>
      <c r="D1202" s="22"/>
      <c r="E1202" s="22"/>
      <c r="F1202" s="22"/>
      <c r="G1202" s="22"/>
      <c r="H1202" s="22"/>
      <c r="I1202" s="24"/>
      <c r="J1202" s="24"/>
      <c r="K1202" s="24"/>
      <c r="L1202" s="24"/>
      <c r="M1202" s="26"/>
      <c r="N1202" s="26"/>
      <c r="O1202" s="26"/>
      <c r="P1202" s="27"/>
      <c r="Q1202" s="27"/>
      <c r="R1202" s="27"/>
      <c r="S1202" s="22"/>
      <c r="T1202" s="22"/>
      <c r="U1202" s="28"/>
    </row>
    <row r="1203" ht="15.75" customHeight="1">
      <c r="A1203" s="189"/>
      <c r="B1203" s="22"/>
      <c r="C1203" s="22"/>
      <c r="D1203" s="22"/>
      <c r="E1203" s="22"/>
      <c r="F1203" s="22"/>
      <c r="G1203" s="22"/>
      <c r="H1203" s="22"/>
      <c r="I1203" s="24"/>
      <c r="J1203" s="24"/>
      <c r="K1203" s="24"/>
      <c r="L1203" s="24"/>
      <c r="M1203" s="26"/>
      <c r="N1203" s="26"/>
      <c r="O1203" s="26"/>
      <c r="P1203" s="27"/>
      <c r="Q1203" s="27"/>
      <c r="R1203" s="27"/>
      <c r="S1203" s="22"/>
      <c r="T1203" s="22"/>
      <c r="U1203" s="28"/>
    </row>
    <row r="1204" ht="15.75" customHeight="1">
      <c r="A1204" s="189"/>
      <c r="B1204" s="22"/>
      <c r="C1204" s="22"/>
      <c r="D1204" s="22"/>
      <c r="E1204" s="22"/>
      <c r="F1204" s="22"/>
      <c r="G1204" s="22"/>
      <c r="H1204" s="22"/>
      <c r="I1204" s="24"/>
      <c r="J1204" s="24"/>
      <c r="K1204" s="24"/>
      <c r="L1204" s="24"/>
      <c r="M1204" s="26"/>
      <c r="N1204" s="26"/>
      <c r="O1204" s="26"/>
      <c r="P1204" s="27"/>
      <c r="Q1204" s="27"/>
      <c r="R1204" s="27"/>
      <c r="S1204" s="22"/>
      <c r="T1204" s="22"/>
      <c r="U1204" s="28"/>
    </row>
    <row r="1205" ht="15.75" customHeight="1">
      <c r="A1205" s="189"/>
      <c r="B1205" s="22"/>
      <c r="C1205" s="22"/>
      <c r="D1205" s="22"/>
      <c r="E1205" s="22"/>
      <c r="F1205" s="22"/>
      <c r="G1205" s="22"/>
      <c r="H1205" s="22"/>
      <c r="I1205" s="24"/>
      <c r="J1205" s="24"/>
      <c r="K1205" s="24"/>
      <c r="L1205" s="24"/>
      <c r="M1205" s="26"/>
      <c r="N1205" s="26"/>
      <c r="O1205" s="26"/>
      <c r="P1205" s="27"/>
      <c r="Q1205" s="27"/>
      <c r="R1205" s="27"/>
      <c r="S1205" s="22"/>
      <c r="T1205" s="22"/>
      <c r="U1205" s="28"/>
    </row>
    <row r="1206" ht="15.75" customHeight="1">
      <c r="A1206" s="189"/>
      <c r="B1206" s="22"/>
      <c r="C1206" s="22"/>
      <c r="D1206" s="22"/>
      <c r="E1206" s="22"/>
      <c r="F1206" s="22"/>
      <c r="G1206" s="22"/>
      <c r="H1206" s="22"/>
      <c r="I1206" s="24"/>
      <c r="J1206" s="24"/>
      <c r="K1206" s="24"/>
      <c r="L1206" s="24"/>
      <c r="M1206" s="26"/>
      <c r="N1206" s="26"/>
      <c r="O1206" s="26"/>
      <c r="P1206" s="27"/>
      <c r="Q1206" s="27"/>
      <c r="R1206" s="27"/>
      <c r="S1206" s="22"/>
      <c r="T1206" s="22"/>
      <c r="U1206" s="28"/>
    </row>
    <row r="1207" ht="15.75" customHeight="1">
      <c r="A1207" s="189"/>
      <c r="B1207" s="22"/>
      <c r="C1207" s="22"/>
      <c r="D1207" s="22"/>
      <c r="E1207" s="22"/>
      <c r="F1207" s="22"/>
      <c r="G1207" s="22"/>
      <c r="H1207" s="22"/>
      <c r="I1207" s="24"/>
      <c r="J1207" s="24"/>
      <c r="K1207" s="24"/>
      <c r="L1207" s="24"/>
      <c r="M1207" s="26"/>
      <c r="N1207" s="26"/>
      <c r="O1207" s="26"/>
      <c r="P1207" s="27"/>
      <c r="Q1207" s="27"/>
      <c r="R1207" s="27"/>
      <c r="S1207" s="22"/>
      <c r="T1207" s="22"/>
      <c r="U1207" s="28"/>
    </row>
    <row r="1208" ht="15.75" customHeight="1">
      <c r="A1208" s="189"/>
      <c r="B1208" s="22"/>
      <c r="C1208" s="22"/>
      <c r="D1208" s="22"/>
      <c r="E1208" s="22"/>
      <c r="F1208" s="22"/>
      <c r="G1208" s="22"/>
      <c r="H1208" s="22"/>
      <c r="I1208" s="24"/>
      <c r="J1208" s="24"/>
      <c r="K1208" s="24"/>
      <c r="L1208" s="24"/>
      <c r="M1208" s="26"/>
      <c r="N1208" s="26"/>
      <c r="O1208" s="26"/>
      <c r="P1208" s="27"/>
      <c r="Q1208" s="27"/>
      <c r="R1208" s="27"/>
      <c r="S1208" s="22"/>
      <c r="T1208" s="22"/>
      <c r="U1208" s="28"/>
    </row>
    <row r="1209" ht="15.75" customHeight="1">
      <c r="A1209" s="189"/>
      <c r="B1209" s="22"/>
      <c r="C1209" s="22"/>
      <c r="D1209" s="22"/>
      <c r="E1209" s="22"/>
      <c r="F1209" s="22"/>
      <c r="G1209" s="22"/>
      <c r="H1209" s="22"/>
      <c r="I1209" s="24"/>
      <c r="J1209" s="24"/>
      <c r="K1209" s="24"/>
      <c r="L1209" s="24"/>
      <c r="M1209" s="26"/>
      <c r="N1209" s="26"/>
      <c r="O1209" s="26"/>
      <c r="P1209" s="27"/>
      <c r="Q1209" s="27"/>
      <c r="R1209" s="27"/>
      <c r="S1209" s="22"/>
      <c r="T1209" s="22"/>
      <c r="U1209" s="28"/>
    </row>
    <row r="1210" ht="15.75" customHeight="1">
      <c r="A1210" s="189"/>
      <c r="B1210" s="22"/>
      <c r="C1210" s="22"/>
      <c r="D1210" s="22"/>
      <c r="E1210" s="22"/>
      <c r="F1210" s="22"/>
      <c r="G1210" s="22"/>
      <c r="H1210" s="22"/>
      <c r="I1210" s="24"/>
      <c r="J1210" s="24"/>
      <c r="K1210" s="24"/>
      <c r="L1210" s="24"/>
      <c r="M1210" s="26"/>
      <c r="N1210" s="26"/>
      <c r="O1210" s="26"/>
      <c r="P1210" s="27"/>
      <c r="Q1210" s="27"/>
      <c r="R1210" s="27"/>
      <c r="S1210" s="22"/>
      <c r="T1210" s="22"/>
      <c r="U1210" s="28"/>
    </row>
    <row r="1211" ht="15.75" customHeight="1">
      <c r="A1211" s="189"/>
      <c r="B1211" s="22"/>
      <c r="C1211" s="22"/>
      <c r="D1211" s="22"/>
      <c r="E1211" s="22"/>
      <c r="F1211" s="22"/>
      <c r="G1211" s="22"/>
      <c r="H1211" s="22"/>
      <c r="I1211" s="24"/>
      <c r="J1211" s="24"/>
      <c r="K1211" s="24"/>
      <c r="L1211" s="24"/>
      <c r="M1211" s="26"/>
      <c r="N1211" s="26"/>
      <c r="O1211" s="26"/>
      <c r="P1211" s="27"/>
      <c r="Q1211" s="27"/>
      <c r="R1211" s="27"/>
      <c r="S1211" s="22"/>
      <c r="T1211" s="22"/>
      <c r="U1211" s="28"/>
    </row>
    <row r="1212" ht="15.75" customHeight="1">
      <c r="A1212" s="189"/>
      <c r="B1212" s="22"/>
      <c r="C1212" s="22"/>
      <c r="D1212" s="22"/>
      <c r="E1212" s="22"/>
      <c r="F1212" s="22"/>
      <c r="G1212" s="22"/>
      <c r="H1212" s="22"/>
      <c r="I1212" s="24"/>
      <c r="J1212" s="24"/>
      <c r="K1212" s="24"/>
      <c r="L1212" s="24"/>
      <c r="M1212" s="26"/>
      <c r="N1212" s="26"/>
      <c r="O1212" s="26"/>
      <c r="P1212" s="27"/>
      <c r="Q1212" s="27"/>
      <c r="R1212" s="27"/>
      <c r="S1212" s="22"/>
      <c r="T1212" s="22"/>
      <c r="U1212" s="28"/>
    </row>
    <row r="1213" ht="15.75" customHeight="1">
      <c r="A1213" s="189"/>
      <c r="B1213" s="22"/>
      <c r="C1213" s="22"/>
      <c r="D1213" s="22"/>
      <c r="E1213" s="22"/>
      <c r="F1213" s="22"/>
      <c r="G1213" s="22"/>
      <c r="H1213" s="22"/>
      <c r="I1213" s="24"/>
      <c r="J1213" s="24"/>
      <c r="K1213" s="24"/>
      <c r="L1213" s="24"/>
      <c r="M1213" s="26"/>
      <c r="N1213" s="26"/>
      <c r="O1213" s="26"/>
      <c r="P1213" s="27"/>
      <c r="Q1213" s="27"/>
      <c r="R1213" s="27"/>
      <c r="S1213" s="22"/>
      <c r="T1213" s="22"/>
      <c r="U1213" s="28"/>
    </row>
    <row r="1214" ht="15.75" customHeight="1">
      <c r="A1214" s="189"/>
      <c r="B1214" s="22"/>
      <c r="C1214" s="22"/>
      <c r="D1214" s="22"/>
      <c r="E1214" s="22"/>
      <c r="F1214" s="22"/>
      <c r="G1214" s="22"/>
      <c r="H1214" s="22"/>
      <c r="I1214" s="24"/>
      <c r="J1214" s="24"/>
      <c r="K1214" s="24"/>
      <c r="L1214" s="24"/>
      <c r="M1214" s="26"/>
      <c r="N1214" s="26"/>
      <c r="O1214" s="26"/>
      <c r="P1214" s="27"/>
      <c r="Q1214" s="27"/>
      <c r="R1214" s="27"/>
      <c r="S1214" s="22"/>
      <c r="T1214" s="22"/>
      <c r="U1214" s="28"/>
    </row>
    <row r="1215" ht="15.75" customHeight="1">
      <c r="A1215" s="189"/>
      <c r="B1215" s="22"/>
      <c r="C1215" s="22"/>
      <c r="D1215" s="22"/>
      <c r="E1215" s="22"/>
      <c r="F1215" s="22"/>
      <c r="G1215" s="22"/>
      <c r="H1215" s="22"/>
      <c r="I1215" s="24"/>
      <c r="J1215" s="24"/>
      <c r="K1215" s="24"/>
      <c r="L1215" s="24"/>
      <c r="M1215" s="26"/>
      <c r="N1215" s="26"/>
      <c r="O1215" s="26"/>
      <c r="P1215" s="27"/>
      <c r="Q1215" s="27"/>
      <c r="R1215" s="27"/>
      <c r="S1215" s="22"/>
      <c r="T1215" s="22"/>
      <c r="U1215" s="28"/>
    </row>
    <row r="1216" ht="15.75" customHeight="1">
      <c r="A1216" s="189"/>
      <c r="B1216" s="22"/>
      <c r="C1216" s="22"/>
      <c r="D1216" s="22"/>
      <c r="E1216" s="22"/>
      <c r="F1216" s="22"/>
      <c r="G1216" s="22"/>
      <c r="H1216" s="22"/>
      <c r="I1216" s="24"/>
      <c r="J1216" s="24"/>
      <c r="K1216" s="24"/>
      <c r="L1216" s="24"/>
      <c r="M1216" s="26"/>
      <c r="N1216" s="26"/>
      <c r="O1216" s="26"/>
      <c r="P1216" s="27"/>
      <c r="Q1216" s="27"/>
      <c r="R1216" s="27"/>
      <c r="S1216" s="22"/>
      <c r="T1216" s="22"/>
      <c r="U1216" s="28"/>
    </row>
    <row r="1217" ht="15.75" customHeight="1">
      <c r="A1217" s="189"/>
      <c r="B1217" s="22"/>
      <c r="C1217" s="22"/>
      <c r="D1217" s="22"/>
      <c r="E1217" s="22"/>
      <c r="F1217" s="22"/>
      <c r="G1217" s="22"/>
      <c r="H1217" s="22"/>
      <c r="I1217" s="24"/>
      <c r="J1217" s="24"/>
      <c r="K1217" s="24"/>
      <c r="L1217" s="24"/>
      <c r="M1217" s="26"/>
      <c r="N1217" s="26"/>
      <c r="O1217" s="26"/>
      <c r="P1217" s="27"/>
      <c r="Q1217" s="27"/>
      <c r="R1217" s="27"/>
      <c r="S1217" s="22"/>
      <c r="T1217" s="22"/>
      <c r="U1217" s="28"/>
    </row>
    <row r="1218" ht="15.75" customHeight="1">
      <c r="A1218" s="189"/>
      <c r="B1218" s="22"/>
      <c r="C1218" s="22"/>
      <c r="D1218" s="22"/>
      <c r="E1218" s="22"/>
      <c r="F1218" s="22"/>
      <c r="G1218" s="22"/>
      <c r="H1218" s="22"/>
      <c r="I1218" s="24"/>
      <c r="J1218" s="24"/>
      <c r="K1218" s="24"/>
      <c r="L1218" s="24"/>
      <c r="M1218" s="26"/>
      <c r="N1218" s="26"/>
      <c r="O1218" s="26"/>
      <c r="P1218" s="27"/>
      <c r="Q1218" s="27"/>
      <c r="R1218" s="27"/>
      <c r="S1218" s="22"/>
      <c r="T1218" s="22"/>
      <c r="U1218" s="28"/>
    </row>
    <row r="1219" ht="15.75" customHeight="1">
      <c r="A1219" s="189"/>
      <c r="B1219" s="22"/>
      <c r="C1219" s="22"/>
      <c r="D1219" s="22"/>
      <c r="E1219" s="22"/>
      <c r="F1219" s="22"/>
      <c r="G1219" s="22"/>
      <c r="H1219" s="22"/>
      <c r="I1219" s="24"/>
      <c r="J1219" s="24"/>
      <c r="K1219" s="24"/>
      <c r="L1219" s="24"/>
      <c r="M1219" s="26"/>
      <c r="N1219" s="26"/>
      <c r="O1219" s="26"/>
      <c r="P1219" s="27"/>
      <c r="Q1219" s="27"/>
      <c r="R1219" s="27"/>
      <c r="S1219" s="22"/>
      <c r="T1219" s="22"/>
      <c r="U1219" s="28"/>
    </row>
    <row r="1220" ht="15.75" customHeight="1">
      <c r="A1220" s="189"/>
      <c r="B1220" s="22"/>
      <c r="C1220" s="22"/>
      <c r="D1220" s="22"/>
      <c r="E1220" s="22"/>
      <c r="F1220" s="22"/>
      <c r="G1220" s="22"/>
      <c r="H1220" s="22"/>
      <c r="I1220" s="24"/>
      <c r="J1220" s="24"/>
      <c r="K1220" s="24"/>
      <c r="L1220" s="24"/>
      <c r="M1220" s="26"/>
      <c r="N1220" s="26"/>
      <c r="O1220" s="26"/>
      <c r="P1220" s="27"/>
      <c r="Q1220" s="27"/>
      <c r="R1220" s="27"/>
      <c r="S1220" s="22"/>
      <c r="T1220" s="22"/>
      <c r="U1220" s="28"/>
    </row>
    <row r="1221" ht="15.75" customHeight="1">
      <c r="A1221" s="189"/>
      <c r="B1221" s="22"/>
      <c r="C1221" s="22"/>
      <c r="D1221" s="22"/>
      <c r="E1221" s="22"/>
      <c r="F1221" s="22"/>
      <c r="G1221" s="22"/>
      <c r="H1221" s="22"/>
      <c r="I1221" s="24"/>
      <c r="J1221" s="24"/>
      <c r="K1221" s="24"/>
      <c r="L1221" s="24"/>
      <c r="M1221" s="26"/>
      <c r="N1221" s="26"/>
      <c r="O1221" s="26"/>
      <c r="P1221" s="27"/>
      <c r="Q1221" s="27"/>
      <c r="R1221" s="27"/>
      <c r="S1221" s="22"/>
      <c r="T1221" s="22"/>
      <c r="U1221" s="28"/>
    </row>
    <row r="1222" ht="15.75" customHeight="1">
      <c r="A1222" s="189"/>
      <c r="B1222" s="22"/>
      <c r="C1222" s="22"/>
      <c r="D1222" s="22"/>
      <c r="E1222" s="22"/>
      <c r="F1222" s="22"/>
      <c r="G1222" s="22"/>
      <c r="H1222" s="22"/>
      <c r="I1222" s="24"/>
      <c r="J1222" s="24"/>
      <c r="K1222" s="24"/>
      <c r="L1222" s="24"/>
      <c r="M1222" s="26"/>
      <c r="N1222" s="26"/>
      <c r="O1222" s="26"/>
      <c r="P1222" s="27"/>
      <c r="Q1222" s="27"/>
      <c r="R1222" s="27"/>
      <c r="S1222" s="22"/>
      <c r="T1222" s="22"/>
      <c r="U1222" s="28"/>
    </row>
    <row r="1223" ht="15.75" customHeight="1">
      <c r="A1223" s="189"/>
      <c r="B1223" s="22"/>
      <c r="C1223" s="22"/>
      <c r="D1223" s="22"/>
      <c r="E1223" s="22"/>
      <c r="F1223" s="22"/>
      <c r="G1223" s="22"/>
      <c r="H1223" s="22"/>
      <c r="I1223" s="24"/>
      <c r="J1223" s="24"/>
      <c r="K1223" s="24"/>
      <c r="L1223" s="24"/>
      <c r="M1223" s="26"/>
      <c r="N1223" s="26"/>
      <c r="O1223" s="26"/>
      <c r="P1223" s="27"/>
      <c r="Q1223" s="27"/>
      <c r="R1223" s="27"/>
      <c r="S1223" s="22"/>
      <c r="T1223" s="22"/>
      <c r="U1223" s="28"/>
    </row>
    <row r="1224" ht="15.75" customHeight="1">
      <c r="A1224" s="189"/>
      <c r="B1224" s="22"/>
      <c r="C1224" s="22"/>
      <c r="D1224" s="22"/>
      <c r="E1224" s="22"/>
      <c r="F1224" s="22"/>
      <c r="G1224" s="22"/>
      <c r="H1224" s="22"/>
      <c r="I1224" s="24"/>
      <c r="J1224" s="24"/>
      <c r="K1224" s="24"/>
      <c r="L1224" s="24"/>
      <c r="M1224" s="26"/>
      <c r="N1224" s="26"/>
      <c r="O1224" s="26"/>
      <c r="P1224" s="27"/>
      <c r="Q1224" s="27"/>
      <c r="R1224" s="27"/>
      <c r="S1224" s="22"/>
      <c r="T1224" s="22"/>
      <c r="U1224" s="28"/>
    </row>
    <row r="1225" ht="15.75" customHeight="1">
      <c r="A1225" s="189"/>
      <c r="B1225" s="22"/>
      <c r="C1225" s="22"/>
      <c r="D1225" s="22"/>
      <c r="E1225" s="22"/>
      <c r="F1225" s="22"/>
      <c r="G1225" s="22"/>
      <c r="H1225" s="22"/>
      <c r="I1225" s="24"/>
      <c r="J1225" s="24"/>
      <c r="K1225" s="24"/>
      <c r="L1225" s="24"/>
      <c r="M1225" s="26"/>
      <c r="N1225" s="26"/>
      <c r="O1225" s="26"/>
      <c r="P1225" s="27"/>
      <c r="Q1225" s="27"/>
      <c r="R1225" s="27"/>
      <c r="S1225" s="22"/>
      <c r="T1225" s="22"/>
      <c r="U1225" s="28"/>
    </row>
    <row r="1226" ht="15.75" customHeight="1">
      <c r="A1226" s="189"/>
      <c r="B1226" s="22"/>
      <c r="C1226" s="22"/>
      <c r="D1226" s="22"/>
      <c r="E1226" s="22"/>
      <c r="F1226" s="22"/>
      <c r="G1226" s="22"/>
      <c r="H1226" s="22"/>
      <c r="I1226" s="24"/>
      <c r="J1226" s="24"/>
      <c r="K1226" s="24"/>
      <c r="L1226" s="24"/>
      <c r="M1226" s="26"/>
      <c r="N1226" s="26"/>
      <c r="O1226" s="26"/>
      <c r="P1226" s="27"/>
      <c r="Q1226" s="27"/>
      <c r="R1226" s="27"/>
      <c r="S1226" s="22"/>
      <c r="T1226" s="22"/>
      <c r="U1226" s="28"/>
    </row>
    <row r="1227" ht="15.75" customHeight="1">
      <c r="A1227" s="189"/>
      <c r="B1227" s="22"/>
      <c r="C1227" s="22"/>
      <c r="D1227" s="22"/>
      <c r="E1227" s="22"/>
      <c r="F1227" s="22"/>
      <c r="G1227" s="22"/>
      <c r="H1227" s="22"/>
      <c r="I1227" s="24"/>
      <c r="J1227" s="24"/>
      <c r="K1227" s="24"/>
      <c r="L1227" s="24"/>
      <c r="M1227" s="26"/>
      <c r="N1227" s="26"/>
      <c r="O1227" s="26"/>
      <c r="P1227" s="27"/>
      <c r="Q1227" s="27"/>
      <c r="R1227" s="27"/>
      <c r="S1227" s="22"/>
      <c r="T1227" s="22"/>
      <c r="U1227" s="28"/>
    </row>
    <row r="1228" ht="15.75" customHeight="1">
      <c r="A1228" s="189"/>
      <c r="B1228" s="22"/>
      <c r="C1228" s="22"/>
      <c r="D1228" s="22"/>
      <c r="E1228" s="22"/>
      <c r="F1228" s="22"/>
      <c r="G1228" s="22"/>
      <c r="H1228" s="22"/>
      <c r="I1228" s="24"/>
      <c r="J1228" s="24"/>
      <c r="K1228" s="24"/>
      <c r="L1228" s="24"/>
      <c r="M1228" s="26"/>
      <c r="N1228" s="26"/>
      <c r="O1228" s="26"/>
      <c r="P1228" s="27"/>
      <c r="Q1228" s="27"/>
      <c r="R1228" s="27"/>
      <c r="S1228" s="22"/>
      <c r="T1228" s="22"/>
      <c r="U1228" s="28"/>
    </row>
    <row r="1229" ht="15.75" customHeight="1">
      <c r="A1229" s="189"/>
      <c r="B1229" s="22"/>
      <c r="C1229" s="22"/>
      <c r="D1229" s="22"/>
      <c r="E1229" s="22"/>
      <c r="F1229" s="22"/>
      <c r="G1229" s="22"/>
      <c r="H1229" s="22"/>
      <c r="I1229" s="24"/>
      <c r="J1229" s="24"/>
      <c r="K1229" s="24"/>
      <c r="L1229" s="24"/>
      <c r="M1229" s="26"/>
      <c r="N1229" s="26"/>
      <c r="O1229" s="26"/>
      <c r="P1229" s="27"/>
      <c r="Q1229" s="27"/>
      <c r="R1229" s="27"/>
      <c r="S1229" s="22"/>
      <c r="T1229" s="22"/>
      <c r="U1229" s="28"/>
    </row>
    <row r="1230" ht="15.75" customHeight="1">
      <c r="A1230" s="189"/>
      <c r="B1230" s="22"/>
      <c r="C1230" s="22"/>
      <c r="D1230" s="22"/>
      <c r="E1230" s="22"/>
      <c r="F1230" s="22"/>
      <c r="G1230" s="22"/>
      <c r="H1230" s="22"/>
      <c r="I1230" s="24"/>
      <c r="J1230" s="24"/>
      <c r="K1230" s="24"/>
      <c r="L1230" s="24"/>
      <c r="M1230" s="26"/>
      <c r="N1230" s="26"/>
      <c r="O1230" s="26"/>
      <c r="P1230" s="27"/>
      <c r="Q1230" s="27"/>
      <c r="R1230" s="27"/>
      <c r="S1230" s="22"/>
      <c r="T1230" s="22"/>
      <c r="U1230" s="28"/>
    </row>
    <row r="1231" ht="15.75" customHeight="1">
      <c r="A1231" s="189"/>
      <c r="B1231" s="22"/>
      <c r="C1231" s="22"/>
      <c r="D1231" s="22"/>
      <c r="E1231" s="22"/>
      <c r="F1231" s="22"/>
      <c r="G1231" s="22"/>
      <c r="H1231" s="22"/>
      <c r="I1231" s="24"/>
      <c r="J1231" s="24"/>
      <c r="K1231" s="24"/>
      <c r="L1231" s="24"/>
      <c r="M1231" s="26"/>
      <c r="N1231" s="26"/>
      <c r="O1231" s="26"/>
      <c r="P1231" s="27"/>
      <c r="Q1231" s="27"/>
      <c r="R1231" s="27"/>
      <c r="S1231" s="22"/>
      <c r="T1231" s="22"/>
      <c r="U1231" s="28"/>
    </row>
    <row r="1232" ht="15.75" customHeight="1">
      <c r="A1232" s="189"/>
      <c r="B1232" s="22"/>
      <c r="C1232" s="22"/>
      <c r="D1232" s="22"/>
      <c r="E1232" s="22"/>
      <c r="F1232" s="22"/>
      <c r="G1232" s="22"/>
      <c r="H1232" s="22"/>
      <c r="I1232" s="24"/>
      <c r="J1232" s="24"/>
      <c r="K1232" s="24"/>
      <c r="L1232" s="24"/>
      <c r="M1232" s="26"/>
      <c r="N1232" s="26"/>
      <c r="O1232" s="26"/>
      <c r="P1232" s="27"/>
      <c r="Q1232" s="27"/>
      <c r="R1232" s="27"/>
      <c r="S1232" s="22"/>
      <c r="T1232" s="22"/>
      <c r="U1232" s="28"/>
    </row>
    <row r="1233" ht="15.75" customHeight="1">
      <c r="A1233" s="189"/>
      <c r="B1233" s="22"/>
      <c r="C1233" s="22"/>
      <c r="D1233" s="22"/>
      <c r="E1233" s="22"/>
      <c r="F1233" s="22"/>
      <c r="G1233" s="22"/>
      <c r="H1233" s="22"/>
      <c r="I1233" s="24"/>
      <c r="J1233" s="24"/>
      <c r="K1233" s="24"/>
      <c r="L1233" s="24"/>
      <c r="M1233" s="26"/>
      <c r="N1233" s="26"/>
      <c r="O1233" s="26"/>
      <c r="P1233" s="27"/>
      <c r="Q1233" s="27"/>
      <c r="R1233" s="27"/>
      <c r="S1233" s="22"/>
      <c r="T1233" s="22"/>
      <c r="U1233" s="28"/>
    </row>
    <row r="1234" ht="15.75" customHeight="1">
      <c r="A1234" s="189"/>
      <c r="B1234" s="22"/>
      <c r="C1234" s="22"/>
      <c r="D1234" s="22"/>
      <c r="E1234" s="22"/>
      <c r="F1234" s="22"/>
      <c r="G1234" s="22"/>
      <c r="H1234" s="22"/>
      <c r="I1234" s="24"/>
      <c r="J1234" s="24"/>
      <c r="K1234" s="24"/>
      <c r="L1234" s="24"/>
      <c r="M1234" s="26"/>
      <c r="N1234" s="26"/>
      <c r="O1234" s="26"/>
      <c r="P1234" s="27"/>
      <c r="Q1234" s="27"/>
      <c r="R1234" s="27"/>
      <c r="S1234" s="22"/>
      <c r="T1234" s="22"/>
      <c r="U1234" s="28"/>
    </row>
    <row r="1235" ht="15.75" customHeight="1">
      <c r="A1235" s="189"/>
      <c r="B1235" s="22"/>
      <c r="C1235" s="22"/>
      <c r="D1235" s="22"/>
      <c r="E1235" s="22"/>
      <c r="F1235" s="22"/>
      <c r="G1235" s="22"/>
      <c r="H1235" s="22"/>
      <c r="I1235" s="24"/>
      <c r="J1235" s="24"/>
      <c r="K1235" s="24"/>
      <c r="L1235" s="24"/>
      <c r="M1235" s="26"/>
      <c r="N1235" s="26"/>
      <c r="O1235" s="26"/>
      <c r="P1235" s="27"/>
      <c r="Q1235" s="27"/>
      <c r="R1235" s="27"/>
      <c r="S1235" s="22"/>
      <c r="T1235" s="22"/>
      <c r="U1235" s="28"/>
    </row>
    <row r="1236" ht="15.75" customHeight="1">
      <c r="A1236" s="189"/>
      <c r="B1236" s="22"/>
      <c r="C1236" s="22"/>
      <c r="D1236" s="22"/>
      <c r="E1236" s="22"/>
      <c r="F1236" s="22"/>
      <c r="G1236" s="22"/>
      <c r="H1236" s="22"/>
      <c r="I1236" s="24"/>
      <c r="J1236" s="24"/>
      <c r="K1236" s="24"/>
      <c r="L1236" s="24"/>
      <c r="M1236" s="26"/>
      <c r="N1236" s="26"/>
      <c r="O1236" s="26"/>
      <c r="P1236" s="27"/>
      <c r="Q1236" s="27"/>
      <c r="R1236" s="27"/>
      <c r="S1236" s="22"/>
      <c r="T1236" s="22"/>
      <c r="U1236" s="28"/>
    </row>
    <row r="1237" ht="15.75" customHeight="1">
      <c r="A1237" s="189"/>
      <c r="B1237" s="22"/>
      <c r="C1237" s="22"/>
      <c r="D1237" s="22"/>
      <c r="E1237" s="22"/>
      <c r="F1237" s="22"/>
      <c r="G1237" s="22"/>
      <c r="H1237" s="22"/>
      <c r="I1237" s="24"/>
      <c r="J1237" s="24"/>
      <c r="K1237" s="24"/>
      <c r="L1237" s="24"/>
      <c r="M1237" s="26"/>
      <c r="N1237" s="26"/>
      <c r="O1237" s="26"/>
      <c r="P1237" s="27"/>
      <c r="Q1237" s="27"/>
      <c r="R1237" s="27"/>
      <c r="S1237" s="22"/>
      <c r="T1237" s="22"/>
      <c r="U1237" s="28"/>
    </row>
    <row r="1238" ht="15.75" customHeight="1">
      <c r="A1238" s="189"/>
      <c r="B1238" s="22"/>
      <c r="C1238" s="22"/>
      <c r="D1238" s="22"/>
      <c r="E1238" s="22"/>
      <c r="F1238" s="22"/>
      <c r="G1238" s="22"/>
      <c r="H1238" s="22"/>
      <c r="I1238" s="24"/>
      <c r="J1238" s="24"/>
      <c r="K1238" s="24"/>
      <c r="L1238" s="24"/>
      <c r="M1238" s="26"/>
      <c r="N1238" s="26"/>
      <c r="O1238" s="26"/>
      <c r="P1238" s="27"/>
      <c r="Q1238" s="27"/>
      <c r="R1238" s="27"/>
      <c r="S1238" s="22"/>
      <c r="T1238" s="22"/>
      <c r="U1238" s="28"/>
    </row>
    <row r="1239" ht="15.75" customHeight="1">
      <c r="A1239" s="189"/>
      <c r="B1239" s="22"/>
      <c r="C1239" s="22"/>
      <c r="D1239" s="22"/>
      <c r="E1239" s="22"/>
      <c r="F1239" s="22"/>
      <c r="G1239" s="22"/>
      <c r="H1239" s="22"/>
      <c r="I1239" s="24"/>
      <c r="J1239" s="24"/>
      <c r="K1239" s="24"/>
      <c r="L1239" s="24"/>
      <c r="M1239" s="26"/>
      <c r="N1239" s="26"/>
      <c r="O1239" s="26"/>
      <c r="P1239" s="27"/>
      <c r="Q1239" s="27"/>
      <c r="R1239" s="27"/>
      <c r="S1239" s="22"/>
      <c r="T1239" s="22"/>
      <c r="U1239" s="28"/>
    </row>
    <row r="1240" ht="15.75" customHeight="1">
      <c r="A1240" s="189"/>
      <c r="B1240" s="22"/>
      <c r="C1240" s="22"/>
      <c r="D1240" s="22"/>
      <c r="E1240" s="22"/>
      <c r="F1240" s="22"/>
      <c r="G1240" s="22"/>
      <c r="H1240" s="22"/>
      <c r="I1240" s="24"/>
      <c r="J1240" s="24"/>
      <c r="K1240" s="24"/>
      <c r="L1240" s="24"/>
      <c r="M1240" s="26"/>
      <c r="N1240" s="26"/>
      <c r="O1240" s="26"/>
      <c r="P1240" s="27"/>
      <c r="Q1240" s="27"/>
      <c r="R1240" s="27"/>
      <c r="S1240" s="22"/>
      <c r="T1240" s="22"/>
      <c r="U1240" s="28"/>
    </row>
    <row r="1241" ht="15.75" customHeight="1">
      <c r="A1241" s="189"/>
      <c r="B1241" s="22"/>
      <c r="C1241" s="22"/>
      <c r="D1241" s="22"/>
      <c r="E1241" s="22"/>
      <c r="F1241" s="22"/>
      <c r="G1241" s="22"/>
      <c r="H1241" s="22"/>
      <c r="I1241" s="24"/>
      <c r="J1241" s="24"/>
      <c r="K1241" s="24"/>
      <c r="L1241" s="24"/>
      <c r="M1241" s="26"/>
      <c r="N1241" s="26"/>
      <c r="O1241" s="26"/>
      <c r="P1241" s="27"/>
      <c r="Q1241" s="27"/>
      <c r="R1241" s="27"/>
      <c r="S1241" s="22"/>
      <c r="T1241" s="22"/>
      <c r="U1241" s="28"/>
    </row>
    <row r="1242" ht="15.75" customHeight="1">
      <c r="A1242" s="189"/>
      <c r="B1242" s="22"/>
      <c r="C1242" s="22"/>
      <c r="D1242" s="22"/>
      <c r="E1242" s="22"/>
      <c r="F1242" s="22"/>
      <c r="G1242" s="22"/>
      <c r="H1242" s="22"/>
      <c r="I1242" s="24"/>
      <c r="J1242" s="24"/>
      <c r="K1242" s="24"/>
      <c r="L1242" s="24"/>
      <c r="M1242" s="26"/>
      <c r="N1242" s="26"/>
      <c r="O1242" s="26"/>
      <c r="P1242" s="27"/>
      <c r="Q1242" s="27"/>
      <c r="R1242" s="27"/>
      <c r="S1242" s="22"/>
      <c r="T1242" s="22"/>
      <c r="U1242" s="28"/>
    </row>
    <row r="1243" ht="15.75" customHeight="1">
      <c r="A1243" s="189"/>
      <c r="B1243" s="22"/>
      <c r="C1243" s="22"/>
      <c r="D1243" s="22"/>
      <c r="E1243" s="22"/>
      <c r="F1243" s="22"/>
      <c r="G1243" s="22"/>
      <c r="H1243" s="22"/>
      <c r="I1243" s="24"/>
      <c r="J1243" s="24"/>
      <c r="K1243" s="24"/>
      <c r="L1243" s="24"/>
      <c r="M1243" s="26"/>
      <c r="N1243" s="26"/>
      <c r="O1243" s="26"/>
      <c r="P1243" s="27"/>
      <c r="Q1243" s="27"/>
      <c r="R1243" s="27"/>
      <c r="S1243" s="22"/>
      <c r="T1243" s="22"/>
      <c r="U1243" s="28"/>
    </row>
    <row r="1244" ht="15.75" customHeight="1">
      <c r="A1244" s="189"/>
      <c r="B1244" s="22"/>
      <c r="C1244" s="22"/>
      <c r="D1244" s="22"/>
      <c r="E1244" s="22"/>
      <c r="F1244" s="22"/>
      <c r="G1244" s="22"/>
      <c r="H1244" s="22"/>
      <c r="I1244" s="24"/>
      <c r="J1244" s="24"/>
      <c r="K1244" s="24"/>
      <c r="L1244" s="24"/>
      <c r="M1244" s="26"/>
      <c r="N1244" s="26"/>
      <c r="O1244" s="26"/>
      <c r="P1244" s="27"/>
      <c r="Q1244" s="27"/>
      <c r="R1244" s="27"/>
      <c r="S1244" s="22"/>
      <c r="T1244" s="22"/>
      <c r="U1244" s="28"/>
    </row>
    <row r="1245" ht="15.75" customHeight="1">
      <c r="A1245" s="189"/>
      <c r="B1245" s="22"/>
      <c r="C1245" s="22"/>
      <c r="D1245" s="22"/>
      <c r="E1245" s="22"/>
      <c r="F1245" s="22"/>
      <c r="G1245" s="22"/>
      <c r="H1245" s="22"/>
      <c r="I1245" s="24"/>
      <c r="J1245" s="24"/>
      <c r="K1245" s="24"/>
      <c r="L1245" s="24"/>
      <c r="M1245" s="26"/>
      <c r="N1245" s="26"/>
      <c r="O1245" s="26"/>
      <c r="P1245" s="27"/>
      <c r="Q1245" s="27"/>
      <c r="R1245" s="27"/>
      <c r="S1245" s="22"/>
      <c r="T1245" s="22"/>
      <c r="U1245" s="28"/>
    </row>
    <row r="1246" ht="15.75" customHeight="1">
      <c r="A1246" s="189"/>
      <c r="B1246" s="22"/>
      <c r="C1246" s="22"/>
      <c r="D1246" s="22"/>
      <c r="E1246" s="22"/>
      <c r="F1246" s="22"/>
      <c r="G1246" s="22"/>
      <c r="H1246" s="22"/>
      <c r="I1246" s="24"/>
      <c r="J1246" s="24"/>
      <c r="K1246" s="24"/>
      <c r="L1246" s="24"/>
      <c r="M1246" s="26"/>
      <c r="N1246" s="26"/>
      <c r="O1246" s="26"/>
      <c r="P1246" s="27"/>
      <c r="Q1246" s="27"/>
      <c r="R1246" s="27"/>
      <c r="S1246" s="22"/>
      <c r="T1246" s="22"/>
      <c r="U1246" s="28"/>
    </row>
    <row r="1247" ht="15.75" customHeight="1">
      <c r="A1247" s="189"/>
      <c r="B1247" s="22"/>
      <c r="C1247" s="22"/>
      <c r="D1247" s="22"/>
      <c r="E1247" s="22"/>
      <c r="F1247" s="22"/>
      <c r="G1247" s="22"/>
      <c r="H1247" s="22"/>
      <c r="I1247" s="24"/>
      <c r="J1247" s="24"/>
      <c r="K1247" s="24"/>
      <c r="L1247" s="24"/>
      <c r="M1247" s="26"/>
      <c r="N1247" s="26"/>
      <c r="O1247" s="26"/>
      <c r="P1247" s="27"/>
      <c r="Q1247" s="27"/>
      <c r="R1247" s="27"/>
      <c r="S1247" s="22"/>
      <c r="T1247" s="22"/>
      <c r="U1247" s="28"/>
    </row>
    <row r="1248" ht="15.75" customHeight="1">
      <c r="A1248" s="189"/>
      <c r="B1248" s="22"/>
      <c r="C1248" s="22"/>
      <c r="D1248" s="22"/>
      <c r="E1248" s="22"/>
      <c r="F1248" s="22"/>
      <c r="G1248" s="22"/>
      <c r="H1248" s="22"/>
      <c r="I1248" s="24"/>
      <c r="J1248" s="24"/>
      <c r="K1248" s="24"/>
      <c r="L1248" s="24"/>
      <c r="M1248" s="26"/>
      <c r="N1248" s="26"/>
      <c r="O1248" s="26"/>
      <c r="P1248" s="27"/>
      <c r="Q1248" s="27"/>
      <c r="R1248" s="27"/>
      <c r="S1248" s="22"/>
      <c r="T1248" s="22"/>
      <c r="U1248" s="28"/>
    </row>
    <row r="1249" ht="15.75" customHeight="1">
      <c r="A1249" s="189"/>
      <c r="B1249" s="22"/>
      <c r="C1249" s="22"/>
      <c r="D1249" s="22"/>
      <c r="E1249" s="22"/>
      <c r="F1249" s="22"/>
      <c r="G1249" s="22"/>
      <c r="H1249" s="22"/>
      <c r="I1249" s="24"/>
      <c r="J1249" s="24"/>
      <c r="K1249" s="24"/>
      <c r="L1249" s="24"/>
      <c r="M1249" s="26"/>
      <c r="N1249" s="26"/>
      <c r="O1249" s="26"/>
      <c r="P1249" s="27"/>
      <c r="Q1249" s="27"/>
      <c r="R1249" s="27"/>
      <c r="S1249" s="22"/>
      <c r="T1249" s="22"/>
      <c r="U1249" s="28"/>
    </row>
    <row r="1250" ht="15.75" customHeight="1">
      <c r="A1250" s="189"/>
      <c r="B1250" s="22"/>
      <c r="C1250" s="22"/>
      <c r="D1250" s="22"/>
      <c r="E1250" s="22"/>
      <c r="F1250" s="22"/>
      <c r="G1250" s="22"/>
      <c r="H1250" s="22"/>
      <c r="I1250" s="24"/>
      <c r="J1250" s="24"/>
      <c r="K1250" s="24"/>
      <c r="L1250" s="24"/>
      <c r="M1250" s="26"/>
      <c r="N1250" s="26"/>
      <c r="O1250" s="26"/>
      <c r="P1250" s="27"/>
      <c r="Q1250" s="27"/>
      <c r="R1250" s="27"/>
      <c r="S1250" s="22"/>
      <c r="T1250" s="22"/>
      <c r="U1250" s="28"/>
    </row>
    <row r="1251" ht="15.75" customHeight="1">
      <c r="A1251" s="189"/>
      <c r="B1251" s="22"/>
      <c r="C1251" s="22"/>
      <c r="D1251" s="22"/>
      <c r="E1251" s="22"/>
      <c r="F1251" s="22"/>
      <c r="G1251" s="22"/>
      <c r="H1251" s="22"/>
      <c r="I1251" s="24"/>
      <c r="J1251" s="24"/>
      <c r="K1251" s="24"/>
      <c r="L1251" s="24"/>
      <c r="M1251" s="26"/>
      <c r="N1251" s="26"/>
      <c r="O1251" s="26"/>
      <c r="P1251" s="27"/>
      <c r="Q1251" s="27"/>
      <c r="R1251" s="27"/>
      <c r="S1251" s="22"/>
      <c r="T1251" s="22"/>
      <c r="U1251" s="28"/>
    </row>
    <row r="1252" ht="15.75" customHeight="1">
      <c r="A1252" s="189"/>
      <c r="B1252" s="22"/>
      <c r="C1252" s="22"/>
      <c r="D1252" s="22"/>
      <c r="E1252" s="22"/>
      <c r="F1252" s="22"/>
      <c r="G1252" s="22"/>
      <c r="H1252" s="22"/>
      <c r="I1252" s="24"/>
      <c r="J1252" s="24"/>
      <c r="K1252" s="24"/>
      <c r="L1252" s="24"/>
      <c r="M1252" s="26"/>
      <c r="N1252" s="26"/>
      <c r="O1252" s="26"/>
      <c r="P1252" s="27"/>
      <c r="Q1252" s="27"/>
      <c r="R1252" s="27"/>
      <c r="S1252" s="22"/>
      <c r="T1252" s="22"/>
      <c r="U1252" s="28"/>
    </row>
    <row r="1253" ht="15.75" customHeight="1">
      <c r="A1253" s="189"/>
      <c r="B1253" s="22"/>
      <c r="C1253" s="22"/>
      <c r="D1253" s="22"/>
      <c r="E1253" s="22"/>
      <c r="F1253" s="22"/>
      <c r="G1253" s="22"/>
      <c r="H1253" s="22"/>
      <c r="I1253" s="24"/>
      <c r="J1253" s="24"/>
      <c r="K1253" s="24"/>
      <c r="L1253" s="24"/>
      <c r="M1253" s="26"/>
      <c r="N1253" s="26"/>
      <c r="O1253" s="26"/>
      <c r="P1253" s="27"/>
      <c r="Q1253" s="27"/>
      <c r="R1253" s="27"/>
      <c r="S1253" s="22"/>
      <c r="T1253" s="22"/>
      <c r="U1253" s="28"/>
    </row>
    <row r="1254" ht="15.75" customHeight="1">
      <c r="A1254" s="189"/>
      <c r="B1254" s="22"/>
      <c r="C1254" s="22"/>
      <c r="D1254" s="22"/>
      <c r="E1254" s="22"/>
      <c r="F1254" s="22"/>
      <c r="G1254" s="22"/>
      <c r="H1254" s="22"/>
      <c r="I1254" s="24"/>
      <c r="J1254" s="24"/>
      <c r="K1254" s="24"/>
      <c r="L1254" s="24"/>
      <c r="M1254" s="26"/>
      <c r="N1254" s="26"/>
      <c r="O1254" s="26"/>
      <c r="P1254" s="27"/>
      <c r="Q1254" s="27"/>
      <c r="R1254" s="27"/>
      <c r="S1254" s="22"/>
      <c r="T1254" s="22"/>
      <c r="U1254" s="28"/>
    </row>
    <row r="1255" ht="15.75" customHeight="1">
      <c r="A1255" s="189"/>
      <c r="B1255" s="22"/>
      <c r="C1255" s="22"/>
      <c r="D1255" s="22"/>
      <c r="E1255" s="22"/>
      <c r="F1255" s="22"/>
      <c r="G1255" s="22"/>
      <c r="H1255" s="22"/>
      <c r="I1255" s="24"/>
      <c r="J1255" s="24"/>
      <c r="K1255" s="24"/>
      <c r="L1255" s="24"/>
      <c r="M1255" s="26"/>
      <c r="N1255" s="26"/>
      <c r="O1255" s="26"/>
      <c r="P1255" s="27"/>
      <c r="Q1255" s="27"/>
      <c r="R1255" s="27"/>
      <c r="S1255" s="22"/>
      <c r="T1255" s="22"/>
      <c r="U1255" s="28"/>
    </row>
    <row r="1256" ht="15.75" customHeight="1">
      <c r="A1256" s="189"/>
      <c r="B1256" s="22"/>
      <c r="C1256" s="22"/>
      <c r="D1256" s="22"/>
      <c r="E1256" s="22"/>
      <c r="F1256" s="22"/>
      <c r="G1256" s="22"/>
      <c r="H1256" s="22"/>
      <c r="I1256" s="24"/>
      <c r="J1256" s="24"/>
      <c r="K1256" s="24"/>
      <c r="L1256" s="24"/>
      <c r="M1256" s="26"/>
      <c r="N1256" s="26"/>
      <c r="O1256" s="26"/>
      <c r="P1256" s="27"/>
      <c r="Q1256" s="27"/>
      <c r="R1256" s="27"/>
      <c r="S1256" s="22"/>
      <c r="T1256" s="22"/>
      <c r="U1256" s="28"/>
    </row>
    <row r="1257" ht="15.75" customHeight="1">
      <c r="A1257" s="189"/>
      <c r="B1257" s="22"/>
      <c r="C1257" s="22"/>
      <c r="D1257" s="22"/>
      <c r="E1257" s="22"/>
      <c r="F1257" s="22"/>
      <c r="G1257" s="22"/>
      <c r="H1257" s="22"/>
      <c r="I1257" s="24"/>
      <c r="J1257" s="24"/>
      <c r="K1257" s="24"/>
      <c r="L1257" s="24"/>
      <c r="M1257" s="26"/>
      <c r="N1257" s="26"/>
      <c r="O1257" s="26"/>
      <c r="P1257" s="27"/>
      <c r="Q1257" s="27"/>
      <c r="R1257" s="27"/>
      <c r="S1257" s="22"/>
      <c r="T1257" s="22"/>
      <c r="U1257" s="28"/>
    </row>
    <row r="1258" ht="15.75" customHeight="1">
      <c r="A1258" s="189"/>
      <c r="B1258" s="22"/>
      <c r="C1258" s="22"/>
      <c r="D1258" s="22"/>
      <c r="E1258" s="22"/>
      <c r="F1258" s="22"/>
      <c r="G1258" s="22"/>
      <c r="H1258" s="22"/>
      <c r="I1258" s="24"/>
      <c r="J1258" s="24"/>
      <c r="K1258" s="24"/>
      <c r="L1258" s="24"/>
      <c r="M1258" s="26"/>
      <c r="N1258" s="26"/>
      <c r="O1258" s="26"/>
      <c r="P1258" s="27"/>
      <c r="Q1258" s="27"/>
      <c r="R1258" s="27"/>
      <c r="S1258" s="22"/>
      <c r="T1258" s="22"/>
      <c r="U1258" s="28"/>
    </row>
    <row r="1259" ht="15.75" customHeight="1">
      <c r="A1259" s="189"/>
      <c r="B1259" s="22"/>
      <c r="C1259" s="22"/>
      <c r="D1259" s="22"/>
      <c r="E1259" s="22"/>
      <c r="F1259" s="22"/>
      <c r="G1259" s="22"/>
      <c r="H1259" s="22"/>
      <c r="I1259" s="24"/>
      <c r="J1259" s="24"/>
      <c r="K1259" s="24"/>
      <c r="L1259" s="24"/>
      <c r="M1259" s="26"/>
      <c r="N1259" s="26"/>
      <c r="O1259" s="26"/>
      <c r="P1259" s="27"/>
      <c r="Q1259" s="27"/>
      <c r="R1259" s="27"/>
      <c r="S1259" s="22"/>
      <c r="T1259" s="22"/>
      <c r="U1259" s="28"/>
    </row>
    <row r="1260" ht="15.75" customHeight="1">
      <c r="A1260" s="189"/>
      <c r="B1260" s="22"/>
      <c r="C1260" s="22"/>
      <c r="D1260" s="22"/>
      <c r="E1260" s="22"/>
      <c r="F1260" s="22"/>
      <c r="G1260" s="22"/>
      <c r="H1260" s="22"/>
      <c r="I1260" s="24"/>
      <c r="J1260" s="24"/>
      <c r="K1260" s="24"/>
      <c r="L1260" s="24"/>
      <c r="M1260" s="26"/>
      <c r="N1260" s="26"/>
      <c r="O1260" s="26"/>
      <c r="P1260" s="27"/>
      <c r="Q1260" s="27"/>
      <c r="R1260" s="27"/>
      <c r="S1260" s="22"/>
      <c r="T1260" s="22"/>
      <c r="U1260" s="28"/>
    </row>
    <row r="1261" ht="15.75" customHeight="1">
      <c r="A1261" s="189"/>
      <c r="B1261" s="22"/>
      <c r="C1261" s="22"/>
      <c r="D1261" s="22"/>
      <c r="E1261" s="22"/>
      <c r="F1261" s="22"/>
      <c r="G1261" s="22"/>
      <c r="H1261" s="22"/>
      <c r="I1261" s="24"/>
      <c r="J1261" s="24"/>
      <c r="K1261" s="24"/>
      <c r="L1261" s="24"/>
      <c r="M1261" s="26"/>
      <c r="N1261" s="26"/>
      <c r="O1261" s="26"/>
      <c r="P1261" s="27"/>
      <c r="Q1261" s="27"/>
      <c r="R1261" s="27"/>
      <c r="S1261" s="22"/>
      <c r="T1261" s="22"/>
      <c r="U1261" s="28"/>
    </row>
    <row r="1262" ht="15.75" customHeight="1">
      <c r="A1262" s="189"/>
      <c r="B1262" s="22"/>
      <c r="C1262" s="22"/>
      <c r="D1262" s="22"/>
      <c r="E1262" s="22"/>
      <c r="F1262" s="22"/>
      <c r="G1262" s="22"/>
      <c r="H1262" s="22"/>
      <c r="I1262" s="24"/>
      <c r="J1262" s="24"/>
      <c r="K1262" s="24"/>
      <c r="L1262" s="24"/>
      <c r="M1262" s="26"/>
      <c r="N1262" s="26"/>
      <c r="O1262" s="26"/>
      <c r="P1262" s="27"/>
      <c r="Q1262" s="27"/>
      <c r="R1262" s="27"/>
      <c r="S1262" s="22"/>
      <c r="T1262" s="22"/>
      <c r="U1262" s="28"/>
    </row>
    <row r="1263" ht="15.75" customHeight="1">
      <c r="A1263" s="189"/>
      <c r="B1263" s="22"/>
      <c r="C1263" s="22"/>
      <c r="D1263" s="22"/>
      <c r="E1263" s="22"/>
      <c r="F1263" s="22"/>
      <c r="G1263" s="22"/>
      <c r="H1263" s="22"/>
      <c r="I1263" s="24"/>
      <c r="J1263" s="24"/>
      <c r="K1263" s="24"/>
      <c r="L1263" s="24"/>
      <c r="M1263" s="26"/>
      <c r="N1263" s="26"/>
      <c r="O1263" s="26"/>
      <c r="P1263" s="27"/>
      <c r="Q1263" s="27"/>
      <c r="R1263" s="27"/>
      <c r="S1263" s="22"/>
      <c r="T1263" s="22"/>
      <c r="U1263" s="28"/>
    </row>
    <row r="1264" ht="15.75" customHeight="1">
      <c r="A1264" s="189"/>
      <c r="B1264" s="22"/>
      <c r="C1264" s="22"/>
      <c r="D1264" s="22"/>
      <c r="E1264" s="22"/>
      <c r="F1264" s="22"/>
      <c r="G1264" s="22"/>
      <c r="H1264" s="22"/>
      <c r="I1264" s="24"/>
      <c r="J1264" s="24"/>
      <c r="K1264" s="24"/>
      <c r="L1264" s="24"/>
      <c r="M1264" s="26"/>
      <c r="N1264" s="26"/>
      <c r="O1264" s="26"/>
      <c r="P1264" s="27"/>
      <c r="Q1264" s="27"/>
      <c r="R1264" s="27"/>
      <c r="S1264" s="22"/>
      <c r="T1264" s="22"/>
      <c r="U1264" s="28"/>
    </row>
    <row r="1265" ht="15.75" customHeight="1">
      <c r="A1265" s="189"/>
      <c r="B1265" s="22"/>
      <c r="C1265" s="22"/>
      <c r="D1265" s="22"/>
      <c r="E1265" s="22"/>
      <c r="F1265" s="22"/>
      <c r="G1265" s="22"/>
      <c r="H1265" s="22"/>
      <c r="I1265" s="24"/>
      <c r="J1265" s="24"/>
      <c r="K1265" s="24"/>
      <c r="L1265" s="24"/>
      <c r="M1265" s="26"/>
      <c r="N1265" s="26"/>
      <c r="O1265" s="26"/>
      <c r="P1265" s="27"/>
      <c r="Q1265" s="27"/>
      <c r="R1265" s="27"/>
      <c r="S1265" s="22"/>
      <c r="T1265" s="22"/>
      <c r="U1265" s="28"/>
    </row>
    <row r="1266" ht="15.75" customHeight="1">
      <c r="A1266" s="189"/>
      <c r="B1266" s="22"/>
      <c r="C1266" s="22"/>
      <c r="D1266" s="22"/>
      <c r="E1266" s="22"/>
      <c r="F1266" s="22"/>
      <c r="G1266" s="22"/>
      <c r="H1266" s="22"/>
      <c r="I1266" s="24"/>
      <c r="J1266" s="24"/>
      <c r="K1266" s="24"/>
      <c r="L1266" s="24"/>
      <c r="M1266" s="26"/>
      <c r="N1266" s="26"/>
      <c r="O1266" s="26"/>
      <c r="P1266" s="27"/>
      <c r="Q1266" s="27"/>
      <c r="R1266" s="27"/>
      <c r="S1266" s="22"/>
      <c r="T1266" s="22"/>
      <c r="U1266" s="28"/>
    </row>
    <row r="1267" ht="15.75" customHeight="1">
      <c r="A1267" s="189"/>
      <c r="B1267" s="22"/>
      <c r="C1267" s="22"/>
      <c r="D1267" s="22"/>
      <c r="E1267" s="22"/>
      <c r="F1267" s="22"/>
      <c r="G1267" s="22"/>
      <c r="H1267" s="22"/>
      <c r="I1267" s="24"/>
      <c r="J1267" s="24"/>
      <c r="K1267" s="24"/>
      <c r="L1267" s="24"/>
      <c r="M1267" s="26"/>
      <c r="N1267" s="26"/>
      <c r="O1267" s="26"/>
      <c r="P1267" s="27"/>
      <c r="Q1267" s="27"/>
      <c r="R1267" s="27"/>
      <c r="S1267" s="22"/>
      <c r="T1267" s="22"/>
      <c r="U1267" s="28"/>
    </row>
    <row r="1268" ht="15.75" customHeight="1">
      <c r="A1268" s="189"/>
      <c r="B1268" s="22"/>
      <c r="C1268" s="22"/>
      <c r="D1268" s="22"/>
      <c r="E1268" s="22"/>
      <c r="F1268" s="22"/>
      <c r="G1268" s="22"/>
      <c r="H1268" s="22"/>
      <c r="I1268" s="24"/>
      <c r="J1268" s="24"/>
      <c r="K1268" s="24"/>
      <c r="L1268" s="24"/>
      <c r="M1268" s="26"/>
      <c r="N1268" s="26"/>
      <c r="O1268" s="26"/>
      <c r="P1268" s="27"/>
      <c r="Q1268" s="27"/>
      <c r="R1268" s="27"/>
      <c r="S1268" s="22"/>
      <c r="T1268" s="22"/>
      <c r="U1268" s="28"/>
    </row>
    <row r="1269" ht="15.75" customHeight="1">
      <c r="A1269" s="189"/>
      <c r="B1269" s="22"/>
      <c r="C1269" s="22"/>
      <c r="D1269" s="22"/>
      <c r="E1269" s="22"/>
      <c r="F1269" s="22"/>
      <c r="G1269" s="22"/>
      <c r="H1269" s="22"/>
      <c r="I1269" s="24"/>
      <c r="J1269" s="24"/>
      <c r="K1269" s="24"/>
      <c r="L1269" s="24"/>
      <c r="M1269" s="26"/>
      <c r="N1269" s="26"/>
      <c r="O1269" s="26"/>
      <c r="P1269" s="27"/>
      <c r="Q1269" s="27"/>
      <c r="R1269" s="27"/>
      <c r="S1269" s="22"/>
      <c r="T1269" s="22"/>
      <c r="U1269" s="28"/>
    </row>
    <row r="1270" ht="15.75" customHeight="1">
      <c r="A1270" s="189"/>
      <c r="B1270" s="22"/>
      <c r="C1270" s="22"/>
      <c r="D1270" s="22"/>
      <c r="E1270" s="22"/>
      <c r="F1270" s="22"/>
      <c r="G1270" s="22"/>
      <c r="H1270" s="22"/>
      <c r="I1270" s="24"/>
      <c r="J1270" s="24"/>
      <c r="K1270" s="24"/>
      <c r="L1270" s="24"/>
      <c r="M1270" s="26"/>
      <c r="N1270" s="26"/>
      <c r="O1270" s="26"/>
      <c r="P1270" s="27"/>
      <c r="Q1270" s="27"/>
      <c r="R1270" s="27"/>
      <c r="S1270" s="22"/>
      <c r="T1270" s="22"/>
      <c r="U1270" s="28"/>
    </row>
    <row r="1271" ht="15.75" customHeight="1">
      <c r="A1271" s="189"/>
      <c r="B1271" s="22"/>
      <c r="C1271" s="22"/>
      <c r="D1271" s="22"/>
      <c r="E1271" s="22"/>
      <c r="F1271" s="22"/>
      <c r="G1271" s="22"/>
      <c r="H1271" s="22"/>
      <c r="I1271" s="24"/>
      <c r="J1271" s="24"/>
      <c r="K1271" s="24"/>
      <c r="L1271" s="24"/>
      <c r="M1271" s="26"/>
      <c r="N1271" s="26"/>
      <c r="O1271" s="26"/>
      <c r="P1271" s="27"/>
      <c r="Q1271" s="27"/>
      <c r="R1271" s="27"/>
      <c r="S1271" s="22"/>
      <c r="T1271" s="22"/>
      <c r="U1271" s="28"/>
    </row>
    <row r="1272" ht="15.75" customHeight="1">
      <c r="A1272" s="189"/>
      <c r="B1272" s="22"/>
      <c r="C1272" s="22"/>
      <c r="D1272" s="22"/>
      <c r="E1272" s="22"/>
      <c r="F1272" s="22"/>
      <c r="G1272" s="22"/>
      <c r="H1272" s="22"/>
      <c r="I1272" s="24"/>
      <c r="J1272" s="24"/>
      <c r="K1272" s="24"/>
      <c r="L1272" s="24"/>
      <c r="M1272" s="26"/>
      <c r="N1272" s="26"/>
      <c r="O1272" s="26"/>
      <c r="P1272" s="27"/>
      <c r="Q1272" s="27"/>
      <c r="R1272" s="27"/>
      <c r="S1272" s="22"/>
      <c r="T1272" s="22"/>
      <c r="U1272" s="28"/>
    </row>
    <row r="1273" ht="15.75" customHeight="1">
      <c r="A1273" s="189"/>
      <c r="B1273" s="22"/>
      <c r="C1273" s="22"/>
      <c r="D1273" s="22"/>
      <c r="E1273" s="22"/>
      <c r="F1273" s="22"/>
      <c r="G1273" s="22"/>
      <c r="H1273" s="22"/>
      <c r="I1273" s="24"/>
      <c r="J1273" s="24"/>
      <c r="K1273" s="24"/>
      <c r="L1273" s="24"/>
      <c r="M1273" s="26"/>
      <c r="N1273" s="26"/>
      <c r="O1273" s="26"/>
      <c r="P1273" s="27"/>
      <c r="Q1273" s="27"/>
      <c r="R1273" s="27"/>
      <c r="S1273" s="22"/>
      <c r="T1273" s="22"/>
      <c r="U1273" s="28"/>
    </row>
    <row r="1274" ht="15.75" customHeight="1">
      <c r="A1274" s="189"/>
      <c r="B1274" s="22"/>
      <c r="C1274" s="22"/>
      <c r="D1274" s="22"/>
      <c r="E1274" s="22"/>
      <c r="F1274" s="22"/>
      <c r="G1274" s="22"/>
      <c r="H1274" s="22"/>
      <c r="I1274" s="24"/>
      <c r="J1274" s="24"/>
      <c r="K1274" s="24"/>
      <c r="L1274" s="24"/>
      <c r="M1274" s="26"/>
      <c r="N1274" s="26"/>
      <c r="O1274" s="26"/>
      <c r="P1274" s="27"/>
      <c r="Q1274" s="27"/>
      <c r="R1274" s="27"/>
      <c r="S1274" s="22"/>
      <c r="T1274" s="22"/>
      <c r="U1274" s="28"/>
    </row>
    <row r="1275" ht="15.75" customHeight="1">
      <c r="A1275" s="189"/>
      <c r="B1275" s="22"/>
      <c r="C1275" s="22"/>
      <c r="D1275" s="22"/>
      <c r="E1275" s="22"/>
      <c r="F1275" s="22"/>
      <c r="G1275" s="22"/>
      <c r="H1275" s="22"/>
      <c r="I1275" s="24"/>
      <c r="J1275" s="24"/>
      <c r="K1275" s="24"/>
      <c r="L1275" s="24"/>
      <c r="M1275" s="26"/>
      <c r="N1275" s="26"/>
      <c r="O1275" s="26"/>
      <c r="P1275" s="27"/>
      <c r="Q1275" s="27"/>
      <c r="R1275" s="27"/>
      <c r="S1275" s="22"/>
      <c r="T1275" s="22"/>
      <c r="U1275" s="28"/>
    </row>
    <row r="1276" ht="15.75" customHeight="1">
      <c r="A1276" s="189"/>
      <c r="B1276" s="22"/>
      <c r="C1276" s="22"/>
      <c r="D1276" s="22"/>
      <c r="E1276" s="22"/>
      <c r="F1276" s="22"/>
      <c r="G1276" s="22"/>
      <c r="H1276" s="22"/>
      <c r="I1276" s="24"/>
      <c r="J1276" s="24"/>
      <c r="K1276" s="24"/>
      <c r="L1276" s="24"/>
      <c r="M1276" s="26"/>
      <c r="N1276" s="26"/>
      <c r="O1276" s="26"/>
      <c r="P1276" s="27"/>
      <c r="Q1276" s="27"/>
      <c r="R1276" s="27"/>
      <c r="S1276" s="22"/>
      <c r="T1276" s="22"/>
      <c r="U1276" s="28"/>
    </row>
    <row r="1277" ht="15.75" customHeight="1">
      <c r="A1277" s="189"/>
      <c r="B1277" s="22"/>
      <c r="C1277" s="22"/>
      <c r="D1277" s="22"/>
      <c r="E1277" s="22"/>
      <c r="F1277" s="22"/>
      <c r="G1277" s="22"/>
      <c r="H1277" s="22"/>
      <c r="I1277" s="24"/>
      <c r="J1277" s="24"/>
      <c r="K1277" s="24"/>
      <c r="L1277" s="24"/>
      <c r="M1277" s="26"/>
      <c r="N1277" s="26"/>
      <c r="O1277" s="26"/>
      <c r="P1277" s="27"/>
      <c r="Q1277" s="27"/>
      <c r="R1277" s="27"/>
      <c r="S1277" s="22"/>
      <c r="T1277" s="22"/>
      <c r="U1277" s="28"/>
    </row>
    <row r="1278" ht="15.75" customHeight="1">
      <c r="A1278" s="189"/>
      <c r="B1278" s="22"/>
      <c r="C1278" s="22"/>
      <c r="D1278" s="22"/>
      <c r="E1278" s="22"/>
      <c r="F1278" s="22"/>
      <c r="G1278" s="22"/>
      <c r="H1278" s="22"/>
      <c r="I1278" s="24"/>
      <c r="J1278" s="24"/>
      <c r="K1278" s="24"/>
      <c r="L1278" s="24"/>
      <c r="M1278" s="26"/>
      <c r="N1278" s="26"/>
      <c r="O1278" s="26"/>
      <c r="P1278" s="27"/>
      <c r="Q1278" s="27"/>
      <c r="R1278" s="27"/>
      <c r="S1278" s="22"/>
      <c r="T1278" s="22"/>
      <c r="U1278" s="28"/>
    </row>
    <row r="1279" ht="15.75" customHeight="1">
      <c r="A1279" s="189"/>
      <c r="B1279" s="22"/>
      <c r="C1279" s="22"/>
      <c r="D1279" s="22"/>
      <c r="E1279" s="22"/>
      <c r="F1279" s="22"/>
      <c r="G1279" s="22"/>
      <c r="H1279" s="22"/>
      <c r="I1279" s="24"/>
      <c r="J1279" s="24"/>
      <c r="K1279" s="24"/>
      <c r="L1279" s="24"/>
      <c r="M1279" s="26"/>
      <c r="N1279" s="26"/>
      <c r="O1279" s="26"/>
      <c r="P1279" s="27"/>
      <c r="Q1279" s="27"/>
      <c r="R1279" s="27"/>
      <c r="S1279" s="22"/>
      <c r="T1279" s="22"/>
      <c r="U1279" s="28"/>
    </row>
    <row r="1280" ht="15.75" customHeight="1">
      <c r="A1280" s="189"/>
      <c r="B1280" s="22"/>
      <c r="C1280" s="22"/>
      <c r="D1280" s="22"/>
      <c r="E1280" s="22"/>
      <c r="F1280" s="22"/>
      <c r="G1280" s="22"/>
      <c r="H1280" s="22"/>
      <c r="I1280" s="24"/>
      <c r="J1280" s="24"/>
      <c r="K1280" s="24"/>
      <c r="L1280" s="24"/>
      <c r="M1280" s="26"/>
      <c r="N1280" s="26"/>
      <c r="O1280" s="26"/>
      <c r="P1280" s="27"/>
      <c r="Q1280" s="27"/>
      <c r="R1280" s="27"/>
      <c r="S1280" s="22"/>
      <c r="T1280" s="22"/>
      <c r="U1280" s="28"/>
    </row>
    <row r="1281" ht="15.75" customHeight="1">
      <c r="A1281" s="189"/>
      <c r="B1281" s="22"/>
      <c r="C1281" s="22"/>
      <c r="D1281" s="22"/>
      <c r="E1281" s="22"/>
      <c r="F1281" s="22"/>
      <c r="G1281" s="22"/>
      <c r="H1281" s="22"/>
      <c r="I1281" s="24"/>
      <c r="J1281" s="24"/>
      <c r="K1281" s="24"/>
      <c r="L1281" s="24"/>
      <c r="M1281" s="26"/>
      <c r="N1281" s="26"/>
      <c r="O1281" s="26"/>
      <c r="P1281" s="27"/>
      <c r="Q1281" s="27"/>
      <c r="R1281" s="27"/>
      <c r="S1281" s="22"/>
      <c r="T1281" s="22"/>
      <c r="U1281" s="28"/>
    </row>
    <row r="1282" ht="15.75" customHeight="1">
      <c r="A1282" s="189"/>
      <c r="B1282" s="22"/>
      <c r="C1282" s="22"/>
      <c r="D1282" s="22"/>
      <c r="E1282" s="22"/>
      <c r="F1282" s="22"/>
      <c r="G1282" s="22"/>
      <c r="H1282" s="22"/>
      <c r="I1282" s="24"/>
      <c r="J1282" s="24"/>
      <c r="K1282" s="24"/>
      <c r="L1282" s="24"/>
      <c r="M1282" s="26"/>
      <c r="N1282" s="26"/>
      <c r="O1282" s="26"/>
      <c r="P1282" s="27"/>
      <c r="Q1282" s="27"/>
      <c r="R1282" s="27"/>
      <c r="S1282" s="22"/>
      <c r="T1282" s="22"/>
      <c r="U1282" s="28"/>
    </row>
    <row r="1283" ht="15.75" customHeight="1">
      <c r="A1283" s="189"/>
      <c r="B1283" s="22"/>
      <c r="C1283" s="22"/>
      <c r="D1283" s="22"/>
      <c r="E1283" s="22"/>
      <c r="F1283" s="22"/>
      <c r="G1283" s="22"/>
      <c r="H1283" s="22"/>
      <c r="I1283" s="24"/>
      <c r="J1283" s="24"/>
      <c r="K1283" s="24"/>
      <c r="L1283" s="24"/>
      <c r="M1283" s="26"/>
      <c r="N1283" s="26"/>
      <c r="O1283" s="26"/>
      <c r="P1283" s="27"/>
      <c r="Q1283" s="27"/>
      <c r="R1283" s="27"/>
      <c r="S1283" s="22"/>
      <c r="T1283" s="22"/>
      <c r="U1283" s="28"/>
    </row>
    <row r="1284" ht="15.75" customHeight="1">
      <c r="A1284" s="189"/>
      <c r="B1284" s="22"/>
      <c r="C1284" s="22"/>
      <c r="D1284" s="22"/>
      <c r="E1284" s="22"/>
      <c r="F1284" s="22"/>
      <c r="G1284" s="22"/>
      <c r="H1284" s="22"/>
      <c r="I1284" s="24"/>
      <c r="J1284" s="24"/>
      <c r="K1284" s="24"/>
      <c r="L1284" s="24"/>
      <c r="M1284" s="26"/>
      <c r="N1284" s="26"/>
      <c r="O1284" s="26"/>
      <c r="P1284" s="27"/>
      <c r="Q1284" s="27"/>
      <c r="R1284" s="27"/>
      <c r="S1284" s="22"/>
      <c r="T1284" s="22"/>
      <c r="U1284" s="28"/>
    </row>
    <row r="1285" ht="15.75" customHeight="1">
      <c r="A1285" s="189"/>
      <c r="B1285" s="22"/>
      <c r="C1285" s="22"/>
      <c r="D1285" s="22"/>
      <c r="E1285" s="22"/>
      <c r="F1285" s="22"/>
      <c r="G1285" s="22"/>
      <c r="H1285" s="22"/>
      <c r="I1285" s="24"/>
      <c r="J1285" s="24"/>
      <c r="K1285" s="24"/>
      <c r="L1285" s="24"/>
      <c r="M1285" s="26"/>
      <c r="N1285" s="26"/>
      <c r="O1285" s="26"/>
      <c r="P1285" s="27"/>
      <c r="Q1285" s="27"/>
      <c r="R1285" s="27"/>
      <c r="S1285" s="22"/>
      <c r="T1285" s="22"/>
      <c r="U1285" s="28"/>
    </row>
    <row r="1286" ht="15.75" customHeight="1">
      <c r="A1286" s="189"/>
      <c r="B1286" s="22"/>
      <c r="C1286" s="22"/>
      <c r="D1286" s="22"/>
      <c r="E1286" s="22"/>
      <c r="F1286" s="22"/>
      <c r="G1286" s="22"/>
      <c r="H1286" s="22"/>
      <c r="I1286" s="24"/>
      <c r="J1286" s="24"/>
      <c r="K1286" s="24"/>
      <c r="L1286" s="24"/>
      <c r="M1286" s="26"/>
      <c r="N1286" s="26"/>
      <c r="O1286" s="26"/>
      <c r="P1286" s="27"/>
      <c r="Q1286" s="27"/>
      <c r="R1286" s="27"/>
      <c r="S1286" s="22"/>
      <c r="T1286" s="22"/>
      <c r="U1286" s="28"/>
    </row>
    <row r="1287" ht="15.75" customHeight="1">
      <c r="A1287" s="189"/>
      <c r="B1287" s="22"/>
      <c r="C1287" s="22"/>
      <c r="D1287" s="22"/>
      <c r="E1287" s="22"/>
      <c r="F1287" s="22"/>
      <c r="G1287" s="22"/>
      <c r="H1287" s="22"/>
      <c r="I1287" s="24"/>
      <c r="J1287" s="24"/>
      <c r="K1287" s="24"/>
      <c r="L1287" s="24"/>
      <c r="M1287" s="26"/>
      <c r="N1287" s="26"/>
      <c r="O1287" s="26"/>
      <c r="P1287" s="27"/>
      <c r="Q1287" s="27"/>
      <c r="R1287" s="27"/>
      <c r="S1287" s="22"/>
      <c r="T1287" s="22"/>
      <c r="U1287" s="28"/>
    </row>
    <row r="1288" ht="15.75" customHeight="1">
      <c r="A1288" s="189"/>
      <c r="B1288" s="22"/>
      <c r="C1288" s="22"/>
      <c r="D1288" s="22"/>
      <c r="E1288" s="22"/>
      <c r="F1288" s="22"/>
      <c r="G1288" s="22"/>
      <c r="H1288" s="22"/>
      <c r="I1288" s="24"/>
      <c r="J1288" s="24"/>
      <c r="K1288" s="24"/>
      <c r="L1288" s="24"/>
      <c r="M1288" s="26"/>
      <c r="N1288" s="26"/>
      <c r="O1288" s="26"/>
      <c r="P1288" s="27"/>
      <c r="Q1288" s="27"/>
      <c r="R1288" s="27"/>
      <c r="S1288" s="22"/>
      <c r="T1288" s="22"/>
      <c r="U1288" s="28"/>
    </row>
    <row r="1289" ht="15.75" customHeight="1">
      <c r="A1289" s="189"/>
      <c r="B1289" s="22"/>
      <c r="C1289" s="22"/>
      <c r="D1289" s="22"/>
      <c r="E1289" s="22"/>
      <c r="F1289" s="22"/>
      <c r="G1289" s="22"/>
      <c r="H1289" s="22"/>
      <c r="I1289" s="24"/>
      <c r="J1289" s="24"/>
      <c r="K1289" s="24"/>
      <c r="L1289" s="24"/>
      <c r="M1289" s="26"/>
      <c r="N1289" s="26"/>
      <c r="O1289" s="26"/>
      <c r="P1289" s="27"/>
      <c r="Q1289" s="27"/>
      <c r="R1289" s="27"/>
      <c r="S1289" s="22"/>
      <c r="T1289" s="22"/>
      <c r="U1289" s="28"/>
    </row>
    <row r="1290" ht="15.75" customHeight="1">
      <c r="A1290" s="189"/>
      <c r="B1290" s="22"/>
      <c r="C1290" s="22"/>
      <c r="D1290" s="22"/>
      <c r="E1290" s="22"/>
      <c r="F1290" s="22"/>
      <c r="G1290" s="22"/>
      <c r="H1290" s="22"/>
      <c r="I1290" s="24"/>
      <c r="J1290" s="24"/>
      <c r="K1290" s="24"/>
      <c r="L1290" s="24"/>
      <c r="M1290" s="26"/>
      <c r="N1290" s="26"/>
      <c r="O1290" s="26"/>
      <c r="P1290" s="27"/>
      <c r="Q1290" s="27"/>
      <c r="R1290" s="27"/>
      <c r="S1290" s="22"/>
      <c r="T1290" s="22"/>
      <c r="U1290" s="28"/>
    </row>
    <row r="1291" ht="15.75" customHeight="1">
      <c r="A1291" s="189"/>
      <c r="B1291" s="22"/>
      <c r="C1291" s="22"/>
      <c r="D1291" s="22"/>
      <c r="E1291" s="22"/>
      <c r="F1291" s="22"/>
      <c r="G1291" s="22"/>
      <c r="H1291" s="22"/>
      <c r="I1291" s="24"/>
      <c r="J1291" s="24"/>
      <c r="K1291" s="24"/>
      <c r="L1291" s="24"/>
      <c r="M1291" s="26"/>
      <c r="N1291" s="26"/>
      <c r="O1291" s="26"/>
      <c r="P1291" s="27"/>
      <c r="Q1291" s="27"/>
      <c r="R1291" s="27"/>
      <c r="S1291" s="22"/>
      <c r="T1291" s="22"/>
      <c r="U1291" s="28"/>
    </row>
    <row r="1292" ht="15.75" customHeight="1">
      <c r="A1292" s="189"/>
      <c r="B1292" s="22"/>
      <c r="C1292" s="22"/>
      <c r="D1292" s="22"/>
      <c r="E1292" s="22"/>
      <c r="F1292" s="22"/>
      <c r="G1292" s="22"/>
      <c r="H1292" s="22"/>
      <c r="I1292" s="24"/>
      <c r="J1292" s="24"/>
      <c r="K1292" s="24"/>
      <c r="L1292" s="24"/>
      <c r="M1292" s="26"/>
      <c r="N1292" s="26"/>
      <c r="O1292" s="26"/>
      <c r="P1292" s="27"/>
      <c r="Q1292" s="27"/>
      <c r="R1292" s="27"/>
      <c r="S1292" s="22"/>
      <c r="T1292" s="22"/>
      <c r="U1292" s="28"/>
    </row>
    <row r="1293" ht="15.75" customHeight="1">
      <c r="A1293" s="189"/>
      <c r="B1293" s="22"/>
      <c r="C1293" s="22"/>
      <c r="D1293" s="22"/>
      <c r="E1293" s="22"/>
      <c r="F1293" s="22"/>
      <c r="G1293" s="22"/>
      <c r="H1293" s="22"/>
      <c r="I1293" s="24"/>
      <c r="J1293" s="24"/>
      <c r="K1293" s="24"/>
      <c r="L1293" s="24"/>
      <c r="M1293" s="26"/>
      <c r="N1293" s="26"/>
      <c r="O1293" s="26"/>
      <c r="P1293" s="27"/>
      <c r="Q1293" s="27"/>
      <c r="R1293" s="27"/>
      <c r="S1293" s="22"/>
      <c r="T1293" s="22"/>
      <c r="U1293" s="28"/>
    </row>
    <row r="1294" ht="15.75" customHeight="1">
      <c r="A1294" s="189"/>
      <c r="B1294" s="22"/>
      <c r="C1294" s="22"/>
      <c r="D1294" s="22"/>
      <c r="E1294" s="22"/>
      <c r="F1294" s="22"/>
      <c r="G1294" s="22"/>
      <c r="H1294" s="22"/>
      <c r="I1294" s="24"/>
      <c r="J1294" s="24"/>
      <c r="K1294" s="24"/>
      <c r="L1294" s="24"/>
      <c r="M1294" s="26"/>
      <c r="N1294" s="26"/>
      <c r="O1294" s="26"/>
      <c r="P1294" s="27"/>
      <c r="Q1294" s="27"/>
      <c r="R1294" s="27"/>
      <c r="S1294" s="22"/>
      <c r="T1294" s="22"/>
      <c r="U1294" s="28"/>
    </row>
    <row r="1295" ht="15.75" customHeight="1">
      <c r="A1295" s="189"/>
      <c r="B1295" s="22"/>
      <c r="C1295" s="22"/>
      <c r="D1295" s="22"/>
      <c r="E1295" s="22"/>
      <c r="F1295" s="22"/>
      <c r="G1295" s="22"/>
      <c r="H1295" s="22"/>
      <c r="I1295" s="24"/>
      <c r="J1295" s="24"/>
      <c r="K1295" s="24"/>
      <c r="L1295" s="24"/>
      <c r="M1295" s="26"/>
      <c r="N1295" s="26"/>
      <c r="O1295" s="26"/>
      <c r="P1295" s="27"/>
      <c r="Q1295" s="27"/>
      <c r="R1295" s="27"/>
      <c r="S1295" s="22"/>
      <c r="T1295" s="22"/>
      <c r="U1295" s="28"/>
    </row>
    <row r="1296" ht="15.75" customHeight="1">
      <c r="A1296" s="189"/>
      <c r="B1296" s="22"/>
      <c r="C1296" s="22"/>
      <c r="D1296" s="22"/>
      <c r="E1296" s="22"/>
      <c r="F1296" s="22"/>
      <c r="G1296" s="22"/>
      <c r="H1296" s="22"/>
      <c r="I1296" s="24"/>
      <c r="J1296" s="24"/>
      <c r="K1296" s="24"/>
      <c r="L1296" s="24"/>
      <c r="M1296" s="26"/>
      <c r="N1296" s="26"/>
      <c r="O1296" s="26"/>
      <c r="P1296" s="27"/>
      <c r="Q1296" s="27"/>
      <c r="R1296" s="27"/>
      <c r="S1296" s="22"/>
      <c r="T1296" s="22"/>
      <c r="U1296" s="28"/>
    </row>
    <row r="1297" ht="15.75" customHeight="1">
      <c r="A1297" s="189"/>
      <c r="B1297" s="22"/>
      <c r="C1297" s="22"/>
      <c r="D1297" s="22"/>
      <c r="E1297" s="22"/>
      <c r="F1297" s="22"/>
      <c r="G1297" s="22"/>
      <c r="H1297" s="22"/>
      <c r="I1297" s="24"/>
      <c r="J1297" s="24"/>
      <c r="K1297" s="24"/>
      <c r="L1297" s="24"/>
      <c r="M1297" s="26"/>
      <c r="N1297" s="26"/>
      <c r="O1297" s="26"/>
      <c r="P1297" s="27"/>
      <c r="Q1297" s="27"/>
      <c r="R1297" s="27"/>
      <c r="S1297" s="22"/>
      <c r="T1297" s="22"/>
      <c r="U1297" s="28"/>
    </row>
    <row r="1298" ht="15.75" customHeight="1">
      <c r="A1298" s="189"/>
      <c r="B1298" s="22"/>
      <c r="C1298" s="22"/>
      <c r="D1298" s="22"/>
      <c r="E1298" s="22"/>
      <c r="F1298" s="22"/>
      <c r="G1298" s="22"/>
      <c r="H1298" s="22"/>
      <c r="I1298" s="24"/>
      <c r="J1298" s="24"/>
      <c r="K1298" s="24"/>
      <c r="L1298" s="24"/>
      <c r="M1298" s="26"/>
      <c r="N1298" s="26"/>
      <c r="O1298" s="26"/>
      <c r="P1298" s="27"/>
      <c r="Q1298" s="27"/>
      <c r="R1298" s="27"/>
      <c r="S1298" s="22"/>
      <c r="T1298" s="22"/>
      <c r="U1298" s="28"/>
    </row>
    <row r="1299" ht="15.75" customHeight="1">
      <c r="A1299" s="189"/>
      <c r="B1299" s="22"/>
      <c r="C1299" s="22"/>
      <c r="D1299" s="22"/>
      <c r="E1299" s="22"/>
      <c r="F1299" s="22"/>
      <c r="G1299" s="22"/>
      <c r="H1299" s="22"/>
      <c r="I1299" s="24"/>
      <c r="J1299" s="24"/>
      <c r="K1299" s="24"/>
      <c r="L1299" s="24"/>
      <c r="M1299" s="26"/>
      <c r="N1299" s="26"/>
      <c r="O1299" s="26"/>
      <c r="P1299" s="27"/>
      <c r="Q1299" s="27"/>
      <c r="R1299" s="27"/>
      <c r="S1299" s="22"/>
      <c r="T1299" s="22"/>
      <c r="U1299" s="28"/>
    </row>
    <row r="1300" ht="15.75" customHeight="1">
      <c r="A1300" s="189"/>
      <c r="B1300" s="22"/>
      <c r="C1300" s="22"/>
      <c r="D1300" s="22"/>
      <c r="E1300" s="22"/>
      <c r="F1300" s="22"/>
      <c r="G1300" s="22"/>
      <c r="H1300" s="22"/>
      <c r="I1300" s="24"/>
      <c r="J1300" s="24"/>
      <c r="K1300" s="24"/>
      <c r="L1300" s="24"/>
      <c r="M1300" s="26"/>
      <c r="N1300" s="26"/>
      <c r="O1300" s="26"/>
      <c r="P1300" s="27"/>
      <c r="Q1300" s="27"/>
      <c r="R1300" s="27"/>
      <c r="S1300" s="22"/>
      <c r="T1300" s="22"/>
      <c r="U1300" s="28"/>
    </row>
    <row r="1301" ht="15.75" customHeight="1">
      <c r="A1301" s="189"/>
      <c r="B1301" s="22"/>
      <c r="C1301" s="22"/>
      <c r="D1301" s="22"/>
      <c r="E1301" s="22"/>
      <c r="F1301" s="22"/>
      <c r="G1301" s="22"/>
      <c r="H1301" s="22"/>
      <c r="I1301" s="24"/>
      <c r="J1301" s="24"/>
      <c r="K1301" s="24"/>
      <c r="L1301" s="24"/>
      <c r="M1301" s="26"/>
      <c r="N1301" s="26"/>
      <c r="O1301" s="26"/>
      <c r="P1301" s="27"/>
      <c r="Q1301" s="27"/>
      <c r="R1301" s="27"/>
      <c r="S1301" s="22"/>
      <c r="T1301" s="22"/>
      <c r="U1301" s="28"/>
    </row>
    <row r="1302" ht="15.75" customHeight="1">
      <c r="A1302" s="189"/>
      <c r="B1302" s="22"/>
      <c r="C1302" s="22"/>
      <c r="D1302" s="22"/>
      <c r="E1302" s="22"/>
      <c r="F1302" s="22"/>
      <c r="G1302" s="22"/>
      <c r="H1302" s="22"/>
      <c r="I1302" s="24"/>
      <c r="J1302" s="24"/>
      <c r="K1302" s="24"/>
      <c r="L1302" s="24"/>
      <c r="M1302" s="26"/>
      <c r="N1302" s="26"/>
      <c r="O1302" s="26"/>
      <c r="P1302" s="27"/>
      <c r="Q1302" s="27"/>
      <c r="R1302" s="27"/>
      <c r="S1302" s="22"/>
      <c r="T1302" s="22"/>
      <c r="U1302" s="28"/>
    </row>
    <row r="1303" ht="15.75" customHeight="1">
      <c r="A1303" s="189"/>
      <c r="B1303" s="22"/>
      <c r="C1303" s="22"/>
      <c r="D1303" s="22"/>
      <c r="E1303" s="22"/>
      <c r="F1303" s="22"/>
      <c r="G1303" s="22"/>
      <c r="H1303" s="22"/>
      <c r="I1303" s="24"/>
      <c r="J1303" s="24"/>
      <c r="K1303" s="24"/>
      <c r="L1303" s="24"/>
      <c r="M1303" s="26"/>
      <c r="N1303" s="26"/>
      <c r="O1303" s="26"/>
      <c r="P1303" s="27"/>
      <c r="Q1303" s="27"/>
      <c r="R1303" s="27"/>
      <c r="S1303" s="22"/>
      <c r="T1303" s="22"/>
      <c r="U1303" s="28"/>
    </row>
    <row r="1304" ht="15.75" customHeight="1">
      <c r="A1304" s="189"/>
      <c r="B1304" s="22"/>
      <c r="C1304" s="22"/>
      <c r="D1304" s="22"/>
      <c r="E1304" s="22"/>
      <c r="F1304" s="22"/>
      <c r="G1304" s="22"/>
      <c r="H1304" s="22"/>
      <c r="I1304" s="24"/>
      <c r="J1304" s="24"/>
      <c r="K1304" s="24"/>
      <c r="L1304" s="24"/>
      <c r="M1304" s="26"/>
      <c r="N1304" s="26"/>
      <c r="O1304" s="26"/>
      <c r="P1304" s="27"/>
      <c r="Q1304" s="27"/>
      <c r="R1304" s="27"/>
      <c r="S1304" s="22"/>
      <c r="T1304" s="22"/>
      <c r="U1304" s="28"/>
    </row>
    <row r="1305" ht="15.75" customHeight="1">
      <c r="A1305" s="189"/>
      <c r="B1305" s="22"/>
      <c r="C1305" s="22"/>
      <c r="D1305" s="22"/>
      <c r="E1305" s="22"/>
      <c r="F1305" s="22"/>
      <c r="G1305" s="22"/>
      <c r="H1305" s="22"/>
      <c r="I1305" s="24"/>
      <c r="J1305" s="24"/>
      <c r="K1305" s="24"/>
      <c r="L1305" s="24"/>
      <c r="M1305" s="26"/>
      <c r="N1305" s="26"/>
      <c r="O1305" s="26"/>
      <c r="P1305" s="27"/>
      <c r="Q1305" s="27"/>
      <c r="R1305" s="27"/>
      <c r="S1305" s="22"/>
      <c r="T1305" s="22"/>
      <c r="U1305" s="28"/>
    </row>
    <row r="1306" ht="15.75" customHeight="1">
      <c r="A1306" s="189"/>
      <c r="B1306" s="22"/>
      <c r="C1306" s="22"/>
      <c r="D1306" s="22"/>
      <c r="E1306" s="22"/>
      <c r="F1306" s="22"/>
      <c r="G1306" s="22"/>
      <c r="H1306" s="22"/>
      <c r="I1306" s="24"/>
      <c r="J1306" s="24"/>
      <c r="K1306" s="24"/>
      <c r="L1306" s="24"/>
      <c r="M1306" s="26"/>
      <c r="N1306" s="26"/>
      <c r="O1306" s="26"/>
      <c r="P1306" s="27"/>
      <c r="Q1306" s="27"/>
      <c r="R1306" s="27"/>
      <c r="S1306" s="22"/>
      <c r="T1306" s="22"/>
      <c r="U1306" s="28"/>
    </row>
    <row r="1307" ht="15.75" customHeight="1">
      <c r="A1307" s="189"/>
      <c r="B1307" s="22"/>
      <c r="C1307" s="22"/>
      <c r="D1307" s="22"/>
      <c r="E1307" s="22"/>
      <c r="F1307" s="22"/>
      <c r="G1307" s="22"/>
      <c r="H1307" s="22"/>
      <c r="I1307" s="24"/>
      <c r="J1307" s="24"/>
      <c r="K1307" s="24"/>
      <c r="L1307" s="24"/>
      <c r="M1307" s="26"/>
      <c r="N1307" s="26"/>
      <c r="O1307" s="26"/>
      <c r="P1307" s="27"/>
      <c r="Q1307" s="27"/>
      <c r="R1307" s="27"/>
      <c r="S1307" s="22"/>
      <c r="T1307" s="22"/>
      <c r="U1307" s="28"/>
    </row>
    <row r="1308" ht="15.75" customHeight="1">
      <c r="A1308" s="189"/>
      <c r="B1308" s="22"/>
      <c r="C1308" s="22"/>
      <c r="D1308" s="22"/>
      <c r="E1308" s="22"/>
      <c r="F1308" s="22"/>
      <c r="G1308" s="22"/>
      <c r="H1308" s="22"/>
      <c r="I1308" s="24"/>
      <c r="J1308" s="24"/>
      <c r="K1308" s="24"/>
      <c r="L1308" s="24"/>
      <c r="M1308" s="26"/>
      <c r="N1308" s="26"/>
      <c r="O1308" s="26"/>
      <c r="P1308" s="27"/>
      <c r="Q1308" s="27"/>
      <c r="R1308" s="27"/>
      <c r="S1308" s="22"/>
      <c r="T1308" s="22"/>
      <c r="U1308" s="28"/>
    </row>
    <row r="1309" ht="15.75" customHeight="1">
      <c r="A1309" s="189"/>
      <c r="B1309" s="22"/>
      <c r="C1309" s="22"/>
      <c r="D1309" s="22"/>
      <c r="E1309" s="22"/>
      <c r="F1309" s="22"/>
      <c r="G1309" s="22"/>
      <c r="H1309" s="22"/>
      <c r="I1309" s="24"/>
      <c r="J1309" s="24"/>
      <c r="K1309" s="24"/>
      <c r="L1309" s="24"/>
      <c r="M1309" s="26"/>
      <c r="N1309" s="26"/>
      <c r="O1309" s="26"/>
      <c r="P1309" s="27"/>
      <c r="Q1309" s="27"/>
      <c r="R1309" s="27"/>
      <c r="S1309" s="22"/>
      <c r="T1309" s="22"/>
      <c r="U1309" s="28"/>
    </row>
    <row r="1310" ht="15.75" customHeight="1">
      <c r="A1310" s="189"/>
      <c r="B1310" s="22"/>
      <c r="C1310" s="22"/>
      <c r="D1310" s="22"/>
      <c r="E1310" s="22"/>
      <c r="F1310" s="22"/>
      <c r="G1310" s="22"/>
      <c r="H1310" s="22"/>
      <c r="I1310" s="24"/>
      <c r="J1310" s="24"/>
      <c r="K1310" s="24"/>
      <c r="L1310" s="24"/>
      <c r="M1310" s="26"/>
      <c r="N1310" s="26"/>
      <c r="O1310" s="26"/>
      <c r="P1310" s="27"/>
      <c r="Q1310" s="27"/>
      <c r="R1310" s="27"/>
      <c r="S1310" s="22"/>
      <c r="T1310" s="22"/>
      <c r="U1310" s="28"/>
    </row>
    <row r="1311" ht="15.75" customHeight="1">
      <c r="A1311" s="189"/>
      <c r="B1311" s="22"/>
      <c r="C1311" s="22"/>
      <c r="D1311" s="22"/>
      <c r="E1311" s="22"/>
      <c r="F1311" s="22"/>
      <c r="G1311" s="22"/>
      <c r="H1311" s="22"/>
      <c r="I1311" s="24"/>
      <c r="J1311" s="24"/>
      <c r="K1311" s="24"/>
      <c r="L1311" s="24"/>
      <c r="M1311" s="26"/>
      <c r="N1311" s="26"/>
      <c r="O1311" s="26"/>
      <c r="P1311" s="27"/>
      <c r="Q1311" s="27"/>
      <c r="R1311" s="27"/>
      <c r="S1311" s="22"/>
      <c r="T1311" s="22"/>
      <c r="U1311" s="28"/>
    </row>
    <row r="1312" ht="15.75" customHeight="1">
      <c r="A1312" s="189"/>
      <c r="B1312" s="22"/>
      <c r="C1312" s="22"/>
      <c r="D1312" s="22"/>
      <c r="E1312" s="22"/>
      <c r="F1312" s="22"/>
      <c r="G1312" s="22"/>
      <c r="H1312" s="22"/>
      <c r="I1312" s="24"/>
      <c r="J1312" s="24"/>
      <c r="K1312" s="24"/>
      <c r="L1312" s="24"/>
      <c r="M1312" s="26"/>
      <c r="N1312" s="26"/>
      <c r="O1312" s="26"/>
      <c r="P1312" s="27"/>
      <c r="Q1312" s="27"/>
      <c r="R1312" s="27"/>
      <c r="S1312" s="22"/>
      <c r="T1312" s="22"/>
      <c r="U1312" s="28"/>
    </row>
    <row r="1313" ht="15.75" customHeight="1">
      <c r="A1313" s="189"/>
      <c r="B1313" s="22"/>
      <c r="C1313" s="22"/>
      <c r="D1313" s="22"/>
      <c r="E1313" s="22"/>
      <c r="F1313" s="22"/>
      <c r="G1313" s="22"/>
      <c r="H1313" s="22"/>
      <c r="I1313" s="24"/>
      <c r="J1313" s="24"/>
      <c r="K1313" s="24"/>
      <c r="L1313" s="24"/>
      <c r="M1313" s="26"/>
      <c r="N1313" s="26"/>
      <c r="O1313" s="26"/>
      <c r="P1313" s="27"/>
      <c r="Q1313" s="27"/>
      <c r="R1313" s="27"/>
      <c r="S1313" s="22"/>
      <c r="T1313" s="22"/>
      <c r="U1313" s="28"/>
    </row>
    <row r="1314" ht="15.75" customHeight="1">
      <c r="A1314" s="189"/>
      <c r="B1314" s="22"/>
      <c r="C1314" s="22"/>
      <c r="D1314" s="22"/>
      <c r="E1314" s="22"/>
      <c r="F1314" s="22"/>
      <c r="G1314" s="22"/>
      <c r="H1314" s="22"/>
      <c r="I1314" s="24"/>
      <c r="J1314" s="24"/>
      <c r="K1314" s="24"/>
      <c r="L1314" s="24"/>
      <c r="M1314" s="26"/>
      <c r="N1314" s="26"/>
      <c r="O1314" s="26"/>
      <c r="P1314" s="27"/>
      <c r="Q1314" s="27"/>
      <c r="R1314" s="27"/>
      <c r="S1314" s="22"/>
      <c r="T1314" s="22"/>
      <c r="U1314" s="28"/>
    </row>
    <row r="1315" ht="15.75" customHeight="1">
      <c r="A1315" s="189"/>
      <c r="B1315" s="22"/>
      <c r="C1315" s="22"/>
      <c r="D1315" s="22"/>
      <c r="E1315" s="22"/>
      <c r="F1315" s="22"/>
      <c r="G1315" s="22"/>
      <c r="H1315" s="22"/>
      <c r="I1315" s="24"/>
      <c r="J1315" s="24"/>
      <c r="K1315" s="24"/>
      <c r="L1315" s="24"/>
      <c r="M1315" s="26"/>
      <c r="N1315" s="26"/>
      <c r="O1315" s="26"/>
      <c r="P1315" s="27"/>
      <c r="Q1315" s="27"/>
      <c r="R1315" s="27"/>
      <c r="S1315" s="22"/>
      <c r="T1315" s="22"/>
      <c r="U1315" s="28"/>
    </row>
    <row r="1316" ht="15.75" customHeight="1">
      <c r="A1316" s="189"/>
      <c r="B1316" s="22"/>
      <c r="C1316" s="22"/>
      <c r="D1316" s="22"/>
      <c r="E1316" s="22"/>
      <c r="F1316" s="22"/>
      <c r="G1316" s="22"/>
      <c r="H1316" s="22"/>
      <c r="I1316" s="24"/>
      <c r="J1316" s="24"/>
      <c r="K1316" s="24"/>
      <c r="L1316" s="24"/>
      <c r="M1316" s="26"/>
      <c r="N1316" s="26"/>
      <c r="O1316" s="26"/>
      <c r="P1316" s="27"/>
      <c r="Q1316" s="27"/>
      <c r="R1316" s="27"/>
      <c r="S1316" s="22"/>
      <c r="T1316" s="22"/>
      <c r="U1316" s="28"/>
    </row>
    <row r="1317" ht="15.75" customHeight="1">
      <c r="A1317" s="189"/>
      <c r="B1317" s="22"/>
      <c r="C1317" s="22"/>
      <c r="D1317" s="22"/>
      <c r="E1317" s="22"/>
      <c r="F1317" s="22"/>
      <c r="G1317" s="22"/>
      <c r="H1317" s="22"/>
      <c r="I1317" s="24"/>
      <c r="J1317" s="24"/>
      <c r="K1317" s="24"/>
      <c r="L1317" s="24"/>
      <c r="M1317" s="26"/>
      <c r="N1317" s="26"/>
      <c r="O1317" s="26"/>
      <c r="P1317" s="27"/>
      <c r="Q1317" s="27"/>
      <c r="R1317" s="27"/>
      <c r="S1317" s="22"/>
      <c r="T1317" s="22"/>
      <c r="U1317" s="28"/>
    </row>
    <row r="1318" ht="15.75" customHeight="1">
      <c r="A1318" s="189"/>
      <c r="B1318" s="22"/>
      <c r="C1318" s="22"/>
      <c r="D1318" s="22"/>
      <c r="E1318" s="22"/>
      <c r="F1318" s="22"/>
      <c r="G1318" s="22"/>
      <c r="H1318" s="22"/>
      <c r="I1318" s="24"/>
      <c r="J1318" s="24"/>
      <c r="K1318" s="24"/>
      <c r="L1318" s="24"/>
      <c r="M1318" s="26"/>
      <c r="N1318" s="26"/>
      <c r="O1318" s="26"/>
      <c r="P1318" s="27"/>
      <c r="Q1318" s="27"/>
      <c r="R1318" s="27"/>
      <c r="S1318" s="22"/>
      <c r="T1318" s="22"/>
      <c r="U1318" s="28"/>
    </row>
    <row r="1319" ht="15.75" customHeight="1">
      <c r="A1319" s="189"/>
      <c r="B1319" s="22"/>
      <c r="C1319" s="22"/>
      <c r="D1319" s="22"/>
      <c r="E1319" s="22"/>
      <c r="F1319" s="22"/>
      <c r="G1319" s="22"/>
      <c r="H1319" s="22"/>
      <c r="I1319" s="24"/>
      <c r="J1319" s="24"/>
      <c r="K1319" s="24"/>
      <c r="L1319" s="24"/>
      <c r="M1319" s="26"/>
      <c r="N1319" s="26"/>
      <c r="O1319" s="26"/>
      <c r="P1319" s="27"/>
      <c r="Q1319" s="27"/>
      <c r="R1319" s="27"/>
      <c r="S1319" s="22"/>
      <c r="T1319" s="22"/>
      <c r="U1319" s="28"/>
    </row>
    <row r="1320" ht="15.75" customHeight="1">
      <c r="A1320" s="189"/>
      <c r="B1320" s="22"/>
      <c r="C1320" s="22"/>
      <c r="D1320" s="22"/>
      <c r="E1320" s="22"/>
      <c r="F1320" s="22"/>
      <c r="G1320" s="22"/>
      <c r="H1320" s="22"/>
      <c r="I1320" s="24"/>
      <c r="J1320" s="24"/>
      <c r="K1320" s="24"/>
      <c r="L1320" s="24"/>
      <c r="M1320" s="26"/>
      <c r="N1320" s="26"/>
      <c r="O1320" s="26"/>
      <c r="P1320" s="27"/>
      <c r="Q1320" s="27"/>
      <c r="R1320" s="27"/>
      <c r="S1320" s="22"/>
      <c r="T1320" s="22"/>
      <c r="U1320" s="28"/>
    </row>
    <row r="1321" ht="15.75" customHeight="1">
      <c r="A1321" s="189"/>
      <c r="B1321" s="22"/>
      <c r="C1321" s="22"/>
      <c r="D1321" s="22"/>
      <c r="E1321" s="22"/>
      <c r="F1321" s="22"/>
      <c r="G1321" s="22"/>
      <c r="H1321" s="22"/>
      <c r="I1321" s="24"/>
      <c r="J1321" s="24"/>
      <c r="K1321" s="24"/>
      <c r="L1321" s="24"/>
      <c r="M1321" s="26"/>
      <c r="N1321" s="26"/>
      <c r="O1321" s="26"/>
      <c r="P1321" s="27"/>
      <c r="Q1321" s="27"/>
      <c r="R1321" s="27"/>
      <c r="S1321" s="22"/>
      <c r="T1321" s="22"/>
      <c r="U1321" s="28"/>
    </row>
    <row r="1322" ht="15.75" customHeight="1">
      <c r="A1322" s="189"/>
      <c r="B1322" s="22"/>
      <c r="C1322" s="22"/>
      <c r="D1322" s="22"/>
      <c r="E1322" s="22"/>
      <c r="F1322" s="22"/>
      <c r="G1322" s="22"/>
      <c r="H1322" s="22"/>
      <c r="I1322" s="24"/>
      <c r="J1322" s="24"/>
      <c r="K1322" s="24"/>
      <c r="L1322" s="24"/>
      <c r="M1322" s="26"/>
      <c r="N1322" s="26"/>
      <c r="O1322" s="26"/>
      <c r="P1322" s="27"/>
      <c r="Q1322" s="27"/>
      <c r="R1322" s="27"/>
      <c r="S1322" s="22"/>
      <c r="T1322" s="22"/>
      <c r="U1322" s="28"/>
    </row>
    <row r="1323" ht="15.75" customHeight="1">
      <c r="A1323" s="189"/>
      <c r="B1323" s="22"/>
      <c r="C1323" s="22"/>
      <c r="D1323" s="22"/>
      <c r="E1323" s="22"/>
      <c r="F1323" s="22"/>
      <c r="G1323" s="22"/>
      <c r="H1323" s="22"/>
      <c r="I1323" s="24"/>
      <c r="J1323" s="24"/>
      <c r="K1323" s="24"/>
      <c r="L1323" s="24"/>
      <c r="M1323" s="26"/>
      <c r="N1323" s="26"/>
      <c r="O1323" s="26"/>
      <c r="P1323" s="27"/>
      <c r="Q1323" s="27"/>
      <c r="R1323" s="27"/>
      <c r="S1323" s="22"/>
      <c r="T1323" s="22"/>
      <c r="U1323" s="28"/>
    </row>
    <row r="1324" ht="15.75" customHeight="1">
      <c r="A1324" s="189"/>
      <c r="B1324" s="22"/>
      <c r="C1324" s="22"/>
      <c r="D1324" s="22"/>
      <c r="E1324" s="22"/>
      <c r="F1324" s="22"/>
      <c r="G1324" s="22"/>
      <c r="H1324" s="22"/>
      <c r="I1324" s="24"/>
      <c r="J1324" s="24"/>
      <c r="K1324" s="24"/>
      <c r="L1324" s="24"/>
      <c r="M1324" s="26"/>
      <c r="N1324" s="26"/>
      <c r="O1324" s="26"/>
      <c r="P1324" s="27"/>
      <c r="Q1324" s="27"/>
      <c r="R1324" s="27"/>
      <c r="S1324" s="22"/>
      <c r="T1324" s="22"/>
      <c r="U1324" s="28"/>
    </row>
    <row r="1325" ht="15.75" customHeight="1">
      <c r="A1325" s="189"/>
      <c r="B1325" s="22"/>
      <c r="C1325" s="22"/>
      <c r="D1325" s="22"/>
      <c r="E1325" s="22"/>
      <c r="F1325" s="22"/>
      <c r="G1325" s="22"/>
      <c r="H1325" s="22"/>
      <c r="I1325" s="24"/>
      <c r="J1325" s="24"/>
      <c r="K1325" s="24"/>
      <c r="L1325" s="24"/>
      <c r="M1325" s="26"/>
      <c r="N1325" s="26"/>
      <c r="O1325" s="26"/>
      <c r="P1325" s="27"/>
      <c r="Q1325" s="27"/>
      <c r="R1325" s="27"/>
      <c r="S1325" s="22"/>
      <c r="T1325" s="22"/>
      <c r="U1325" s="28"/>
    </row>
    <row r="1326" ht="15.75" customHeight="1">
      <c r="A1326" s="189"/>
      <c r="B1326" s="22"/>
      <c r="C1326" s="22"/>
      <c r="D1326" s="22"/>
      <c r="E1326" s="22"/>
      <c r="F1326" s="22"/>
      <c r="G1326" s="22"/>
      <c r="H1326" s="22"/>
      <c r="I1326" s="24"/>
      <c r="J1326" s="24"/>
      <c r="K1326" s="24"/>
      <c r="L1326" s="24"/>
      <c r="M1326" s="26"/>
      <c r="N1326" s="26"/>
      <c r="O1326" s="26"/>
      <c r="P1326" s="27"/>
      <c r="Q1326" s="27"/>
      <c r="R1326" s="27"/>
      <c r="S1326" s="22"/>
      <c r="T1326" s="22"/>
      <c r="U1326" s="28"/>
    </row>
    <row r="1327" ht="15.75" customHeight="1">
      <c r="A1327" s="189"/>
      <c r="B1327" s="22"/>
      <c r="C1327" s="22"/>
      <c r="D1327" s="22"/>
      <c r="E1327" s="22"/>
      <c r="F1327" s="22"/>
      <c r="G1327" s="22"/>
      <c r="H1327" s="22"/>
      <c r="I1327" s="24"/>
      <c r="J1327" s="24"/>
      <c r="K1327" s="24"/>
      <c r="L1327" s="24"/>
      <c r="M1327" s="26"/>
      <c r="N1327" s="26"/>
      <c r="O1327" s="26"/>
      <c r="P1327" s="27"/>
      <c r="Q1327" s="27"/>
      <c r="R1327" s="27"/>
      <c r="S1327" s="22"/>
      <c r="T1327" s="22"/>
      <c r="U1327" s="28"/>
    </row>
    <row r="1328" ht="15.75" customHeight="1">
      <c r="A1328" s="189"/>
      <c r="B1328" s="22"/>
      <c r="C1328" s="22"/>
      <c r="D1328" s="22"/>
      <c r="E1328" s="22"/>
      <c r="F1328" s="22"/>
      <c r="G1328" s="22"/>
      <c r="H1328" s="22"/>
      <c r="I1328" s="24"/>
      <c r="J1328" s="24"/>
      <c r="K1328" s="24"/>
      <c r="L1328" s="24"/>
      <c r="M1328" s="26"/>
      <c r="N1328" s="26"/>
      <c r="O1328" s="26"/>
      <c r="P1328" s="27"/>
      <c r="Q1328" s="27"/>
      <c r="R1328" s="27"/>
      <c r="S1328" s="22"/>
      <c r="T1328" s="22"/>
      <c r="U1328" s="28"/>
    </row>
    <row r="1329" ht="15.75" customHeight="1">
      <c r="A1329" s="189"/>
      <c r="B1329" s="22"/>
      <c r="C1329" s="22"/>
      <c r="D1329" s="22"/>
      <c r="E1329" s="22"/>
      <c r="F1329" s="22"/>
      <c r="G1329" s="22"/>
      <c r="H1329" s="22"/>
      <c r="I1329" s="24"/>
      <c r="J1329" s="24"/>
      <c r="K1329" s="24"/>
      <c r="L1329" s="24"/>
      <c r="M1329" s="26"/>
      <c r="N1329" s="26"/>
      <c r="O1329" s="26"/>
      <c r="P1329" s="27"/>
      <c r="Q1329" s="27"/>
      <c r="R1329" s="27"/>
      <c r="S1329" s="22"/>
      <c r="T1329" s="22"/>
      <c r="U1329" s="28"/>
    </row>
    <row r="1330" ht="15.75" customHeight="1">
      <c r="A1330" s="189"/>
      <c r="B1330" s="22"/>
      <c r="C1330" s="22"/>
      <c r="D1330" s="22"/>
      <c r="E1330" s="22"/>
      <c r="F1330" s="22"/>
      <c r="G1330" s="22"/>
      <c r="H1330" s="22"/>
      <c r="I1330" s="24"/>
      <c r="J1330" s="24"/>
      <c r="K1330" s="24"/>
      <c r="L1330" s="24"/>
      <c r="M1330" s="26"/>
      <c r="N1330" s="26"/>
      <c r="O1330" s="26"/>
      <c r="P1330" s="27"/>
      <c r="Q1330" s="27"/>
      <c r="R1330" s="27"/>
      <c r="S1330" s="22"/>
      <c r="T1330" s="22"/>
      <c r="U1330" s="28"/>
    </row>
    <row r="1331" ht="15.75" customHeight="1">
      <c r="A1331" s="189"/>
      <c r="B1331" s="22"/>
      <c r="C1331" s="22"/>
      <c r="D1331" s="22"/>
      <c r="E1331" s="22"/>
      <c r="F1331" s="22"/>
      <c r="G1331" s="22"/>
      <c r="H1331" s="22"/>
      <c r="I1331" s="24"/>
      <c r="J1331" s="24"/>
      <c r="K1331" s="24"/>
      <c r="L1331" s="24"/>
      <c r="M1331" s="26"/>
      <c r="N1331" s="26"/>
      <c r="O1331" s="26"/>
      <c r="P1331" s="27"/>
      <c r="Q1331" s="27"/>
      <c r="R1331" s="27"/>
      <c r="S1331" s="22"/>
      <c r="T1331" s="22"/>
      <c r="U1331" s="28"/>
    </row>
    <row r="1332" ht="15.75" customHeight="1">
      <c r="A1332" s="189"/>
      <c r="B1332" s="22"/>
      <c r="C1332" s="22"/>
      <c r="D1332" s="22"/>
      <c r="E1332" s="22"/>
      <c r="F1332" s="22"/>
      <c r="G1332" s="22"/>
      <c r="H1332" s="22"/>
      <c r="I1332" s="24"/>
      <c r="J1332" s="24"/>
      <c r="K1332" s="24"/>
      <c r="L1332" s="24"/>
      <c r="M1332" s="26"/>
      <c r="N1332" s="26"/>
      <c r="O1332" s="26"/>
      <c r="P1332" s="27"/>
      <c r="Q1332" s="27"/>
      <c r="R1332" s="27"/>
      <c r="S1332" s="22"/>
      <c r="T1332" s="22"/>
      <c r="U1332" s="28"/>
    </row>
    <row r="1333" ht="15.75" customHeight="1">
      <c r="A1333" s="189"/>
      <c r="B1333" s="22"/>
      <c r="C1333" s="22"/>
      <c r="D1333" s="22"/>
      <c r="E1333" s="22"/>
      <c r="F1333" s="22"/>
      <c r="G1333" s="22"/>
      <c r="H1333" s="22"/>
      <c r="I1333" s="24"/>
      <c r="J1333" s="24"/>
      <c r="K1333" s="24"/>
      <c r="L1333" s="24"/>
      <c r="M1333" s="26"/>
      <c r="N1333" s="26"/>
      <c r="O1333" s="26"/>
      <c r="P1333" s="27"/>
      <c r="Q1333" s="27"/>
      <c r="R1333" s="27"/>
      <c r="S1333" s="22"/>
      <c r="T1333" s="22"/>
      <c r="U1333" s="28"/>
    </row>
    <row r="1334" ht="15.75" customHeight="1">
      <c r="A1334" s="189"/>
      <c r="B1334" s="22"/>
      <c r="C1334" s="22"/>
      <c r="D1334" s="22"/>
      <c r="E1334" s="22"/>
      <c r="F1334" s="22"/>
      <c r="G1334" s="22"/>
      <c r="H1334" s="22"/>
      <c r="I1334" s="24"/>
      <c r="J1334" s="24"/>
      <c r="K1334" s="24"/>
      <c r="L1334" s="24"/>
      <c r="M1334" s="26"/>
      <c r="N1334" s="26"/>
      <c r="O1334" s="26"/>
      <c r="P1334" s="27"/>
      <c r="Q1334" s="27"/>
      <c r="R1334" s="27"/>
      <c r="S1334" s="22"/>
      <c r="T1334" s="22"/>
      <c r="U1334" s="28"/>
    </row>
    <row r="1335" ht="15.75" customHeight="1">
      <c r="A1335" s="189"/>
      <c r="B1335" s="22"/>
      <c r="C1335" s="22"/>
      <c r="D1335" s="22"/>
      <c r="E1335" s="22"/>
      <c r="F1335" s="22"/>
      <c r="G1335" s="22"/>
      <c r="H1335" s="22"/>
      <c r="I1335" s="24"/>
      <c r="J1335" s="24"/>
      <c r="K1335" s="24"/>
      <c r="L1335" s="24"/>
      <c r="M1335" s="26"/>
      <c r="N1335" s="26"/>
      <c r="O1335" s="26"/>
      <c r="P1335" s="27"/>
      <c r="Q1335" s="27"/>
      <c r="R1335" s="27"/>
      <c r="S1335" s="22"/>
      <c r="T1335" s="22"/>
      <c r="U1335" s="28"/>
    </row>
    <row r="1336" ht="15.75" customHeight="1">
      <c r="A1336" s="189"/>
      <c r="B1336" s="22"/>
      <c r="C1336" s="22"/>
      <c r="D1336" s="22"/>
      <c r="E1336" s="22"/>
      <c r="F1336" s="22"/>
      <c r="G1336" s="22"/>
      <c r="H1336" s="22"/>
      <c r="I1336" s="24"/>
      <c r="J1336" s="24"/>
      <c r="K1336" s="24"/>
      <c r="L1336" s="24"/>
      <c r="M1336" s="26"/>
      <c r="N1336" s="26"/>
      <c r="O1336" s="26"/>
      <c r="P1336" s="27"/>
      <c r="Q1336" s="27"/>
      <c r="R1336" s="27"/>
      <c r="S1336" s="22"/>
      <c r="T1336" s="22"/>
      <c r="U1336" s="28"/>
    </row>
    <row r="1337" ht="15.75" customHeight="1">
      <c r="A1337" s="189"/>
      <c r="B1337" s="22"/>
      <c r="C1337" s="22"/>
      <c r="D1337" s="22"/>
      <c r="E1337" s="22"/>
      <c r="F1337" s="22"/>
      <c r="G1337" s="22"/>
      <c r="H1337" s="22"/>
      <c r="I1337" s="24"/>
      <c r="J1337" s="24"/>
      <c r="K1337" s="24"/>
      <c r="L1337" s="24"/>
      <c r="M1337" s="26"/>
      <c r="N1337" s="26"/>
      <c r="O1337" s="26"/>
      <c r="P1337" s="27"/>
      <c r="Q1337" s="27"/>
      <c r="R1337" s="27"/>
      <c r="S1337" s="22"/>
      <c r="T1337" s="22"/>
      <c r="U1337" s="28"/>
    </row>
    <row r="1338" ht="15.75" customHeight="1">
      <c r="A1338" s="189"/>
      <c r="B1338" s="22"/>
      <c r="C1338" s="22"/>
      <c r="D1338" s="22"/>
      <c r="E1338" s="22"/>
      <c r="F1338" s="22"/>
      <c r="G1338" s="22"/>
      <c r="H1338" s="22"/>
      <c r="I1338" s="24"/>
      <c r="J1338" s="24"/>
      <c r="K1338" s="24"/>
      <c r="L1338" s="24"/>
      <c r="M1338" s="26"/>
      <c r="N1338" s="26"/>
      <c r="O1338" s="26"/>
      <c r="P1338" s="27"/>
      <c r="Q1338" s="27"/>
      <c r="R1338" s="27"/>
      <c r="S1338" s="22"/>
      <c r="T1338" s="22"/>
      <c r="U1338" s="28"/>
    </row>
    <row r="1339" ht="15.75" customHeight="1">
      <c r="A1339" s="189"/>
      <c r="B1339" s="22"/>
      <c r="C1339" s="22"/>
      <c r="D1339" s="22"/>
      <c r="E1339" s="22"/>
      <c r="F1339" s="22"/>
      <c r="G1339" s="22"/>
      <c r="H1339" s="22"/>
      <c r="I1339" s="24"/>
      <c r="J1339" s="24"/>
      <c r="K1339" s="24"/>
      <c r="L1339" s="24"/>
      <c r="M1339" s="26"/>
      <c r="N1339" s="26"/>
      <c r="O1339" s="26"/>
      <c r="P1339" s="27"/>
      <c r="Q1339" s="27"/>
      <c r="R1339" s="27"/>
      <c r="S1339" s="22"/>
      <c r="T1339" s="22"/>
      <c r="U1339" s="28"/>
    </row>
    <row r="1340" ht="15.75" customHeight="1">
      <c r="A1340" s="189"/>
      <c r="B1340" s="22"/>
      <c r="C1340" s="22"/>
      <c r="D1340" s="22"/>
      <c r="E1340" s="22"/>
      <c r="F1340" s="22"/>
      <c r="G1340" s="22"/>
      <c r="H1340" s="22"/>
      <c r="I1340" s="24"/>
      <c r="J1340" s="24"/>
      <c r="K1340" s="24"/>
      <c r="L1340" s="24"/>
      <c r="M1340" s="26"/>
      <c r="N1340" s="26"/>
      <c r="O1340" s="26"/>
      <c r="P1340" s="27"/>
      <c r="Q1340" s="27"/>
      <c r="R1340" s="27"/>
      <c r="S1340" s="22"/>
      <c r="T1340" s="22"/>
      <c r="U1340" s="28"/>
    </row>
    <row r="1341" ht="15.75" customHeight="1">
      <c r="A1341" s="189"/>
      <c r="B1341" s="22"/>
      <c r="C1341" s="22"/>
      <c r="D1341" s="22"/>
      <c r="E1341" s="22"/>
      <c r="F1341" s="22"/>
      <c r="G1341" s="22"/>
      <c r="H1341" s="22"/>
      <c r="I1341" s="24"/>
      <c r="J1341" s="24"/>
      <c r="K1341" s="24"/>
      <c r="L1341" s="24"/>
      <c r="M1341" s="26"/>
      <c r="N1341" s="26"/>
      <c r="O1341" s="26"/>
      <c r="P1341" s="27"/>
      <c r="Q1341" s="27"/>
      <c r="R1341" s="27"/>
      <c r="S1341" s="22"/>
      <c r="T1341" s="22"/>
      <c r="U1341" s="28"/>
    </row>
    <row r="1342" ht="15.75" customHeight="1">
      <c r="A1342" s="189"/>
      <c r="B1342" s="22"/>
      <c r="C1342" s="22"/>
      <c r="D1342" s="22"/>
      <c r="E1342" s="22"/>
      <c r="F1342" s="22"/>
      <c r="G1342" s="22"/>
      <c r="H1342" s="22"/>
      <c r="I1342" s="24"/>
      <c r="J1342" s="24"/>
      <c r="K1342" s="24"/>
      <c r="L1342" s="24"/>
      <c r="M1342" s="26"/>
      <c r="N1342" s="26"/>
      <c r="O1342" s="26"/>
      <c r="P1342" s="27"/>
      <c r="Q1342" s="27"/>
      <c r="R1342" s="27"/>
      <c r="S1342" s="22"/>
      <c r="T1342" s="22"/>
      <c r="U1342" s="28"/>
    </row>
    <row r="1343" ht="15.75" customHeight="1">
      <c r="A1343" s="189"/>
      <c r="B1343" s="22"/>
      <c r="C1343" s="22"/>
      <c r="D1343" s="22"/>
      <c r="E1343" s="22"/>
      <c r="F1343" s="22"/>
      <c r="G1343" s="22"/>
      <c r="H1343" s="22"/>
      <c r="I1343" s="24"/>
      <c r="J1343" s="24"/>
      <c r="K1343" s="24"/>
      <c r="L1343" s="24"/>
      <c r="M1343" s="26"/>
      <c r="N1343" s="26"/>
      <c r="O1343" s="26"/>
      <c r="P1343" s="27"/>
      <c r="Q1343" s="27"/>
      <c r="R1343" s="27"/>
      <c r="S1343" s="22"/>
      <c r="T1343" s="22"/>
      <c r="U1343" s="28"/>
    </row>
    <row r="1344" ht="15.75" customHeight="1">
      <c r="A1344" s="189"/>
      <c r="B1344" s="22"/>
      <c r="C1344" s="22"/>
      <c r="D1344" s="22"/>
      <c r="E1344" s="22"/>
      <c r="F1344" s="22"/>
      <c r="G1344" s="22"/>
      <c r="H1344" s="22"/>
      <c r="I1344" s="24"/>
      <c r="J1344" s="24"/>
      <c r="K1344" s="24"/>
      <c r="L1344" s="24"/>
      <c r="M1344" s="26"/>
      <c r="N1344" s="26"/>
      <c r="O1344" s="26"/>
      <c r="P1344" s="27"/>
      <c r="Q1344" s="27"/>
      <c r="R1344" s="27"/>
      <c r="S1344" s="22"/>
      <c r="T1344" s="22"/>
      <c r="U1344" s="28"/>
    </row>
    <row r="1345" ht="15.75" customHeight="1">
      <c r="A1345" s="189"/>
      <c r="B1345" s="22"/>
      <c r="C1345" s="22"/>
      <c r="D1345" s="22"/>
      <c r="E1345" s="22"/>
      <c r="F1345" s="22"/>
      <c r="G1345" s="22"/>
      <c r="H1345" s="22"/>
      <c r="I1345" s="24"/>
      <c r="J1345" s="24"/>
      <c r="K1345" s="24"/>
      <c r="L1345" s="24"/>
      <c r="M1345" s="26"/>
      <c r="N1345" s="26"/>
      <c r="O1345" s="26"/>
      <c r="P1345" s="27"/>
      <c r="Q1345" s="27"/>
      <c r="R1345" s="27"/>
      <c r="S1345" s="22"/>
      <c r="T1345" s="22"/>
      <c r="U1345" s="28"/>
    </row>
    <row r="1346" ht="15.75" customHeight="1">
      <c r="A1346" s="189"/>
      <c r="B1346" s="22"/>
      <c r="C1346" s="22"/>
      <c r="D1346" s="22"/>
      <c r="E1346" s="22"/>
      <c r="F1346" s="22"/>
      <c r="G1346" s="22"/>
      <c r="H1346" s="22"/>
      <c r="I1346" s="24"/>
      <c r="J1346" s="24"/>
      <c r="K1346" s="24"/>
      <c r="L1346" s="24"/>
      <c r="M1346" s="26"/>
      <c r="N1346" s="26"/>
      <c r="O1346" s="26"/>
      <c r="P1346" s="27"/>
      <c r="Q1346" s="27"/>
      <c r="R1346" s="27"/>
      <c r="S1346" s="22"/>
      <c r="T1346" s="22"/>
      <c r="U1346" s="28"/>
    </row>
    <row r="1347" ht="15.75" customHeight="1">
      <c r="A1347" s="189"/>
      <c r="B1347" s="22"/>
      <c r="C1347" s="22"/>
      <c r="D1347" s="22"/>
      <c r="E1347" s="22"/>
      <c r="F1347" s="22"/>
      <c r="G1347" s="22"/>
      <c r="H1347" s="22"/>
      <c r="I1347" s="24"/>
      <c r="J1347" s="24"/>
      <c r="K1347" s="24"/>
      <c r="L1347" s="24"/>
      <c r="M1347" s="26"/>
      <c r="N1347" s="26"/>
      <c r="O1347" s="26"/>
      <c r="P1347" s="27"/>
      <c r="Q1347" s="27"/>
      <c r="R1347" s="27"/>
      <c r="S1347" s="22"/>
      <c r="T1347" s="22"/>
      <c r="U1347" s="28"/>
    </row>
    <row r="1348" ht="15.75" customHeight="1">
      <c r="A1348" s="189"/>
      <c r="B1348" s="22"/>
      <c r="C1348" s="22"/>
      <c r="D1348" s="22"/>
      <c r="E1348" s="22"/>
      <c r="F1348" s="22"/>
      <c r="G1348" s="22"/>
      <c r="H1348" s="22"/>
      <c r="I1348" s="24"/>
      <c r="J1348" s="24"/>
      <c r="K1348" s="24"/>
      <c r="L1348" s="24"/>
      <c r="M1348" s="26"/>
      <c r="N1348" s="26"/>
      <c r="O1348" s="26"/>
      <c r="P1348" s="27"/>
      <c r="Q1348" s="27"/>
      <c r="R1348" s="27"/>
      <c r="S1348" s="22"/>
      <c r="T1348" s="22"/>
      <c r="U1348" s="28"/>
    </row>
    <row r="1349" ht="15.75" customHeight="1">
      <c r="A1349" s="189"/>
      <c r="B1349" s="22"/>
      <c r="C1349" s="22"/>
      <c r="D1349" s="22"/>
      <c r="E1349" s="22"/>
      <c r="F1349" s="22"/>
      <c r="G1349" s="22"/>
      <c r="H1349" s="22"/>
      <c r="I1349" s="24"/>
      <c r="J1349" s="24"/>
      <c r="K1349" s="24"/>
      <c r="L1349" s="24"/>
      <c r="M1349" s="26"/>
      <c r="N1349" s="26"/>
      <c r="O1349" s="26"/>
      <c r="P1349" s="27"/>
      <c r="Q1349" s="27"/>
      <c r="R1349" s="27"/>
      <c r="S1349" s="22"/>
      <c r="T1349" s="22"/>
      <c r="U1349" s="28"/>
    </row>
    <row r="1350" ht="15.75" customHeight="1">
      <c r="A1350" s="189"/>
      <c r="B1350" s="22"/>
      <c r="C1350" s="22"/>
      <c r="D1350" s="22"/>
      <c r="E1350" s="22"/>
      <c r="F1350" s="22"/>
      <c r="G1350" s="22"/>
      <c r="H1350" s="22"/>
      <c r="I1350" s="24"/>
      <c r="J1350" s="24"/>
      <c r="K1350" s="24"/>
      <c r="L1350" s="24"/>
      <c r="M1350" s="26"/>
      <c r="N1350" s="26"/>
      <c r="O1350" s="26"/>
      <c r="P1350" s="27"/>
      <c r="Q1350" s="27"/>
      <c r="R1350" s="27"/>
      <c r="S1350" s="22"/>
      <c r="T1350" s="22"/>
      <c r="U1350" s="28"/>
    </row>
    <row r="1351" ht="15.75" customHeight="1">
      <c r="A1351" s="189"/>
      <c r="B1351" s="22"/>
      <c r="C1351" s="22"/>
      <c r="D1351" s="22"/>
      <c r="E1351" s="22"/>
      <c r="F1351" s="22"/>
      <c r="G1351" s="22"/>
      <c r="H1351" s="22"/>
      <c r="I1351" s="24"/>
      <c r="J1351" s="24"/>
      <c r="K1351" s="24"/>
      <c r="L1351" s="24"/>
      <c r="M1351" s="26"/>
      <c r="N1351" s="26"/>
      <c r="O1351" s="26"/>
      <c r="P1351" s="27"/>
      <c r="Q1351" s="27"/>
      <c r="R1351" s="27"/>
      <c r="S1351" s="22"/>
      <c r="T1351" s="22"/>
      <c r="U1351" s="28"/>
    </row>
    <row r="1352" ht="15.75" customHeight="1">
      <c r="A1352" s="189"/>
      <c r="B1352" s="22"/>
      <c r="C1352" s="22"/>
      <c r="D1352" s="22"/>
      <c r="E1352" s="22"/>
      <c r="F1352" s="22"/>
      <c r="G1352" s="22"/>
      <c r="H1352" s="22"/>
      <c r="I1352" s="24"/>
      <c r="J1352" s="24"/>
      <c r="K1352" s="24"/>
      <c r="L1352" s="24"/>
      <c r="M1352" s="26"/>
      <c r="N1352" s="26"/>
      <c r="O1352" s="26"/>
      <c r="P1352" s="27"/>
      <c r="Q1352" s="27"/>
      <c r="R1352" s="27"/>
      <c r="S1352" s="22"/>
      <c r="T1352" s="22"/>
      <c r="U1352" s="28"/>
    </row>
    <row r="1353" ht="15.75" customHeight="1">
      <c r="A1353" s="189"/>
      <c r="B1353" s="22"/>
      <c r="C1353" s="22"/>
      <c r="D1353" s="22"/>
      <c r="E1353" s="22"/>
      <c r="F1353" s="22"/>
      <c r="G1353" s="22"/>
      <c r="H1353" s="22"/>
      <c r="I1353" s="24"/>
      <c r="J1353" s="24"/>
      <c r="K1353" s="24"/>
      <c r="L1353" s="24"/>
      <c r="M1353" s="26"/>
      <c r="N1353" s="26"/>
      <c r="O1353" s="26"/>
      <c r="P1353" s="27"/>
      <c r="Q1353" s="27"/>
      <c r="R1353" s="27"/>
      <c r="S1353" s="22"/>
      <c r="T1353" s="22"/>
      <c r="U1353" s="28"/>
    </row>
    <row r="1354" ht="15.75" customHeight="1">
      <c r="A1354" s="189"/>
      <c r="B1354" s="22"/>
      <c r="C1354" s="22"/>
      <c r="D1354" s="22"/>
      <c r="E1354" s="22"/>
      <c r="F1354" s="22"/>
      <c r="G1354" s="22"/>
      <c r="H1354" s="22"/>
      <c r="I1354" s="24"/>
      <c r="J1354" s="24"/>
      <c r="K1354" s="24"/>
      <c r="L1354" s="24"/>
      <c r="M1354" s="26"/>
      <c r="N1354" s="26"/>
      <c r="O1354" s="26"/>
      <c r="P1354" s="27"/>
      <c r="Q1354" s="27"/>
      <c r="R1354" s="27"/>
      <c r="S1354" s="22"/>
      <c r="T1354" s="22"/>
      <c r="U1354" s="28"/>
    </row>
    <row r="1355" ht="15.75" customHeight="1">
      <c r="A1355" s="189"/>
      <c r="B1355" s="22"/>
      <c r="C1355" s="22"/>
      <c r="D1355" s="22"/>
      <c r="E1355" s="22"/>
      <c r="F1355" s="22"/>
      <c r="G1355" s="22"/>
      <c r="H1355" s="22"/>
      <c r="I1355" s="24"/>
      <c r="J1355" s="24"/>
      <c r="K1355" s="24"/>
      <c r="L1355" s="24"/>
      <c r="M1355" s="26"/>
      <c r="N1355" s="26"/>
      <c r="O1355" s="26"/>
      <c r="P1355" s="27"/>
      <c r="Q1355" s="27"/>
      <c r="R1355" s="27"/>
      <c r="S1355" s="22"/>
      <c r="T1355" s="22"/>
      <c r="U1355" s="28"/>
    </row>
    <row r="1356" ht="15.75" customHeight="1">
      <c r="A1356" s="189"/>
      <c r="B1356" s="22"/>
      <c r="C1356" s="22"/>
      <c r="D1356" s="22"/>
      <c r="E1356" s="22"/>
      <c r="F1356" s="22"/>
      <c r="G1356" s="22"/>
      <c r="H1356" s="22"/>
      <c r="I1356" s="24"/>
      <c r="J1356" s="24"/>
      <c r="K1356" s="24"/>
      <c r="L1356" s="24"/>
      <c r="M1356" s="26"/>
      <c r="N1356" s="26"/>
      <c r="O1356" s="26"/>
      <c r="P1356" s="27"/>
      <c r="Q1356" s="27"/>
      <c r="R1356" s="27"/>
      <c r="S1356" s="22"/>
      <c r="T1356" s="22"/>
      <c r="U1356" s="28"/>
    </row>
    <row r="1357" ht="15.75" customHeight="1">
      <c r="A1357" s="189"/>
      <c r="B1357" s="22"/>
      <c r="C1357" s="22"/>
      <c r="D1357" s="22"/>
      <c r="E1357" s="22"/>
      <c r="F1357" s="22"/>
      <c r="G1357" s="22"/>
      <c r="H1357" s="22"/>
      <c r="I1357" s="24"/>
      <c r="J1357" s="24"/>
      <c r="K1357" s="24"/>
      <c r="L1357" s="24"/>
      <c r="M1357" s="26"/>
      <c r="N1357" s="26"/>
      <c r="O1357" s="26"/>
      <c r="P1357" s="27"/>
      <c r="Q1357" s="27"/>
      <c r="R1357" s="27"/>
      <c r="S1357" s="22"/>
      <c r="T1357" s="22"/>
      <c r="U1357" s="28"/>
    </row>
    <row r="1358" ht="15.75" customHeight="1">
      <c r="A1358" s="189"/>
      <c r="B1358" s="22"/>
      <c r="C1358" s="22"/>
      <c r="D1358" s="22"/>
      <c r="E1358" s="22"/>
      <c r="F1358" s="22"/>
      <c r="G1358" s="22"/>
      <c r="H1358" s="22"/>
      <c r="I1358" s="24"/>
      <c r="J1358" s="24"/>
      <c r="K1358" s="24"/>
      <c r="L1358" s="24"/>
      <c r="M1358" s="26"/>
      <c r="N1358" s="26"/>
      <c r="O1358" s="26"/>
      <c r="P1358" s="27"/>
      <c r="Q1358" s="27"/>
      <c r="R1358" s="27"/>
      <c r="S1358" s="22"/>
      <c r="T1358" s="22"/>
      <c r="U1358" s="28"/>
    </row>
    <row r="1359" ht="15.75" customHeight="1">
      <c r="A1359" s="189"/>
      <c r="B1359" s="22"/>
      <c r="C1359" s="22"/>
      <c r="D1359" s="22"/>
      <c r="E1359" s="22"/>
      <c r="F1359" s="22"/>
      <c r="G1359" s="22"/>
      <c r="H1359" s="22"/>
      <c r="I1359" s="24"/>
      <c r="J1359" s="24"/>
      <c r="K1359" s="24"/>
      <c r="L1359" s="24"/>
      <c r="M1359" s="26"/>
      <c r="N1359" s="26"/>
      <c r="O1359" s="26"/>
      <c r="P1359" s="27"/>
      <c r="Q1359" s="27"/>
      <c r="R1359" s="27"/>
      <c r="S1359" s="22"/>
      <c r="T1359" s="22"/>
      <c r="U1359" s="28"/>
    </row>
    <row r="1360" ht="15.75" customHeight="1">
      <c r="A1360" s="189"/>
      <c r="B1360" s="22"/>
      <c r="C1360" s="22"/>
      <c r="D1360" s="22"/>
      <c r="E1360" s="22"/>
      <c r="F1360" s="22"/>
      <c r="G1360" s="22"/>
      <c r="H1360" s="22"/>
      <c r="I1360" s="24"/>
      <c r="J1360" s="24"/>
      <c r="K1360" s="24"/>
      <c r="L1360" s="24"/>
      <c r="M1360" s="26"/>
      <c r="N1360" s="26"/>
      <c r="O1360" s="26"/>
      <c r="P1360" s="27"/>
      <c r="Q1360" s="27"/>
      <c r="R1360" s="27"/>
      <c r="S1360" s="22"/>
      <c r="T1360" s="22"/>
      <c r="U1360" s="28"/>
    </row>
    <row r="1361" ht="15.75" customHeight="1">
      <c r="A1361" s="189"/>
      <c r="B1361" s="22"/>
      <c r="C1361" s="22"/>
      <c r="D1361" s="22"/>
      <c r="E1361" s="22"/>
      <c r="F1361" s="22"/>
      <c r="G1361" s="22"/>
      <c r="H1361" s="22"/>
      <c r="I1361" s="24"/>
      <c r="J1361" s="24"/>
      <c r="K1361" s="24"/>
      <c r="L1361" s="24"/>
      <c r="M1361" s="26"/>
      <c r="N1361" s="26"/>
      <c r="O1361" s="26"/>
      <c r="P1361" s="27"/>
      <c r="Q1361" s="27"/>
      <c r="R1361" s="27"/>
      <c r="S1361" s="22"/>
      <c r="T1361" s="22"/>
      <c r="U1361" s="28"/>
    </row>
    <row r="1362" ht="15.75" customHeight="1">
      <c r="A1362" s="189"/>
      <c r="B1362" s="22"/>
      <c r="C1362" s="22"/>
      <c r="D1362" s="22"/>
      <c r="E1362" s="22"/>
      <c r="F1362" s="22"/>
      <c r="G1362" s="22"/>
      <c r="H1362" s="22"/>
      <c r="I1362" s="24"/>
      <c r="J1362" s="24"/>
      <c r="K1362" s="24"/>
      <c r="L1362" s="24"/>
      <c r="M1362" s="26"/>
      <c r="N1362" s="26"/>
      <c r="O1362" s="26"/>
      <c r="P1362" s="27"/>
      <c r="Q1362" s="27"/>
      <c r="R1362" s="27"/>
      <c r="S1362" s="22"/>
      <c r="T1362" s="22"/>
      <c r="U1362" s="28"/>
    </row>
    <row r="1363" ht="15.75" customHeight="1">
      <c r="A1363" s="189"/>
      <c r="B1363" s="22"/>
      <c r="C1363" s="22"/>
      <c r="D1363" s="22"/>
      <c r="E1363" s="22"/>
      <c r="F1363" s="22"/>
      <c r="G1363" s="22"/>
      <c r="H1363" s="22"/>
      <c r="I1363" s="24"/>
      <c r="J1363" s="24"/>
      <c r="K1363" s="24"/>
      <c r="L1363" s="24"/>
      <c r="M1363" s="26"/>
      <c r="N1363" s="26"/>
      <c r="O1363" s="26"/>
      <c r="P1363" s="27"/>
      <c r="Q1363" s="27"/>
      <c r="R1363" s="27"/>
      <c r="S1363" s="22"/>
      <c r="T1363" s="22"/>
      <c r="U1363" s="28"/>
    </row>
    <row r="1364" ht="15.75" customHeight="1">
      <c r="A1364" s="189"/>
      <c r="B1364" s="22"/>
      <c r="C1364" s="22"/>
      <c r="D1364" s="22"/>
      <c r="E1364" s="22"/>
      <c r="F1364" s="22"/>
      <c r="G1364" s="22"/>
      <c r="H1364" s="22"/>
      <c r="I1364" s="24"/>
      <c r="J1364" s="24"/>
      <c r="K1364" s="24"/>
      <c r="L1364" s="24"/>
      <c r="M1364" s="26"/>
      <c r="N1364" s="26"/>
      <c r="O1364" s="26"/>
      <c r="P1364" s="27"/>
      <c r="Q1364" s="27"/>
      <c r="R1364" s="27"/>
      <c r="S1364" s="22"/>
      <c r="T1364" s="22"/>
      <c r="U1364" s="28"/>
    </row>
    <row r="1365" ht="15.75" customHeight="1">
      <c r="A1365" s="189"/>
      <c r="B1365" s="22"/>
      <c r="C1365" s="22"/>
      <c r="D1365" s="22"/>
      <c r="E1365" s="22"/>
      <c r="F1365" s="22"/>
      <c r="G1365" s="22"/>
      <c r="H1365" s="22"/>
      <c r="I1365" s="24"/>
      <c r="J1365" s="24"/>
      <c r="K1365" s="24"/>
      <c r="L1365" s="24"/>
      <c r="M1365" s="26"/>
      <c r="N1365" s="26"/>
      <c r="O1365" s="26"/>
      <c r="P1365" s="27"/>
      <c r="Q1365" s="27"/>
      <c r="R1365" s="27"/>
      <c r="S1365" s="22"/>
      <c r="T1365" s="22"/>
      <c r="U1365" s="28"/>
    </row>
    <row r="1366" ht="15.75" customHeight="1">
      <c r="A1366" s="189"/>
      <c r="B1366" s="22"/>
      <c r="C1366" s="22"/>
      <c r="D1366" s="22"/>
      <c r="E1366" s="22"/>
      <c r="F1366" s="22"/>
      <c r="G1366" s="22"/>
      <c r="H1366" s="22"/>
      <c r="I1366" s="24"/>
      <c r="J1366" s="24"/>
      <c r="K1366" s="24"/>
      <c r="L1366" s="24"/>
      <c r="M1366" s="26"/>
      <c r="N1366" s="26"/>
      <c r="O1366" s="26"/>
      <c r="P1366" s="27"/>
      <c r="Q1366" s="27"/>
      <c r="R1366" s="27"/>
      <c r="S1366" s="22"/>
      <c r="T1366" s="22"/>
      <c r="U1366" s="28"/>
    </row>
    <row r="1367" ht="15.75" customHeight="1">
      <c r="A1367" s="189"/>
      <c r="B1367" s="22"/>
      <c r="C1367" s="22"/>
      <c r="D1367" s="22"/>
      <c r="E1367" s="22"/>
      <c r="F1367" s="22"/>
      <c r="G1367" s="22"/>
      <c r="H1367" s="22"/>
      <c r="I1367" s="24"/>
      <c r="J1367" s="24"/>
      <c r="K1367" s="24"/>
      <c r="L1367" s="24"/>
      <c r="M1367" s="26"/>
      <c r="N1367" s="26"/>
      <c r="O1367" s="26"/>
      <c r="P1367" s="27"/>
      <c r="Q1367" s="27"/>
      <c r="R1367" s="27"/>
      <c r="S1367" s="22"/>
      <c r="T1367" s="22"/>
      <c r="U1367" s="28"/>
    </row>
    <row r="1368" ht="15.75" customHeight="1">
      <c r="A1368" s="189"/>
      <c r="B1368" s="22"/>
      <c r="C1368" s="22"/>
      <c r="D1368" s="22"/>
      <c r="E1368" s="22"/>
      <c r="F1368" s="22"/>
      <c r="G1368" s="22"/>
      <c r="H1368" s="22"/>
      <c r="I1368" s="24"/>
      <c r="J1368" s="24"/>
      <c r="K1368" s="24"/>
      <c r="L1368" s="24"/>
      <c r="M1368" s="26"/>
      <c r="N1368" s="26"/>
      <c r="O1368" s="26"/>
      <c r="P1368" s="27"/>
      <c r="Q1368" s="27"/>
      <c r="R1368" s="27"/>
      <c r="S1368" s="22"/>
      <c r="T1368" s="22"/>
      <c r="U1368" s="28"/>
    </row>
    <row r="1369" ht="15.75" customHeight="1">
      <c r="A1369" s="189"/>
      <c r="B1369" s="22"/>
      <c r="C1369" s="22"/>
      <c r="D1369" s="22"/>
      <c r="E1369" s="22"/>
      <c r="F1369" s="22"/>
      <c r="G1369" s="22"/>
      <c r="H1369" s="22"/>
      <c r="I1369" s="24"/>
      <c r="J1369" s="24"/>
      <c r="K1369" s="24"/>
      <c r="L1369" s="24"/>
      <c r="M1369" s="26"/>
      <c r="N1369" s="26"/>
      <c r="O1369" s="26"/>
      <c r="P1369" s="27"/>
      <c r="Q1369" s="27"/>
      <c r="R1369" s="27"/>
      <c r="S1369" s="22"/>
      <c r="T1369" s="22"/>
      <c r="U1369" s="28"/>
    </row>
    <row r="1370" ht="15.75" customHeight="1">
      <c r="A1370" s="189"/>
      <c r="B1370" s="22"/>
      <c r="C1370" s="22"/>
      <c r="D1370" s="22"/>
      <c r="E1370" s="22"/>
      <c r="F1370" s="22"/>
      <c r="G1370" s="22"/>
      <c r="H1370" s="22"/>
      <c r="I1370" s="24"/>
      <c r="J1370" s="24"/>
      <c r="K1370" s="24"/>
      <c r="L1370" s="24"/>
      <c r="M1370" s="26"/>
      <c r="N1370" s="26"/>
      <c r="O1370" s="26"/>
      <c r="P1370" s="27"/>
      <c r="Q1370" s="27"/>
      <c r="R1370" s="27"/>
      <c r="S1370" s="22"/>
      <c r="T1370" s="22"/>
      <c r="U1370" s="28"/>
    </row>
    <row r="1371" ht="15.75" customHeight="1">
      <c r="A1371" s="189"/>
      <c r="B1371" s="22"/>
      <c r="C1371" s="22"/>
      <c r="D1371" s="22"/>
      <c r="E1371" s="22"/>
      <c r="F1371" s="22"/>
      <c r="G1371" s="22"/>
      <c r="H1371" s="22"/>
      <c r="I1371" s="24"/>
      <c r="J1371" s="24"/>
      <c r="K1371" s="24"/>
      <c r="L1371" s="24"/>
      <c r="M1371" s="26"/>
      <c r="N1371" s="26"/>
      <c r="O1371" s="26"/>
      <c r="P1371" s="27"/>
      <c r="Q1371" s="27"/>
      <c r="R1371" s="27"/>
      <c r="S1371" s="22"/>
      <c r="T1371" s="22"/>
      <c r="U1371" s="28"/>
    </row>
    <row r="1372" ht="15.75" customHeight="1">
      <c r="A1372" s="189"/>
      <c r="B1372" s="22"/>
      <c r="C1372" s="22"/>
      <c r="D1372" s="22"/>
      <c r="E1372" s="22"/>
      <c r="F1372" s="22"/>
      <c r="G1372" s="22"/>
      <c r="H1372" s="22"/>
      <c r="I1372" s="24"/>
      <c r="J1372" s="24"/>
      <c r="K1372" s="24"/>
      <c r="L1372" s="24"/>
      <c r="M1372" s="26"/>
      <c r="N1372" s="26"/>
      <c r="O1372" s="26"/>
      <c r="P1372" s="27"/>
      <c r="Q1372" s="27"/>
      <c r="R1372" s="27"/>
      <c r="S1372" s="22"/>
      <c r="T1372" s="22"/>
      <c r="U1372" s="28"/>
    </row>
    <row r="1373" ht="15.75" customHeight="1">
      <c r="A1373" s="189"/>
      <c r="B1373" s="22"/>
      <c r="C1373" s="22"/>
      <c r="D1373" s="22"/>
      <c r="E1373" s="22"/>
      <c r="F1373" s="22"/>
      <c r="G1373" s="22"/>
      <c r="H1373" s="22"/>
      <c r="I1373" s="24"/>
      <c r="J1373" s="24"/>
      <c r="K1373" s="24"/>
      <c r="L1373" s="24"/>
      <c r="M1373" s="26"/>
      <c r="N1373" s="26"/>
      <c r="O1373" s="26"/>
      <c r="P1373" s="27"/>
      <c r="Q1373" s="27"/>
      <c r="R1373" s="27"/>
      <c r="S1373" s="22"/>
      <c r="T1373" s="22"/>
      <c r="U1373" s="28"/>
    </row>
    <row r="1374" ht="15.75" customHeight="1">
      <c r="A1374" s="189"/>
      <c r="B1374" s="22"/>
      <c r="C1374" s="22"/>
      <c r="D1374" s="22"/>
      <c r="E1374" s="22"/>
      <c r="F1374" s="22"/>
      <c r="G1374" s="22"/>
      <c r="H1374" s="22"/>
      <c r="I1374" s="24"/>
      <c r="J1374" s="24"/>
      <c r="K1374" s="24"/>
      <c r="L1374" s="24"/>
      <c r="M1374" s="26"/>
      <c r="N1374" s="26"/>
      <c r="O1374" s="26"/>
      <c r="P1374" s="27"/>
      <c r="Q1374" s="27"/>
      <c r="R1374" s="27"/>
      <c r="S1374" s="22"/>
      <c r="T1374" s="22"/>
      <c r="U1374" s="28"/>
    </row>
    <row r="1375" ht="15.75" customHeight="1">
      <c r="A1375" s="189"/>
      <c r="B1375" s="22"/>
      <c r="C1375" s="22"/>
      <c r="D1375" s="22"/>
      <c r="E1375" s="22"/>
      <c r="F1375" s="22"/>
      <c r="G1375" s="22"/>
      <c r="H1375" s="22"/>
      <c r="I1375" s="24"/>
      <c r="J1375" s="24"/>
      <c r="K1375" s="24"/>
      <c r="L1375" s="24"/>
      <c r="M1375" s="26"/>
      <c r="N1375" s="26"/>
      <c r="O1375" s="26"/>
      <c r="P1375" s="27"/>
      <c r="Q1375" s="27"/>
      <c r="R1375" s="27"/>
      <c r="S1375" s="22"/>
      <c r="T1375" s="22"/>
      <c r="U1375" s="28"/>
    </row>
    <row r="1376" ht="15.75" customHeight="1">
      <c r="A1376" s="189"/>
      <c r="B1376" s="22"/>
      <c r="C1376" s="22"/>
      <c r="D1376" s="22"/>
      <c r="E1376" s="22"/>
      <c r="F1376" s="22"/>
      <c r="G1376" s="22"/>
      <c r="H1376" s="22"/>
      <c r="I1376" s="24"/>
      <c r="J1376" s="24"/>
      <c r="K1376" s="24"/>
      <c r="L1376" s="24"/>
      <c r="M1376" s="26"/>
      <c r="N1376" s="26"/>
      <c r="O1376" s="26"/>
      <c r="P1376" s="27"/>
      <c r="Q1376" s="27"/>
      <c r="R1376" s="27"/>
      <c r="S1376" s="22"/>
      <c r="T1376" s="22"/>
      <c r="U1376" s="28"/>
    </row>
    <row r="1377" ht="15.75" customHeight="1">
      <c r="A1377" s="189"/>
      <c r="B1377" s="22"/>
      <c r="C1377" s="22"/>
      <c r="D1377" s="22"/>
      <c r="E1377" s="22"/>
      <c r="F1377" s="22"/>
      <c r="G1377" s="22"/>
      <c r="H1377" s="22"/>
      <c r="I1377" s="24"/>
      <c r="J1377" s="24"/>
      <c r="K1377" s="24"/>
      <c r="L1377" s="24"/>
      <c r="M1377" s="26"/>
      <c r="N1377" s="26"/>
      <c r="O1377" s="26"/>
      <c r="P1377" s="27"/>
      <c r="Q1377" s="27"/>
      <c r="R1377" s="27"/>
      <c r="S1377" s="22"/>
      <c r="T1377" s="22"/>
      <c r="U1377" s="28"/>
    </row>
    <row r="1378" ht="15.75" customHeight="1">
      <c r="A1378" s="189"/>
      <c r="B1378" s="22"/>
      <c r="C1378" s="22"/>
      <c r="D1378" s="22"/>
      <c r="E1378" s="22"/>
      <c r="F1378" s="22"/>
      <c r="G1378" s="22"/>
      <c r="H1378" s="22"/>
      <c r="I1378" s="24"/>
      <c r="J1378" s="24"/>
      <c r="K1378" s="24"/>
      <c r="L1378" s="24"/>
      <c r="M1378" s="26"/>
      <c r="N1378" s="26"/>
      <c r="O1378" s="26"/>
      <c r="P1378" s="27"/>
      <c r="Q1378" s="27"/>
      <c r="R1378" s="27"/>
      <c r="S1378" s="22"/>
      <c r="T1378" s="22"/>
      <c r="U1378" s="28"/>
    </row>
    <row r="1379" ht="15.75" customHeight="1">
      <c r="A1379" s="189"/>
      <c r="B1379" s="22"/>
      <c r="C1379" s="22"/>
      <c r="D1379" s="22"/>
      <c r="E1379" s="22"/>
      <c r="F1379" s="22"/>
      <c r="G1379" s="22"/>
      <c r="H1379" s="22"/>
      <c r="I1379" s="24"/>
      <c r="J1379" s="24"/>
      <c r="K1379" s="24"/>
      <c r="L1379" s="24"/>
      <c r="M1379" s="26"/>
      <c r="N1379" s="26"/>
      <c r="O1379" s="26"/>
      <c r="P1379" s="27"/>
      <c r="Q1379" s="27"/>
      <c r="R1379" s="27"/>
      <c r="S1379" s="22"/>
      <c r="T1379" s="22"/>
      <c r="U1379" s="28"/>
    </row>
    <row r="1380" ht="15.75" customHeight="1">
      <c r="A1380" s="189"/>
      <c r="B1380" s="22"/>
      <c r="C1380" s="22"/>
      <c r="D1380" s="22"/>
      <c r="E1380" s="22"/>
      <c r="F1380" s="22"/>
      <c r="G1380" s="22"/>
      <c r="H1380" s="22"/>
      <c r="I1380" s="24"/>
      <c r="J1380" s="24"/>
      <c r="K1380" s="24"/>
      <c r="L1380" s="24"/>
      <c r="M1380" s="26"/>
      <c r="N1380" s="26"/>
      <c r="O1380" s="26"/>
      <c r="P1380" s="27"/>
      <c r="Q1380" s="27"/>
      <c r="R1380" s="27"/>
      <c r="S1380" s="22"/>
      <c r="T1380" s="22"/>
      <c r="U1380" s="28"/>
    </row>
    <row r="1381" ht="15.75" customHeight="1">
      <c r="A1381" s="189"/>
      <c r="B1381" s="22"/>
      <c r="C1381" s="22"/>
      <c r="D1381" s="22"/>
      <c r="E1381" s="22"/>
      <c r="F1381" s="22"/>
      <c r="G1381" s="22"/>
      <c r="H1381" s="22"/>
      <c r="I1381" s="24"/>
      <c r="J1381" s="24"/>
      <c r="K1381" s="24"/>
      <c r="L1381" s="24"/>
      <c r="M1381" s="26"/>
      <c r="N1381" s="26"/>
      <c r="O1381" s="26"/>
      <c r="P1381" s="27"/>
      <c r="Q1381" s="27"/>
      <c r="R1381" s="27"/>
      <c r="S1381" s="22"/>
      <c r="T1381" s="22"/>
      <c r="U1381" s="28"/>
    </row>
    <row r="1382" ht="15.75" customHeight="1">
      <c r="A1382" s="189"/>
      <c r="B1382" s="22"/>
      <c r="C1382" s="22"/>
      <c r="D1382" s="22"/>
      <c r="E1382" s="22"/>
      <c r="F1382" s="22"/>
      <c r="G1382" s="22"/>
      <c r="H1382" s="22"/>
      <c r="I1382" s="24"/>
      <c r="J1382" s="24"/>
      <c r="K1382" s="24"/>
      <c r="L1382" s="24"/>
      <c r="M1382" s="26"/>
      <c r="N1382" s="26"/>
      <c r="O1382" s="26"/>
      <c r="P1382" s="27"/>
      <c r="Q1382" s="27"/>
      <c r="R1382" s="27"/>
      <c r="S1382" s="22"/>
      <c r="T1382" s="22"/>
      <c r="U1382" s="28"/>
    </row>
    <row r="1383" ht="15.75" customHeight="1">
      <c r="A1383" s="189"/>
      <c r="B1383" s="22"/>
      <c r="C1383" s="22"/>
      <c r="D1383" s="22"/>
      <c r="E1383" s="22"/>
      <c r="F1383" s="22"/>
      <c r="G1383" s="22"/>
      <c r="H1383" s="22"/>
      <c r="I1383" s="24"/>
      <c r="J1383" s="24"/>
      <c r="K1383" s="24"/>
      <c r="L1383" s="24"/>
      <c r="M1383" s="26"/>
      <c r="N1383" s="26"/>
      <c r="O1383" s="26"/>
      <c r="P1383" s="27"/>
      <c r="Q1383" s="27"/>
      <c r="R1383" s="27"/>
      <c r="S1383" s="22"/>
      <c r="T1383" s="22"/>
      <c r="U1383" s="28"/>
    </row>
    <row r="1384" ht="15.75" customHeight="1">
      <c r="A1384" s="189"/>
      <c r="B1384" s="22"/>
      <c r="C1384" s="22"/>
      <c r="D1384" s="22"/>
      <c r="E1384" s="22"/>
      <c r="F1384" s="22"/>
      <c r="G1384" s="22"/>
      <c r="H1384" s="22"/>
      <c r="I1384" s="24"/>
      <c r="J1384" s="24"/>
      <c r="K1384" s="24"/>
      <c r="L1384" s="24"/>
      <c r="M1384" s="26"/>
      <c r="N1384" s="26"/>
      <c r="O1384" s="26"/>
      <c r="P1384" s="27"/>
      <c r="Q1384" s="27"/>
      <c r="R1384" s="27"/>
      <c r="S1384" s="22"/>
      <c r="T1384" s="22"/>
      <c r="U1384" s="28"/>
    </row>
    <row r="1385" ht="15.75" customHeight="1">
      <c r="A1385" s="189"/>
      <c r="B1385" s="22"/>
      <c r="C1385" s="22"/>
      <c r="D1385" s="22"/>
      <c r="E1385" s="22"/>
      <c r="F1385" s="22"/>
      <c r="G1385" s="22"/>
      <c r="H1385" s="22"/>
      <c r="I1385" s="24"/>
      <c r="J1385" s="24"/>
      <c r="K1385" s="24"/>
      <c r="L1385" s="24"/>
      <c r="M1385" s="26"/>
      <c r="N1385" s="26"/>
      <c r="O1385" s="26"/>
      <c r="P1385" s="27"/>
      <c r="Q1385" s="27"/>
      <c r="R1385" s="27"/>
      <c r="S1385" s="22"/>
      <c r="T1385" s="22"/>
      <c r="U1385" s="28"/>
    </row>
    <row r="1386" ht="15.75" customHeight="1">
      <c r="A1386" s="189"/>
      <c r="B1386" s="22"/>
      <c r="C1386" s="22"/>
      <c r="D1386" s="22"/>
      <c r="E1386" s="22"/>
      <c r="F1386" s="22"/>
      <c r="G1386" s="22"/>
      <c r="H1386" s="22"/>
      <c r="I1386" s="24"/>
      <c r="J1386" s="24"/>
      <c r="K1386" s="24"/>
      <c r="L1386" s="24"/>
      <c r="M1386" s="26"/>
      <c r="N1386" s="26"/>
      <c r="O1386" s="26"/>
      <c r="P1386" s="27"/>
      <c r="Q1386" s="27"/>
      <c r="R1386" s="27"/>
      <c r="S1386" s="22"/>
      <c r="T1386" s="22"/>
      <c r="U1386" s="28"/>
    </row>
    <row r="1387" ht="15.75" customHeight="1">
      <c r="A1387" s="189"/>
      <c r="B1387" s="22"/>
      <c r="C1387" s="22"/>
      <c r="D1387" s="22"/>
      <c r="E1387" s="22"/>
      <c r="F1387" s="22"/>
      <c r="G1387" s="22"/>
      <c r="H1387" s="22"/>
      <c r="I1387" s="24"/>
      <c r="J1387" s="24"/>
      <c r="K1387" s="24"/>
      <c r="L1387" s="24"/>
      <c r="M1387" s="26"/>
      <c r="N1387" s="26"/>
      <c r="O1387" s="26"/>
      <c r="P1387" s="27"/>
      <c r="Q1387" s="27"/>
      <c r="R1387" s="27"/>
      <c r="S1387" s="22"/>
      <c r="T1387" s="22"/>
      <c r="U1387" s="28"/>
    </row>
    <row r="1388" ht="15.75" customHeight="1">
      <c r="A1388" s="189"/>
      <c r="B1388" s="22"/>
      <c r="C1388" s="22"/>
      <c r="D1388" s="22"/>
      <c r="E1388" s="22"/>
      <c r="F1388" s="22"/>
      <c r="G1388" s="22"/>
      <c r="H1388" s="22"/>
      <c r="I1388" s="24"/>
      <c r="J1388" s="24"/>
      <c r="K1388" s="24"/>
      <c r="L1388" s="24"/>
      <c r="M1388" s="26"/>
      <c r="N1388" s="26"/>
      <c r="O1388" s="26"/>
      <c r="P1388" s="27"/>
      <c r="Q1388" s="27"/>
      <c r="R1388" s="27"/>
      <c r="S1388" s="22"/>
      <c r="T1388" s="22"/>
      <c r="U1388" s="28"/>
    </row>
    <row r="1389" ht="15.75" customHeight="1">
      <c r="A1389" s="189"/>
      <c r="B1389" s="22"/>
      <c r="C1389" s="22"/>
      <c r="D1389" s="22"/>
      <c r="E1389" s="22"/>
      <c r="F1389" s="22"/>
      <c r="G1389" s="22"/>
      <c r="H1389" s="22"/>
      <c r="I1389" s="24"/>
      <c r="J1389" s="24"/>
      <c r="K1389" s="24"/>
      <c r="L1389" s="24"/>
      <c r="M1389" s="26"/>
      <c r="N1389" s="26"/>
      <c r="O1389" s="26"/>
      <c r="P1389" s="27"/>
      <c r="Q1389" s="27"/>
      <c r="R1389" s="27"/>
      <c r="S1389" s="22"/>
      <c r="T1389" s="22"/>
      <c r="U1389" s="28"/>
    </row>
    <row r="1390" ht="15.75" customHeight="1">
      <c r="A1390" s="189"/>
      <c r="B1390" s="22"/>
      <c r="C1390" s="22"/>
      <c r="D1390" s="22"/>
      <c r="E1390" s="22"/>
      <c r="F1390" s="22"/>
      <c r="G1390" s="22"/>
      <c r="H1390" s="22"/>
      <c r="I1390" s="24"/>
      <c r="J1390" s="24"/>
      <c r="K1390" s="24"/>
      <c r="L1390" s="24"/>
      <c r="M1390" s="26"/>
      <c r="N1390" s="26"/>
      <c r="O1390" s="26"/>
      <c r="P1390" s="27"/>
      <c r="Q1390" s="27"/>
      <c r="R1390" s="27"/>
      <c r="S1390" s="22"/>
      <c r="T1390" s="22"/>
      <c r="U1390" s="28"/>
    </row>
    <row r="1391" ht="15.75" customHeight="1">
      <c r="A1391" s="189"/>
      <c r="B1391" s="22"/>
      <c r="C1391" s="22"/>
      <c r="D1391" s="22"/>
      <c r="E1391" s="22"/>
      <c r="F1391" s="22"/>
      <c r="G1391" s="22"/>
      <c r="H1391" s="22"/>
      <c r="I1391" s="24"/>
      <c r="J1391" s="24"/>
      <c r="K1391" s="24"/>
      <c r="L1391" s="24"/>
      <c r="M1391" s="26"/>
      <c r="N1391" s="26"/>
      <c r="O1391" s="26"/>
      <c r="P1391" s="27"/>
      <c r="Q1391" s="27"/>
      <c r="R1391" s="27"/>
      <c r="S1391" s="22"/>
      <c r="T1391" s="22"/>
      <c r="U1391" s="28"/>
    </row>
    <row r="1392" ht="15.75" customHeight="1">
      <c r="A1392" s="189"/>
      <c r="B1392" s="22"/>
      <c r="C1392" s="22"/>
      <c r="D1392" s="22"/>
      <c r="E1392" s="22"/>
      <c r="F1392" s="22"/>
      <c r="G1392" s="22"/>
      <c r="H1392" s="22"/>
      <c r="I1392" s="24"/>
      <c r="J1392" s="24"/>
      <c r="K1392" s="24"/>
      <c r="L1392" s="24"/>
      <c r="M1392" s="26"/>
      <c r="N1392" s="26"/>
      <c r="O1392" s="26"/>
      <c r="P1392" s="27"/>
      <c r="Q1392" s="27"/>
      <c r="R1392" s="27"/>
      <c r="S1392" s="22"/>
      <c r="T1392" s="22"/>
      <c r="U1392" s="28"/>
    </row>
    <row r="1393" ht="15.75" customHeight="1">
      <c r="A1393" s="189"/>
      <c r="B1393" s="22"/>
      <c r="C1393" s="22"/>
      <c r="D1393" s="22"/>
      <c r="E1393" s="22"/>
      <c r="F1393" s="22"/>
      <c r="G1393" s="22"/>
      <c r="H1393" s="22"/>
      <c r="I1393" s="24"/>
      <c r="J1393" s="24"/>
      <c r="K1393" s="24"/>
      <c r="L1393" s="24"/>
      <c r="M1393" s="26"/>
      <c r="N1393" s="26"/>
      <c r="O1393" s="26"/>
      <c r="P1393" s="27"/>
      <c r="Q1393" s="27"/>
      <c r="R1393" s="27"/>
      <c r="S1393" s="22"/>
      <c r="T1393" s="22"/>
      <c r="U1393" s="28"/>
    </row>
    <row r="1394" ht="15.75" customHeight="1">
      <c r="A1394" s="189"/>
      <c r="B1394" s="22"/>
      <c r="C1394" s="22"/>
      <c r="D1394" s="22"/>
      <c r="E1394" s="22"/>
      <c r="F1394" s="22"/>
      <c r="G1394" s="22"/>
      <c r="H1394" s="22"/>
      <c r="I1394" s="24"/>
      <c r="J1394" s="24"/>
      <c r="K1394" s="24"/>
      <c r="L1394" s="24"/>
      <c r="M1394" s="26"/>
      <c r="N1394" s="26"/>
      <c r="O1394" s="26"/>
      <c r="P1394" s="27"/>
      <c r="Q1394" s="27"/>
      <c r="R1394" s="27"/>
      <c r="S1394" s="22"/>
      <c r="T1394" s="22"/>
      <c r="U1394" s="28"/>
    </row>
    <row r="1395" ht="15.75" customHeight="1">
      <c r="A1395" s="189"/>
      <c r="B1395" s="22"/>
      <c r="C1395" s="22"/>
      <c r="D1395" s="22"/>
      <c r="E1395" s="22"/>
      <c r="F1395" s="22"/>
      <c r="G1395" s="22"/>
      <c r="H1395" s="22"/>
      <c r="I1395" s="24"/>
      <c r="J1395" s="24"/>
      <c r="K1395" s="24"/>
      <c r="L1395" s="24"/>
      <c r="M1395" s="26"/>
      <c r="N1395" s="26"/>
      <c r="O1395" s="26"/>
      <c r="P1395" s="27"/>
      <c r="Q1395" s="27"/>
      <c r="R1395" s="27"/>
      <c r="S1395" s="22"/>
      <c r="T1395" s="22"/>
      <c r="U1395" s="28"/>
    </row>
    <row r="1396" ht="15.75" customHeight="1">
      <c r="A1396" s="189"/>
      <c r="B1396" s="22"/>
      <c r="C1396" s="22"/>
      <c r="D1396" s="22"/>
      <c r="E1396" s="22"/>
      <c r="F1396" s="22"/>
      <c r="G1396" s="22"/>
      <c r="H1396" s="22"/>
      <c r="I1396" s="24"/>
      <c r="J1396" s="24"/>
      <c r="K1396" s="24"/>
      <c r="L1396" s="24"/>
      <c r="M1396" s="26"/>
      <c r="N1396" s="26"/>
      <c r="O1396" s="26"/>
      <c r="P1396" s="27"/>
      <c r="Q1396" s="27"/>
      <c r="R1396" s="27"/>
      <c r="S1396" s="22"/>
      <c r="T1396" s="22"/>
      <c r="U1396" s="28"/>
    </row>
    <row r="1397" ht="15.75" customHeight="1">
      <c r="A1397" s="189"/>
      <c r="B1397" s="22"/>
      <c r="C1397" s="22"/>
      <c r="D1397" s="22"/>
      <c r="E1397" s="22"/>
      <c r="F1397" s="22"/>
      <c r="G1397" s="22"/>
      <c r="H1397" s="22"/>
      <c r="I1397" s="24"/>
      <c r="J1397" s="24"/>
      <c r="K1397" s="24"/>
      <c r="L1397" s="24"/>
      <c r="M1397" s="26"/>
      <c r="N1397" s="26"/>
      <c r="O1397" s="26"/>
      <c r="P1397" s="27"/>
      <c r="Q1397" s="27"/>
      <c r="R1397" s="27"/>
      <c r="S1397" s="22"/>
      <c r="T1397" s="22"/>
      <c r="U1397" s="28"/>
    </row>
    <row r="1398" ht="15.75" customHeight="1">
      <c r="A1398" s="189"/>
      <c r="B1398" s="22"/>
      <c r="C1398" s="22"/>
      <c r="D1398" s="22"/>
      <c r="E1398" s="22"/>
      <c r="F1398" s="22"/>
      <c r="G1398" s="22"/>
      <c r="H1398" s="22"/>
      <c r="I1398" s="24"/>
      <c r="J1398" s="24"/>
      <c r="K1398" s="24"/>
      <c r="L1398" s="24"/>
      <c r="M1398" s="26"/>
      <c r="N1398" s="26"/>
      <c r="O1398" s="26"/>
      <c r="P1398" s="27"/>
      <c r="Q1398" s="27"/>
      <c r="R1398" s="27"/>
      <c r="S1398" s="22"/>
      <c r="T1398" s="22"/>
      <c r="U1398" s="28"/>
    </row>
    <row r="1399" ht="15.75" customHeight="1">
      <c r="A1399" s="189"/>
      <c r="B1399" s="22"/>
      <c r="C1399" s="22"/>
      <c r="D1399" s="22"/>
      <c r="E1399" s="22"/>
      <c r="F1399" s="22"/>
      <c r="G1399" s="22"/>
      <c r="H1399" s="22"/>
      <c r="I1399" s="24"/>
      <c r="J1399" s="24"/>
      <c r="K1399" s="24"/>
      <c r="L1399" s="24"/>
      <c r="M1399" s="26"/>
      <c r="N1399" s="26"/>
      <c r="O1399" s="26"/>
      <c r="P1399" s="27"/>
      <c r="Q1399" s="27"/>
      <c r="R1399" s="27"/>
      <c r="S1399" s="22"/>
      <c r="T1399" s="22"/>
      <c r="U1399" s="28"/>
    </row>
    <row r="1400" ht="15.75" customHeight="1">
      <c r="A1400" s="189"/>
      <c r="B1400" s="22"/>
      <c r="C1400" s="22"/>
      <c r="D1400" s="22"/>
      <c r="E1400" s="22"/>
      <c r="F1400" s="22"/>
      <c r="G1400" s="22"/>
      <c r="H1400" s="22"/>
      <c r="I1400" s="24"/>
      <c r="J1400" s="24"/>
      <c r="K1400" s="24"/>
      <c r="L1400" s="24"/>
      <c r="M1400" s="26"/>
      <c r="N1400" s="26"/>
      <c r="O1400" s="26"/>
      <c r="P1400" s="27"/>
      <c r="Q1400" s="27"/>
      <c r="R1400" s="27"/>
      <c r="S1400" s="22"/>
      <c r="T1400" s="22"/>
      <c r="U1400" s="28"/>
    </row>
    <row r="1401" ht="15.75" customHeight="1">
      <c r="A1401" s="189"/>
      <c r="B1401" s="22"/>
      <c r="C1401" s="22"/>
      <c r="D1401" s="22"/>
      <c r="E1401" s="22"/>
      <c r="F1401" s="22"/>
      <c r="G1401" s="22"/>
      <c r="H1401" s="22"/>
      <c r="I1401" s="24"/>
      <c r="J1401" s="24"/>
      <c r="K1401" s="24"/>
      <c r="L1401" s="24"/>
      <c r="M1401" s="26"/>
      <c r="N1401" s="26"/>
      <c r="O1401" s="26"/>
      <c r="P1401" s="27"/>
      <c r="Q1401" s="27"/>
      <c r="R1401" s="27"/>
      <c r="S1401" s="22"/>
      <c r="T1401" s="22"/>
      <c r="U1401" s="28"/>
    </row>
    <row r="1402" ht="15.75" customHeight="1">
      <c r="A1402" s="189"/>
      <c r="B1402" s="22"/>
      <c r="C1402" s="22"/>
      <c r="D1402" s="22"/>
      <c r="E1402" s="22"/>
      <c r="F1402" s="22"/>
      <c r="G1402" s="22"/>
      <c r="H1402" s="22"/>
      <c r="I1402" s="24"/>
      <c r="J1402" s="24"/>
      <c r="K1402" s="24"/>
      <c r="L1402" s="24"/>
      <c r="M1402" s="26"/>
      <c r="N1402" s="26"/>
      <c r="O1402" s="26"/>
      <c r="P1402" s="27"/>
      <c r="Q1402" s="27"/>
      <c r="R1402" s="27"/>
      <c r="S1402" s="22"/>
      <c r="T1402" s="22"/>
      <c r="U1402" s="28"/>
    </row>
    <row r="1403" ht="15.75" customHeight="1">
      <c r="A1403" s="189"/>
      <c r="B1403" s="22"/>
      <c r="C1403" s="22"/>
      <c r="D1403" s="22"/>
      <c r="E1403" s="22"/>
      <c r="F1403" s="22"/>
      <c r="G1403" s="22"/>
      <c r="H1403" s="22"/>
      <c r="I1403" s="24"/>
      <c r="J1403" s="24"/>
      <c r="K1403" s="24"/>
      <c r="L1403" s="24"/>
      <c r="M1403" s="26"/>
      <c r="N1403" s="26"/>
      <c r="O1403" s="26"/>
      <c r="P1403" s="27"/>
      <c r="Q1403" s="27"/>
      <c r="R1403" s="27"/>
      <c r="S1403" s="22"/>
      <c r="T1403" s="22"/>
      <c r="U1403" s="28"/>
    </row>
    <row r="1404" ht="15.75" customHeight="1">
      <c r="A1404" s="189"/>
      <c r="B1404" s="22"/>
      <c r="C1404" s="22"/>
      <c r="D1404" s="22"/>
      <c r="E1404" s="22"/>
      <c r="F1404" s="22"/>
      <c r="G1404" s="22"/>
      <c r="H1404" s="22"/>
      <c r="I1404" s="24"/>
      <c r="J1404" s="24"/>
      <c r="K1404" s="24"/>
      <c r="L1404" s="24"/>
      <c r="M1404" s="26"/>
      <c r="N1404" s="26"/>
      <c r="O1404" s="26"/>
      <c r="P1404" s="27"/>
      <c r="Q1404" s="27"/>
      <c r="R1404" s="27"/>
      <c r="S1404" s="22"/>
      <c r="T1404" s="22"/>
      <c r="U1404" s="28"/>
    </row>
    <row r="1405" ht="15.75" customHeight="1">
      <c r="A1405" s="189"/>
      <c r="B1405" s="22"/>
      <c r="C1405" s="22"/>
      <c r="D1405" s="22"/>
      <c r="E1405" s="22"/>
      <c r="F1405" s="22"/>
      <c r="G1405" s="22"/>
      <c r="H1405" s="22"/>
      <c r="I1405" s="24"/>
      <c r="J1405" s="24"/>
      <c r="K1405" s="24"/>
      <c r="L1405" s="24"/>
      <c r="M1405" s="26"/>
      <c r="N1405" s="26"/>
      <c r="O1405" s="26"/>
      <c r="P1405" s="27"/>
      <c r="Q1405" s="27"/>
      <c r="R1405" s="27"/>
      <c r="S1405" s="22"/>
      <c r="T1405" s="22"/>
      <c r="U1405" s="28"/>
    </row>
    <row r="1406" ht="15.75" customHeight="1">
      <c r="A1406" s="189"/>
      <c r="B1406" s="22"/>
      <c r="C1406" s="22"/>
      <c r="D1406" s="22"/>
      <c r="E1406" s="22"/>
      <c r="F1406" s="22"/>
      <c r="G1406" s="22"/>
      <c r="H1406" s="22"/>
      <c r="I1406" s="24"/>
      <c r="J1406" s="24"/>
      <c r="K1406" s="24"/>
      <c r="L1406" s="24"/>
      <c r="M1406" s="26"/>
      <c r="N1406" s="26"/>
      <c r="O1406" s="26"/>
      <c r="P1406" s="27"/>
      <c r="Q1406" s="27"/>
      <c r="R1406" s="27"/>
      <c r="S1406" s="22"/>
      <c r="T1406" s="22"/>
      <c r="U1406" s="28"/>
    </row>
    <row r="1407" ht="15.75" customHeight="1">
      <c r="A1407" s="189"/>
      <c r="B1407" s="22"/>
      <c r="C1407" s="22"/>
      <c r="D1407" s="22"/>
      <c r="E1407" s="22"/>
      <c r="F1407" s="22"/>
      <c r="G1407" s="22"/>
      <c r="H1407" s="22"/>
      <c r="I1407" s="24"/>
      <c r="J1407" s="24"/>
      <c r="K1407" s="24"/>
      <c r="L1407" s="24"/>
      <c r="M1407" s="26"/>
      <c r="N1407" s="26"/>
      <c r="O1407" s="26"/>
      <c r="P1407" s="27"/>
      <c r="Q1407" s="27"/>
      <c r="R1407" s="27"/>
      <c r="S1407" s="22"/>
      <c r="T1407" s="22"/>
      <c r="U1407" s="28"/>
    </row>
    <row r="1408" ht="15.75" customHeight="1">
      <c r="A1408" s="189"/>
      <c r="B1408" s="22"/>
      <c r="C1408" s="22"/>
      <c r="D1408" s="22"/>
      <c r="E1408" s="22"/>
      <c r="F1408" s="22"/>
      <c r="G1408" s="22"/>
      <c r="H1408" s="22"/>
      <c r="I1408" s="24"/>
      <c r="J1408" s="24"/>
      <c r="K1408" s="24"/>
      <c r="L1408" s="24"/>
      <c r="M1408" s="26"/>
      <c r="N1408" s="26"/>
      <c r="O1408" s="26"/>
      <c r="P1408" s="27"/>
      <c r="Q1408" s="27"/>
      <c r="R1408" s="27"/>
      <c r="S1408" s="22"/>
      <c r="T1408" s="22"/>
      <c r="U1408" s="28"/>
    </row>
    <row r="1409" ht="15.75" customHeight="1">
      <c r="A1409" s="189"/>
      <c r="B1409" s="22"/>
      <c r="C1409" s="22"/>
      <c r="D1409" s="22"/>
      <c r="E1409" s="22"/>
      <c r="F1409" s="22"/>
      <c r="G1409" s="22"/>
      <c r="H1409" s="22"/>
      <c r="I1409" s="24"/>
      <c r="J1409" s="24"/>
      <c r="K1409" s="24"/>
      <c r="L1409" s="24"/>
      <c r="M1409" s="26"/>
      <c r="N1409" s="26"/>
      <c r="O1409" s="26"/>
      <c r="P1409" s="27"/>
      <c r="Q1409" s="27"/>
      <c r="R1409" s="27"/>
      <c r="S1409" s="22"/>
      <c r="T1409" s="22"/>
      <c r="U1409" s="28"/>
    </row>
    <row r="1410" ht="15.75" customHeight="1">
      <c r="A1410" s="189"/>
      <c r="B1410" s="22"/>
      <c r="C1410" s="22"/>
      <c r="D1410" s="22"/>
      <c r="E1410" s="22"/>
      <c r="F1410" s="22"/>
      <c r="G1410" s="22"/>
      <c r="H1410" s="22"/>
      <c r="I1410" s="24"/>
      <c r="J1410" s="24"/>
      <c r="K1410" s="24"/>
      <c r="L1410" s="24"/>
      <c r="M1410" s="26"/>
      <c r="N1410" s="26"/>
      <c r="O1410" s="26"/>
      <c r="P1410" s="27"/>
      <c r="Q1410" s="27"/>
      <c r="R1410" s="27"/>
      <c r="S1410" s="22"/>
      <c r="T1410" s="22"/>
      <c r="U1410" s="28"/>
    </row>
    <row r="1411" ht="15.75" customHeight="1">
      <c r="A1411" s="189"/>
      <c r="B1411" s="22"/>
      <c r="C1411" s="22"/>
      <c r="D1411" s="22"/>
      <c r="E1411" s="22"/>
      <c r="F1411" s="22"/>
      <c r="G1411" s="22"/>
      <c r="H1411" s="22"/>
      <c r="I1411" s="24"/>
      <c r="J1411" s="24"/>
      <c r="K1411" s="24"/>
      <c r="L1411" s="24"/>
      <c r="M1411" s="26"/>
      <c r="N1411" s="26"/>
      <c r="O1411" s="26"/>
      <c r="P1411" s="27"/>
      <c r="Q1411" s="27"/>
      <c r="R1411" s="27"/>
      <c r="S1411" s="22"/>
      <c r="T1411" s="22"/>
      <c r="U1411" s="28"/>
    </row>
    <row r="1412" ht="15.75" customHeight="1">
      <c r="A1412" s="189"/>
      <c r="B1412" s="22"/>
      <c r="C1412" s="22"/>
      <c r="D1412" s="22"/>
      <c r="E1412" s="22"/>
      <c r="F1412" s="22"/>
      <c r="G1412" s="22"/>
      <c r="H1412" s="22"/>
      <c r="I1412" s="24"/>
      <c r="J1412" s="24"/>
      <c r="K1412" s="24"/>
      <c r="L1412" s="24"/>
      <c r="M1412" s="26"/>
      <c r="N1412" s="26"/>
      <c r="O1412" s="26"/>
      <c r="P1412" s="27"/>
      <c r="Q1412" s="27"/>
      <c r="R1412" s="27"/>
      <c r="S1412" s="22"/>
      <c r="T1412" s="22"/>
      <c r="U1412" s="28"/>
    </row>
    <row r="1413" ht="15.75" customHeight="1">
      <c r="A1413" s="189"/>
      <c r="B1413" s="22"/>
      <c r="C1413" s="22"/>
      <c r="D1413" s="22"/>
      <c r="E1413" s="22"/>
      <c r="F1413" s="22"/>
      <c r="G1413" s="22"/>
      <c r="H1413" s="22"/>
      <c r="I1413" s="24"/>
      <c r="J1413" s="24"/>
      <c r="K1413" s="24"/>
      <c r="L1413" s="24"/>
      <c r="M1413" s="26"/>
      <c r="N1413" s="26"/>
      <c r="O1413" s="26"/>
      <c r="P1413" s="27"/>
      <c r="Q1413" s="27"/>
      <c r="R1413" s="27"/>
      <c r="S1413" s="22"/>
      <c r="T1413" s="22"/>
      <c r="U1413" s="28"/>
    </row>
    <row r="1414" ht="15.75" customHeight="1">
      <c r="A1414" s="189"/>
      <c r="B1414" s="22"/>
      <c r="C1414" s="22"/>
      <c r="D1414" s="22"/>
      <c r="E1414" s="22"/>
      <c r="F1414" s="22"/>
      <c r="G1414" s="22"/>
      <c r="H1414" s="22"/>
      <c r="I1414" s="24"/>
      <c r="J1414" s="24"/>
      <c r="K1414" s="24"/>
      <c r="L1414" s="24"/>
      <c r="M1414" s="26"/>
      <c r="N1414" s="26"/>
      <c r="O1414" s="26"/>
      <c r="P1414" s="27"/>
      <c r="Q1414" s="27"/>
      <c r="R1414" s="27"/>
      <c r="S1414" s="22"/>
      <c r="T1414" s="22"/>
      <c r="U1414" s="28"/>
    </row>
    <row r="1415" ht="15.75" customHeight="1">
      <c r="A1415" s="189"/>
      <c r="B1415" s="22"/>
      <c r="C1415" s="22"/>
      <c r="D1415" s="22"/>
      <c r="E1415" s="22"/>
      <c r="F1415" s="22"/>
      <c r="G1415" s="22"/>
      <c r="H1415" s="22"/>
      <c r="I1415" s="24"/>
      <c r="J1415" s="24"/>
      <c r="K1415" s="24"/>
      <c r="L1415" s="24"/>
      <c r="M1415" s="26"/>
      <c r="N1415" s="26"/>
      <c r="O1415" s="26"/>
      <c r="P1415" s="27"/>
      <c r="Q1415" s="27"/>
      <c r="R1415" s="27"/>
      <c r="S1415" s="22"/>
      <c r="T1415" s="22"/>
      <c r="U1415" s="28"/>
    </row>
    <row r="1416" ht="15.75" customHeight="1">
      <c r="A1416" s="189"/>
      <c r="B1416" s="22"/>
      <c r="C1416" s="22"/>
      <c r="D1416" s="22"/>
      <c r="E1416" s="22"/>
      <c r="F1416" s="22"/>
      <c r="G1416" s="22"/>
      <c r="H1416" s="22"/>
      <c r="I1416" s="24"/>
      <c r="J1416" s="24"/>
      <c r="K1416" s="24"/>
      <c r="L1416" s="24"/>
      <c r="M1416" s="26"/>
      <c r="N1416" s="26"/>
      <c r="O1416" s="26"/>
      <c r="P1416" s="27"/>
      <c r="Q1416" s="27"/>
      <c r="R1416" s="27"/>
      <c r="S1416" s="22"/>
      <c r="T1416" s="22"/>
      <c r="U1416" s="28"/>
    </row>
    <row r="1417" ht="15.75" customHeight="1">
      <c r="A1417" s="189"/>
      <c r="B1417" s="22"/>
      <c r="C1417" s="22"/>
      <c r="D1417" s="22"/>
      <c r="E1417" s="22"/>
      <c r="F1417" s="22"/>
      <c r="G1417" s="22"/>
      <c r="H1417" s="22"/>
      <c r="I1417" s="24"/>
      <c r="J1417" s="24"/>
      <c r="K1417" s="24"/>
      <c r="L1417" s="24"/>
      <c r="M1417" s="26"/>
      <c r="N1417" s="26"/>
      <c r="O1417" s="26"/>
      <c r="P1417" s="27"/>
      <c r="Q1417" s="27"/>
      <c r="R1417" s="27"/>
      <c r="S1417" s="22"/>
      <c r="T1417" s="22"/>
      <c r="U1417" s="28"/>
    </row>
    <row r="1418" ht="15.75" customHeight="1">
      <c r="A1418" s="189"/>
      <c r="B1418" s="22"/>
      <c r="C1418" s="22"/>
      <c r="D1418" s="22"/>
      <c r="E1418" s="22"/>
      <c r="F1418" s="22"/>
      <c r="G1418" s="22"/>
      <c r="H1418" s="22"/>
      <c r="I1418" s="24"/>
      <c r="J1418" s="24"/>
      <c r="K1418" s="24"/>
      <c r="L1418" s="24"/>
      <c r="M1418" s="26"/>
      <c r="N1418" s="26"/>
      <c r="O1418" s="26"/>
      <c r="P1418" s="27"/>
      <c r="Q1418" s="27"/>
      <c r="R1418" s="27"/>
      <c r="S1418" s="22"/>
      <c r="T1418" s="22"/>
      <c r="U1418" s="28"/>
    </row>
    <row r="1419" ht="15.75" customHeight="1">
      <c r="A1419" s="189"/>
      <c r="B1419" s="22"/>
      <c r="C1419" s="22"/>
      <c r="D1419" s="22"/>
      <c r="E1419" s="22"/>
      <c r="F1419" s="22"/>
      <c r="G1419" s="22"/>
      <c r="H1419" s="22"/>
      <c r="I1419" s="24"/>
      <c r="J1419" s="24"/>
      <c r="K1419" s="24"/>
      <c r="L1419" s="24"/>
      <c r="M1419" s="26"/>
      <c r="N1419" s="26"/>
      <c r="O1419" s="26"/>
      <c r="P1419" s="27"/>
      <c r="Q1419" s="27"/>
      <c r="R1419" s="27"/>
      <c r="S1419" s="22"/>
      <c r="T1419" s="22"/>
      <c r="U1419" s="28"/>
    </row>
    <row r="1420" ht="15.75" customHeight="1">
      <c r="A1420" s="189"/>
      <c r="B1420" s="22"/>
      <c r="C1420" s="22"/>
      <c r="D1420" s="22"/>
      <c r="E1420" s="22"/>
      <c r="F1420" s="22"/>
      <c r="G1420" s="22"/>
      <c r="H1420" s="22"/>
      <c r="I1420" s="24"/>
      <c r="J1420" s="24"/>
      <c r="K1420" s="24"/>
      <c r="L1420" s="24"/>
      <c r="M1420" s="26"/>
      <c r="N1420" s="26"/>
      <c r="O1420" s="26"/>
      <c r="P1420" s="27"/>
      <c r="Q1420" s="27"/>
      <c r="R1420" s="27"/>
      <c r="S1420" s="22"/>
      <c r="T1420" s="22"/>
      <c r="U1420" s="28"/>
    </row>
    <row r="1421" ht="15.75" customHeight="1">
      <c r="A1421" s="189"/>
      <c r="B1421" s="22"/>
      <c r="C1421" s="22"/>
      <c r="D1421" s="22"/>
      <c r="E1421" s="22"/>
      <c r="F1421" s="22"/>
      <c r="G1421" s="22"/>
      <c r="H1421" s="22"/>
      <c r="I1421" s="24"/>
      <c r="J1421" s="24"/>
      <c r="K1421" s="24"/>
      <c r="L1421" s="24"/>
      <c r="M1421" s="26"/>
      <c r="N1421" s="26"/>
      <c r="O1421" s="26"/>
      <c r="P1421" s="27"/>
      <c r="Q1421" s="27"/>
      <c r="R1421" s="27"/>
      <c r="S1421" s="22"/>
      <c r="T1421" s="22"/>
      <c r="U1421" s="28"/>
    </row>
    <row r="1422" ht="15.75" customHeight="1">
      <c r="A1422" s="189"/>
      <c r="B1422" s="22"/>
      <c r="C1422" s="22"/>
      <c r="D1422" s="22"/>
      <c r="E1422" s="22"/>
      <c r="F1422" s="22"/>
      <c r="G1422" s="22"/>
      <c r="H1422" s="22"/>
      <c r="I1422" s="24"/>
      <c r="J1422" s="24"/>
      <c r="K1422" s="24"/>
      <c r="L1422" s="24"/>
      <c r="M1422" s="26"/>
      <c r="N1422" s="26"/>
      <c r="O1422" s="26"/>
      <c r="P1422" s="27"/>
      <c r="Q1422" s="27"/>
      <c r="R1422" s="27"/>
      <c r="S1422" s="22"/>
      <c r="T1422" s="22"/>
      <c r="U1422" s="28"/>
    </row>
    <row r="1423" ht="15.75" customHeight="1">
      <c r="A1423" s="189"/>
      <c r="B1423" s="22"/>
      <c r="C1423" s="22"/>
      <c r="D1423" s="22"/>
      <c r="E1423" s="22"/>
      <c r="F1423" s="22"/>
      <c r="G1423" s="22"/>
      <c r="H1423" s="22"/>
      <c r="I1423" s="24"/>
      <c r="J1423" s="24"/>
      <c r="K1423" s="24"/>
      <c r="L1423" s="24"/>
      <c r="M1423" s="26"/>
      <c r="N1423" s="26"/>
      <c r="O1423" s="26"/>
      <c r="P1423" s="27"/>
      <c r="Q1423" s="27"/>
      <c r="R1423" s="27"/>
      <c r="S1423" s="22"/>
      <c r="T1423" s="22"/>
      <c r="U1423" s="28"/>
    </row>
    <row r="1424" ht="15.75" customHeight="1">
      <c r="A1424" s="189"/>
      <c r="B1424" s="22"/>
      <c r="C1424" s="22"/>
      <c r="D1424" s="22"/>
      <c r="E1424" s="22"/>
      <c r="F1424" s="22"/>
      <c r="G1424" s="22"/>
      <c r="H1424" s="22"/>
      <c r="I1424" s="24"/>
      <c r="J1424" s="24"/>
      <c r="K1424" s="24"/>
      <c r="L1424" s="24"/>
      <c r="M1424" s="26"/>
      <c r="N1424" s="26"/>
      <c r="O1424" s="26"/>
      <c r="P1424" s="27"/>
      <c r="Q1424" s="27"/>
      <c r="R1424" s="27"/>
      <c r="S1424" s="22"/>
      <c r="T1424" s="22"/>
      <c r="U1424" s="28"/>
    </row>
    <row r="1425" ht="15.75" customHeight="1">
      <c r="A1425" s="189"/>
      <c r="B1425" s="22"/>
      <c r="C1425" s="22"/>
      <c r="D1425" s="22"/>
      <c r="E1425" s="22"/>
      <c r="F1425" s="22"/>
      <c r="G1425" s="22"/>
      <c r="H1425" s="22"/>
      <c r="I1425" s="24"/>
      <c r="J1425" s="24"/>
      <c r="K1425" s="24"/>
      <c r="L1425" s="24"/>
      <c r="M1425" s="26"/>
      <c r="N1425" s="26"/>
      <c r="O1425" s="26"/>
      <c r="P1425" s="27"/>
      <c r="Q1425" s="27"/>
      <c r="R1425" s="27"/>
      <c r="S1425" s="22"/>
      <c r="T1425" s="22"/>
      <c r="U1425" s="28"/>
    </row>
    <row r="1426" ht="15.75" customHeight="1">
      <c r="A1426" s="189"/>
      <c r="B1426" s="22"/>
      <c r="C1426" s="22"/>
      <c r="D1426" s="22"/>
      <c r="E1426" s="22"/>
      <c r="F1426" s="22"/>
      <c r="G1426" s="22"/>
      <c r="H1426" s="22"/>
      <c r="I1426" s="24"/>
      <c r="J1426" s="24"/>
      <c r="K1426" s="24"/>
      <c r="L1426" s="24"/>
      <c r="M1426" s="26"/>
      <c r="N1426" s="26"/>
      <c r="O1426" s="26"/>
      <c r="P1426" s="27"/>
      <c r="Q1426" s="27"/>
      <c r="R1426" s="27"/>
      <c r="S1426" s="22"/>
      <c r="T1426" s="22"/>
      <c r="U1426" s="28"/>
    </row>
    <row r="1427" ht="15.75" customHeight="1">
      <c r="A1427" s="189"/>
      <c r="B1427" s="22"/>
      <c r="C1427" s="22"/>
      <c r="D1427" s="22"/>
      <c r="E1427" s="22"/>
      <c r="F1427" s="22"/>
      <c r="G1427" s="22"/>
      <c r="H1427" s="22"/>
      <c r="I1427" s="24"/>
      <c r="J1427" s="24"/>
      <c r="K1427" s="24"/>
      <c r="L1427" s="24"/>
      <c r="M1427" s="26"/>
      <c r="N1427" s="26"/>
      <c r="O1427" s="26"/>
      <c r="P1427" s="27"/>
      <c r="Q1427" s="27"/>
      <c r="R1427" s="27"/>
      <c r="S1427" s="22"/>
      <c r="T1427" s="22"/>
      <c r="U1427" s="28"/>
    </row>
    <row r="1428" ht="15.75" customHeight="1">
      <c r="A1428" s="189"/>
      <c r="B1428" s="22"/>
      <c r="C1428" s="22"/>
      <c r="D1428" s="22"/>
      <c r="E1428" s="22"/>
      <c r="F1428" s="22"/>
      <c r="G1428" s="22"/>
      <c r="H1428" s="22"/>
      <c r="I1428" s="24"/>
      <c r="J1428" s="24"/>
      <c r="K1428" s="24"/>
      <c r="L1428" s="24"/>
      <c r="M1428" s="26"/>
      <c r="N1428" s="26"/>
      <c r="O1428" s="26"/>
      <c r="P1428" s="27"/>
      <c r="Q1428" s="27"/>
      <c r="R1428" s="27"/>
      <c r="S1428" s="22"/>
      <c r="T1428" s="22"/>
      <c r="U1428" s="28"/>
    </row>
    <row r="1429" ht="15.75" customHeight="1">
      <c r="A1429" s="189"/>
      <c r="B1429" s="22"/>
      <c r="C1429" s="22"/>
      <c r="D1429" s="22"/>
      <c r="E1429" s="22"/>
      <c r="F1429" s="22"/>
      <c r="G1429" s="22"/>
      <c r="H1429" s="22"/>
      <c r="I1429" s="24"/>
      <c r="J1429" s="24"/>
      <c r="K1429" s="24"/>
      <c r="L1429" s="24"/>
      <c r="M1429" s="26"/>
      <c r="N1429" s="26"/>
      <c r="O1429" s="26"/>
      <c r="P1429" s="27"/>
      <c r="Q1429" s="27"/>
      <c r="R1429" s="27"/>
      <c r="S1429" s="22"/>
      <c r="T1429" s="22"/>
      <c r="U1429" s="28"/>
    </row>
    <row r="1430" ht="15.75" customHeight="1">
      <c r="A1430" s="189"/>
      <c r="B1430" s="22"/>
      <c r="C1430" s="22"/>
      <c r="D1430" s="22"/>
      <c r="E1430" s="22"/>
      <c r="F1430" s="22"/>
      <c r="G1430" s="22"/>
      <c r="H1430" s="22"/>
      <c r="I1430" s="24"/>
      <c r="J1430" s="24"/>
      <c r="K1430" s="24"/>
      <c r="L1430" s="24"/>
      <c r="M1430" s="26"/>
      <c r="N1430" s="26"/>
      <c r="O1430" s="26"/>
      <c r="P1430" s="27"/>
      <c r="Q1430" s="27"/>
      <c r="R1430" s="27"/>
      <c r="S1430" s="22"/>
      <c r="T1430" s="22"/>
      <c r="U1430" s="28"/>
    </row>
    <row r="1431" ht="15.75" customHeight="1">
      <c r="A1431" s="189"/>
      <c r="B1431" s="22"/>
      <c r="C1431" s="22"/>
      <c r="D1431" s="22"/>
      <c r="E1431" s="22"/>
      <c r="F1431" s="22"/>
      <c r="G1431" s="22"/>
      <c r="H1431" s="22"/>
      <c r="I1431" s="24"/>
      <c r="J1431" s="24"/>
      <c r="K1431" s="24"/>
      <c r="L1431" s="24"/>
      <c r="M1431" s="26"/>
      <c r="N1431" s="26"/>
      <c r="O1431" s="26"/>
      <c r="P1431" s="27"/>
      <c r="Q1431" s="27"/>
      <c r="R1431" s="27"/>
      <c r="S1431" s="22"/>
      <c r="T1431" s="22"/>
      <c r="U1431" s="28"/>
    </row>
    <row r="1432" ht="15.75" customHeight="1">
      <c r="A1432" s="189"/>
      <c r="B1432" s="22"/>
      <c r="C1432" s="22"/>
      <c r="D1432" s="22"/>
      <c r="E1432" s="22"/>
      <c r="F1432" s="22"/>
      <c r="G1432" s="22"/>
      <c r="H1432" s="22"/>
      <c r="I1432" s="24"/>
      <c r="J1432" s="24"/>
      <c r="K1432" s="24"/>
      <c r="L1432" s="24"/>
      <c r="M1432" s="26"/>
      <c r="N1432" s="26"/>
      <c r="O1432" s="26"/>
      <c r="P1432" s="27"/>
      <c r="Q1432" s="27"/>
      <c r="R1432" s="27"/>
      <c r="S1432" s="22"/>
      <c r="T1432" s="22"/>
      <c r="U1432" s="28"/>
    </row>
    <row r="1433" ht="15.75" customHeight="1">
      <c r="A1433" s="189"/>
      <c r="B1433" s="22"/>
      <c r="C1433" s="22"/>
      <c r="D1433" s="22"/>
      <c r="E1433" s="22"/>
      <c r="F1433" s="22"/>
      <c r="G1433" s="22"/>
      <c r="H1433" s="22"/>
      <c r="I1433" s="24"/>
      <c r="J1433" s="24"/>
      <c r="K1433" s="24"/>
      <c r="L1433" s="24"/>
      <c r="M1433" s="26"/>
      <c r="N1433" s="26"/>
      <c r="O1433" s="26"/>
      <c r="P1433" s="27"/>
      <c r="Q1433" s="27"/>
      <c r="R1433" s="27"/>
      <c r="S1433" s="22"/>
      <c r="T1433" s="22"/>
      <c r="U1433" s="28"/>
    </row>
    <row r="1434" ht="15.75" customHeight="1">
      <c r="A1434" s="189"/>
      <c r="B1434" s="22"/>
      <c r="C1434" s="22"/>
      <c r="D1434" s="22"/>
      <c r="E1434" s="22"/>
      <c r="F1434" s="22"/>
      <c r="G1434" s="22"/>
      <c r="H1434" s="22"/>
      <c r="I1434" s="24"/>
      <c r="J1434" s="24"/>
      <c r="K1434" s="24"/>
      <c r="L1434" s="24"/>
      <c r="M1434" s="26"/>
      <c r="N1434" s="26"/>
      <c r="O1434" s="26"/>
      <c r="P1434" s="27"/>
      <c r="Q1434" s="27"/>
      <c r="R1434" s="27"/>
      <c r="S1434" s="22"/>
      <c r="T1434" s="22"/>
      <c r="U1434" s="28"/>
    </row>
    <row r="1435" ht="15.75" customHeight="1">
      <c r="A1435" s="189"/>
      <c r="B1435" s="22"/>
      <c r="C1435" s="22"/>
      <c r="D1435" s="22"/>
      <c r="E1435" s="22"/>
      <c r="F1435" s="22"/>
      <c r="G1435" s="22"/>
      <c r="H1435" s="22"/>
      <c r="I1435" s="24"/>
      <c r="J1435" s="24"/>
      <c r="K1435" s="24"/>
      <c r="L1435" s="24"/>
      <c r="M1435" s="26"/>
      <c r="N1435" s="26"/>
      <c r="O1435" s="26"/>
      <c r="P1435" s="27"/>
      <c r="Q1435" s="27"/>
      <c r="R1435" s="27"/>
      <c r="S1435" s="22"/>
      <c r="T1435" s="22"/>
      <c r="U1435" s="28"/>
    </row>
    <row r="1436" ht="15.75" customHeight="1">
      <c r="A1436" s="189"/>
      <c r="B1436" s="22"/>
      <c r="C1436" s="22"/>
      <c r="D1436" s="22"/>
      <c r="E1436" s="22"/>
      <c r="F1436" s="22"/>
      <c r="G1436" s="22"/>
      <c r="H1436" s="22"/>
      <c r="I1436" s="24"/>
      <c r="J1436" s="24"/>
      <c r="K1436" s="24"/>
      <c r="L1436" s="24"/>
      <c r="M1436" s="26"/>
      <c r="N1436" s="26"/>
      <c r="O1436" s="26"/>
      <c r="P1436" s="27"/>
      <c r="Q1436" s="27"/>
      <c r="R1436" s="27"/>
      <c r="S1436" s="22"/>
      <c r="T1436" s="22"/>
      <c r="U1436" s="28"/>
    </row>
    <row r="1437" ht="15.75" customHeight="1">
      <c r="A1437" s="189"/>
      <c r="B1437" s="22"/>
      <c r="C1437" s="22"/>
      <c r="D1437" s="22"/>
      <c r="E1437" s="22"/>
      <c r="F1437" s="22"/>
      <c r="G1437" s="22"/>
      <c r="H1437" s="22"/>
      <c r="I1437" s="24"/>
      <c r="J1437" s="24"/>
      <c r="K1437" s="24"/>
      <c r="L1437" s="24"/>
      <c r="M1437" s="26"/>
      <c r="N1437" s="26"/>
      <c r="O1437" s="26"/>
      <c r="P1437" s="27"/>
      <c r="Q1437" s="27"/>
      <c r="R1437" s="27"/>
      <c r="S1437" s="22"/>
      <c r="T1437" s="22"/>
      <c r="U1437" s="28"/>
    </row>
    <row r="1438" ht="15.75" customHeight="1">
      <c r="A1438" s="189"/>
      <c r="B1438" s="22"/>
      <c r="C1438" s="22"/>
      <c r="D1438" s="22"/>
      <c r="E1438" s="22"/>
      <c r="F1438" s="22"/>
      <c r="G1438" s="22"/>
      <c r="H1438" s="22"/>
      <c r="I1438" s="24"/>
      <c r="J1438" s="24"/>
      <c r="K1438" s="24"/>
      <c r="L1438" s="24"/>
      <c r="M1438" s="26"/>
      <c r="N1438" s="26"/>
      <c r="O1438" s="26"/>
      <c r="P1438" s="27"/>
      <c r="Q1438" s="27"/>
      <c r="R1438" s="27"/>
      <c r="S1438" s="22"/>
      <c r="T1438" s="22"/>
      <c r="U1438" s="28"/>
    </row>
    <row r="1439" ht="15.75" customHeight="1">
      <c r="A1439" s="189"/>
      <c r="B1439" s="22"/>
      <c r="C1439" s="22"/>
      <c r="D1439" s="22"/>
      <c r="E1439" s="22"/>
      <c r="F1439" s="22"/>
      <c r="G1439" s="22"/>
      <c r="H1439" s="22"/>
      <c r="I1439" s="24"/>
      <c r="J1439" s="24"/>
      <c r="K1439" s="24"/>
      <c r="L1439" s="24"/>
      <c r="M1439" s="26"/>
      <c r="N1439" s="26"/>
      <c r="O1439" s="26"/>
      <c r="P1439" s="27"/>
      <c r="Q1439" s="27"/>
      <c r="R1439" s="27"/>
      <c r="S1439" s="22"/>
      <c r="T1439" s="22"/>
      <c r="U1439" s="28"/>
    </row>
    <row r="1440" ht="15.75" customHeight="1">
      <c r="A1440" s="189"/>
      <c r="B1440" s="22"/>
      <c r="C1440" s="22"/>
      <c r="D1440" s="22"/>
      <c r="E1440" s="22"/>
      <c r="F1440" s="22"/>
      <c r="G1440" s="22"/>
      <c r="H1440" s="22"/>
      <c r="I1440" s="24"/>
      <c r="J1440" s="24"/>
      <c r="K1440" s="24"/>
      <c r="L1440" s="24"/>
      <c r="M1440" s="26"/>
      <c r="N1440" s="26"/>
      <c r="O1440" s="26"/>
      <c r="P1440" s="27"/>
      <c r="Q1440" s="27"/>
      <c r="R1440" s="27"/>
      <c r="S1440" s="22"/>
      <c r="T1440" s="22"/>
      <c r="U1440" s="28"/>
    </row>
    <row r="1441" ht="15.75" customHeight="1">
      <c r="A1441" s="189"/>
      <c r="B1441" s="22"/>
      <c r="C1441" s="22"/>
      <c r="D1441" s="22"/>
      <c r="E1441" s="22"/>
      <c r="F1441" s="22"/>
      <c r="G1441" s="22"/>
      <c r="H1441" s="22"/>
      <c r="I1441" s="24"/>
      <c r="J1441" s="24"/>
      <c r="K1441" s="24"/>
      <c r="L1441" s="24"/>
      <c r="M1441" s="26"/>
      <c r="N1441" s="26"/>
      <c r="O1441" s="26"/>
      <c r="P1441" s="27"/>
      <c r="Q1441" s="27"/>
      <c r="R1441" s="27"/>
      <c r="S1441" s="22"/>
      <c r="T1441" s="22"/>
      <c r="U1441" s="28"/>
    </row>
    <row r="1442" ht="15.75" customHeight="1">
      <c r="A1442" s="189"/>
      <c r="B1442" s="22"/>
      <c r="C1442" s="22"/>
      <c r="D1442" s="22"/>
      <c r="E1442" s="22"/>
      <c r="F1442" s="22"/>
      <c r="G1442" s="22"/>
      <c r="H1442" s="22"/>
      <c r="I1442" s="24"/>
      <c r="J1442" s="24"/>
      <c r="K1442" s="24"/>
      <c r="L1442" s="24"/>
      <c r="M1442" s="26"/>
      <c r="N1442" s="26"/>
      <c r="O1442" s="26"/>
      <c r="P1442" s="27"/>
      <c r="Q1442" s="27"/>
      <c r="R1442" s="27"/>
      <c r="S1442" s="22"/>
      <c r="T1442" s="22"/>
      <c r="U1442" s="28"/>
    </row>
    <row r="1443" ht="15.75" customHeight="1">
      <c r="A1443" s="189"/>
      <c r="B1443" s="22"/>
      <c r="C1443" s="22"/>
      <c r="D1443" s="22"/>
      <c r="E1443" s="22"/>
      <c r="F1443" s="22"/>
      <c r="G1443" s="22"/>
      <c r="H1443" s="22"/>
      <c r="I1443" s="24"/>
      <c r="J1443" s="24"/>
      <c r="K1443" s="24"/>
      <c r="L1443" s="24"/>
      <c r="M1443" s="26"/>
      <c r="N1443" s="26"/>
      <c r="O1443" s="26"/>
      <c r="P1443" s="27"/>
      <c r="Q1443" s="27"/>
      <c r="R1443" s="27"/>
      <c r="S1443" s="22"/>
      <c r="T1443" s="22"/>
      <c r="U1443" s="28"/>
    </row>
    <row r="1444" ht="15.75" customHeight="1">
      <c r="A1444" s="189"/>
      <c r="B1444" s="22"/>
      <c r="C1444" s="22"/>
      <c r="D1444" s="22"/>
      <c r="E1444" s="22"/>
      <c r="F1444" s="22"/>
      <c r="G1444" s="22"/>
      <c r="H1444" s="22"/>
      <c r="I1444" s="24"/>
      <c r="J1444" s="24"/>
      <c r="K1444" s="24"/>
      <c r="L1444" s="24"/>
      <c r="M1444" s="26"/>
      <c r="N1444" s="26"/>
      <c r="O1444" s="26"/>
      <c r="P1444" s="27"/>
      <c r="Q1444" s="27"/>
      <c r="R1444" s="27"/>
      <c r="S1444" s="22"/>
      <c r="T1444" s="22"/>
      <c r="U1444" s="28"/>
    </row>
    <row r="1445" ht="15.75" customHeight="1">
      <c r="A1445" s="189"/>
      <c r="B1445" s="22"/>
      <c r="C1445" s="22"/>
      <c r="D1445" s="22"/>
      <c r="E1445" s="22"/>
      <c r="F1445" s="22"/>
      <c r="G1445" s="22"/>
      <c r="H1445" s="22"/>
      <c r="I1445" s="24"/>
      <c r="J1445" s="24"/>
      <c r="K1445" s="24"/>
      <c r="L1445" s="24"/>
      <c r="M1445" s="26"/>
      <c r="N1445" s="26"/>
      <c r="O1445" s="26"/>
      <c r="P1445" s="27"/>
      <c r="Q1445" s="27"/>
      <c r="R1445" s="27"/>
      <c r="S1445" s="22"/>
      <c r="T1445" s="22"/>
      <c r="U1445" s="28"/>
    </row>
    <row r="1446" ht="15.75" customHeight="1">
      <c r="A1446" s="189"/>
      <c r="B1446" s="22"/>
      <c r="C1446" s="22"/>
      <c r="D1446" s="22"/>
      <c r="E1446" s="22"/>
      <c r="F1446" s="22"/>
      <c r="G1446" s="22"/>
      <c r="H1446" s="22"/>
      <c r="I1446" s="24"/>
      <c r="J1446" s="24"/>
      <c r="K1446" s="24"/>
      <c r="L1446" s="24"/>
      <c r="M1446" s="26"/>
      <c r="N1446" s="26"/>
      <c r="O1446" s="26"/>
      <c r="P1446" s="27"/>
      <c r="Q1446" s="27"/>
      <c r="R1446" s="27"/>
      <c r="S1446" s="22"/>
      <c r="T1446" s="22"/>
      <c r="U1446" s="28"/>
    </row>
    <row r="1447" ht="15.75" customHeight="1">
      <c r="A1447" s="189"/>
      <c r="B1447" s="22"/>
      <c r="C1447" s="22"/>
      <c r="D1447" s="22"/>
      <c r="E1447" s="22"/>
      <c r="F1447" s="22"/>
      <c r="G1447" s="22"/>
      <c r="H1447" s="22"/>
      <c r="I1447" s="24"/>
      <c r="J1447" s="24"/>
      <c r="K1447" s="24"/>
      <c r="L1447" s="24"/>
      <c r="M1447" s="26"/>
      <c r="N1447" s="26"/>
      <c r="O1447" s="26"/>
      <c r="P1447" s="27"/>
      <c r="Q1447" s="27"/>
      <c r="R1447" s="27"/>
      <c r="S1447" s="22"/>
      <c r="T1447" s="22"/>
      <c r="U1447" s="28"/>
    </row>
    <row r="1448" ht="15.75" customHeight="1">
      <c r="A1448" s="189"/>
      <c r="B1448" s="22"/>
      <c r="C1448" s="22"/>
      <c r="D1448" s="22"/>
      <c r="E1448" s="22"/>
      <c r="F1448" s="22"/>
      <c r="G1448" s="22"/>
      <c r="H1448" s="22"/>
      <c r="I1448" s="24"/>
      <c r="J1448" s="24"/>
      <c r="K1448" s="24"/>
      <c r="L1448" s="24"/>
      <c r="M1448" s="26"/>
      <c r="N1448" s="26"/>
      <c r="O1448" s="26"/>
      <c r="P1448" s="27"/>
      <c r="Q1448" s="27"/>
      <c r="R1448" s="27"/>
      <c r="S1448" s="22"/>
      <c r="T1448" s="22"/>
      <c r="U1448" s="28"/>
    </row>
    <row r="1449" ht="15.75" customHeight="1">
      <c r="A1449" s="189"/>
      <c r="B1449" s="22"/>
      <c r="C1449" s="22"/>
      <c r="D1449" s="22"/>
      <c r="E1449" s="22"/>
      <c r="F1449" s="22"/>
      <c r="G1449" s="22"/>
      <c r="H1449" s="22"/>
      <c r="I1449" s="24"/>
      <c r="J1449" s="24"/>
      <c r="K1449" s="24"/>
      <c r="L1449" s="24"/>
      <c r="M1449" s="26"/>
      <c r="N1449" s="26"/>
      <c r="O1449" s="26"/>
      <c r="P1449" s="27"/>
      <c r="Q1449" s="27"/>
      <c r="R1449" s="27"/>
      <c r="S1449" s="22"/>
      <c r="T1449" s="22"/>
      <c r="U1449" s="28"/>
    </row>
    <row r="1450" ht="15.75" customHeight="1">
      <c r="A1450" s="189"/>
      <c r="B1450" s="22"/>
      <c r="C1450" s="22"/>
      <c r="D1450" s="22"/>
      <c r="E1450" s="22"/>
      <c r="F1450" s="22"/>
      <c r="G1450" s="22"/>
      <c r="H1450" s="22"/>
      <c r="I1450" s="24"/>
      <c r="J1450" s="24"/>
      <c r="K1450" s="24"/>
      <c r="L1450" s="24"/>
      <c r="M1450" s="26"/>
      <c r="N1450" s="26"/>
      <c r="O1450" s="26"/>
      <c r="P1450" s="27"/>
      <c r="Q1450" s="27"/>
      <c r="R1450" s="27"/>
      <c r="S1450" s="22"/>
      <c r="T1450" s="22"/>
      <c r="U1450" s="28"/>
    </row>
    <row r="1451" ht="15.75" customHeight="1">
      <c r="A1451" s="189"/>
      <c r="B1451" s="22"/>
      <c r="C1451" s="22"/>
      <c r="D1451" s="22"/>
      <c r="E1451" s="22"/>
      <c r="F1451" s="22"/>
      <c r="G1451" s="22"/>
      <c r="H1451" s="22"/>
      <c r="I1451" s="24"/>
      <c r="J1451" s="24"/>
      <c r="K1451" s="24"/>
      <c r="L1451" s="24"/>
      <c r="M1451" s="26"/>
      <c r="N1451" s="26"/>
      <c r="O1451" s="26"/>
      <c r="P1451" s="27"/>
      <c r="Q1451" s="27"/>
      <c r="R1451" s="27"/>
      <c r="S1451" s="22"/>
      <c r="T1451" s="22"/>
      <c r="U1451" s="28"/>
    </row>
    <row r="1452" ht="15.75" customHeight="1">
      <c r="A1452" s="189"/>
      <c r="B1452" s="22"/>
      <c r="C1452" s="22"/>
      <c r="D1452" s="22"/>
      <c r="E1452" s="22"/>
      <c r="F1452" s="22"/>
      <c r="G1452" s="22"/>
      <c r="H1452" s="22"/>
      <c r="I1452" s="24"/>
      <c r="J1452" s="24"/>
      <c r="K1452" s="24"/>
      <c r="L1452" s="24"/>
      <c r="M1452" s="26"/>
      <c r="N1452" s="26"/>
      <c r="O1452" s="26"/>
      <c r="P1452" s="27"/>
      <c r="Q1452" s="27"/>
      <c r="R1452" s="27"/>
      <c r="S1452" s="22"/>
      <c r="T1452" s="22"/>
      <c r="U1452" s="28"/>
    </row>
    <row r="1453" ht="15.75" customHeight="1">
      <c r="A1453" s="189"/>
      <c r="B1453" s="22"/>
      <c r="C1453" s="22"/>
      <c r="D1453" s="22"/>
      <c r="E1453" s="22"/>
      <c r="F1453" s="22"/>
      <c r="G1453" s="22"/>
      <c r="H1453" s="22"/>
      <c r="I1453" s="24"/>
      <c r="J1453" s="24"/>
      <c r="K1453" s="24"/>
      <c r="L1453" s="24"/>
      <c r="M1453" s="26"/>
      <c r="N1453" s="26"/>
      <c r="O1453" s="26"/>
      <c r="P1453" s="27"/>
      <c r="Q1453" s="27"/>
      <c r="R1453" s="27"/>
      <c r="S1453" s="22"/>
      <c r="T1453" s="22"/>
      <c r="U1453" s="28"/>
    </row>
    <row r="1454" ht="15.75" customHeight="1">
      <c r="A1454" s="189"/>
      <c r="B1454" s="22"/>
      <c r="C1454" s="22"/>
      <c r="D1454" s="22"/>
      <c r="E1454" s="22"/>
      <c r="F1454" s="22"/>
      <c r="G1454" s="22"/>
      <c r="H1454" s="22"/>
      <c r="I1454" s="24"/>
      <c r="J1454" s="24"/>
      <c r="K1454" s="24"/>
      <c r="L1454" s="24"/>
      <c r="M1454" s="26"/>
      <c r="N1454" s="26"/>
      <c r="O1454" s="26"/>
      <c r="P1454" s="27"/>
      <c r="Q1454" s="27"/>
      <c r="R1454" s="27"/>
      <c r="S1454" s="22"/>
      <c r="T1454" s="22"/>
      <c r="U1454" s="28"/>
    </row>
    <row r="1455" ht="15.75" customHeight="1">
      <c r="A1455" s="189"/>
      <c r="B1455" s="22"/>
      <c r="C1455" s="22"/>
      <c r="D1455" s="22"/>
      <c r="E1455" s="22"/>
      <c r="F1455" s="22"/>
      <c r="G1455" s="22"/>
      <c r="H1455" s="22"/>
      <c r="I1455" s="24"/>
      <c r="J1455" s="24"/>
      <c r="K1455" s="24"/>
      <c r="L1455" s="24"/>
      <c r="M1455" s="26"/>
      <c r="N1455" s="26"/>
      <c r="O1455" s="26"/>
      <c r="P1455" s="27"/>
      <c r="Q1455" s="27"/>
      <c r="R1455" s="27"/>
      <c r="S1455" s="22"/>
      <c r="T1455" s="22"/>
      <c r="U1455" s="28"/>
    </row>
    <row r="1456" ht="15.75" customHeight="1">
      <c r="A1456" s="189"/>
      <c r="B1456" s="22"/>
      <c r="C1456" s="22"/>
      <c r="D1456" s="22"/>
      <c r="E1456" s="22"/>
      <c r="F1456" s="22"/>
      <c r="G1456" s="22"/>
      <c r="H1456" s="22"/>
      <c r="I1456" s="24"/>
      <c r="J1456" s="24"/>
      <c r="K1456" s="24"/>
      <c r="L1456" s="24"/>
      <c r="M1456" s="26"/>
      <c r="N1456" s="26"/>
      <c r="O1456" s="26"/>
      <c r="P1456" s="27"/>
      <c r="Q1456" s="27"/>
      <c r="R1456" s="27"/>
      <c r="S1456" s="22"/>
      <c r="T1456" s="22"/>
      <c r="U1456" s="28"/>
    </row>
    <row r="1457" ht="15.75" customHeight="1">
      <c r="A1457" s="189"/>
      <c r="B1457" s="22"/>
      <c r="C1457" s="22"/>
      <c r="D1457" s="22"/>
      <c r="E1457" s="22"/>
      <c r="F1457" s="22"/>
      <c r="G1457" s="22"/>
      <c r="H1457" s="22"/>
      <c r="I1457" s="24"/>
      <c r="J1457" s="24"/>
      <c r="K1457" s="24"/>
      <c r="L1457" s="24"/>
      <c r="M1457" s="26"/>
      <c r="N1457" s="26"/>
      <c r="O1457" s="26"/>
      <c r="P1457" s="27"/>
      <c r="Q1457" s="27"/>
      <c r="R1457" s="27"/>
      <c r="S1457" s="22"/>
      <c r="T1457" s="22"/>
      <c r="U1457" s="28"/>
    </row>
    <row r="1458" ht="15.75" customHeight="1">
      <c r="A1458" s="189"/>
      <c r="B1458" s="22"/>
      <c r="C1458" s="22"/>
      <c r="D1458" s="22"/>
      <c r="E1458" s="22"/>
      <c r="F1458" s="22"/>
      <c r="G1458" s="22"/>
      <c r="H1458" s="22"/>
      <c r="I1458" s="24"/>
      <c r="J1458" s="24"/>
      <c r="K1458" s="24"/>
      <c r="L1458" s="24"/>
      <c r="M1458" s="26"/>
      <c r="N1458" s="26"/>
      <c r="O1458" s="26"/>
      <c r="P1458" s="27"/>
      <c r="Q1458" s="27"/>
      <c r="R1458" s="27"/>
      <c r="S1458" s="22"/>
      <c r="T1458" s="22"/>
      <c r="U1458" s="28"/>
    </row>
    <row r="1459" ht="15.75" customHeight="1">
      <c r="A1459" s="189"/>
      <c r="B1459" s="22"/>
      <c r="C1459" s="22"/>
      <c r="D1459" s="22"/>
      <c r="E1459" s="22"/>
      <c r="F1459" s="22"/>
      <c r="G1459" s="22"/>
      <c r="H1459" s="22"/>
      <c r="I1459" s="24"/>
      <c r="J1459" s="24"/>
      <c r="K1459" s="24"/>
      <c r="L1459" s="24"/>
      <c r="M1459" s="26"/>
      <c r="N1459" s="26"/>
      <c r="O1459" s="26"/>
      <c r="P1459" s="27"/>
      <c r="Q1459" s="27"/>
      <c r="R1459" s="27"/>
      <c r="S1459" s="22"/>
      <c r="T1459" s="22"/>
      <c r="U1459" s="28"/>
    </row>
    <row r="1460" ht="15.75" customHeight="1">
      <c r="A1460" s="189"/>
      <c r="B1460" s="22"/>
      <c r="C1460" s="22"/>
      <c r="D1460" s="22"/>
      <c r="E1460" s="22"/>
      <c r="F1460" s="22"/>
      <c r="G1460" s="22"/>
      <c r="H1460" s="22"/>
      <c r="I1460" s="24"/>
      <c r="J1460" s="24"/>
      <c r="K1460" s="24"/>
      <c r="L1460" s="24"/>
      <c r="M1460" s="26"/>
      <c r="N1460" s="26"/>
      <c r="O1460" s="26"/>
      <c r="P1460" s="27"/>
      <c r="Q1460" s="27"/>
      <c r="R1460" s="27"/>
      <c r="S1460" s="22"/>
      <c r="T1460" s="22"/>
      <c r="U1460" s="28"/>
    </row>
    <row r="1461" ht="15.75" customHeight="1">
      <c r="A1461" s="189"/>
      <c r="B1461" s="22"/>
      <c r="C1461" s="22"/>
      <c r="D1461" s="22"/>
      <c r="E1461" s="22"/>
      <c r="F1461" s="22"/>
      <c r="G1461" s="22"/>
      <c r="H1461" s="22"/>
      <c r="I1461" s="24"/>
      <c r="J1461" s="24"/>
      <c r="K1461" s="24"/>
      <c r="L1461" s="24"/>
      <c r="M1461" s="26"/>
      <c r="N1461" s="26"/>
      <c r="O1461" s="26"/>
      <c r="P1461" s="27"/>
      <c r="Q1461" s="27"/>
      <c r="R1461" s="27"/>
      <c r="S1461" s="22"/>
      <c r="T1461" s="22"/>
      <c r="U1461" s="28"/>
    </row>
    <row r="1462" ht="15.75" customHeight="1">
      <c r="A1462" s="189"/>
      <c r="B1462" s="22"/>
      <c r="C1462" s="22"/>
      <c r="D1462" s="22"/>
      <c r="E1462" s="22"/>
      <c r="F1462" s="22"/>
      <c r="G1462" s="22"/>
      <c r="H1462" s="22"/>
      <c r="I1462" s="24"/>
      <c r="J1462" s="24"/>
      <c r="K1462" s="24"/>
      <c r="L1462" s="24"/>
      <c r="M1462" s="26"/>
      <c r="N1462" s="26"/>
      <c r="O1462" s="26"/>
      <c r="P1462" s="27"/>
      <c r="Q1462" s="27"/>
      <c r="R1462" s="27"/>
      <c r="S1462" s="22"/>
      <c r="T1462" s="22"/>
      <c r="U1462" s="28"/>
    </row>
    <row r="1463" ht="15.75" customHeight="1">
      <c r="A1463" s="189"/>
      <c r="B1463" s="22"/>
      <c r="C1463" s="22"/>
      <c r="D1463" s="22"/>
      <c r="E1463" s="22"/>
      <c r="F1463" s="22"/>
      <c r="G1463" s="22"/>
      <c r="H1463" s="22"/>
      <c r="I1463" s="24"/>
      <c r="J1463" s="24"/>
      <c r="K1463" s="24"/>
      <c r="L1463" s="24"/>
      <c r="M1463" s="26"/>
      <c r="N1463" s="26"/>
      <c r="O1463" s="26"/>
      <c r="P1463" s="27"/>
      <c r="Q1463" s="27"/>
      <c r="R1463" s="27"/>
      <c r="S1463" s="22"/>
      <c r="T1463" s="22"/>
      <c r="U1463" s="28"/>
    </row>
    <row r="1464" ht="15.75" customHeight="1">
      <c r="A1464" s="189"/>
      <c r="B1464" s="22"/>
      <c r="C1464" s="22"/>
      <c r="D1464" s="22"/>
      <c r="E1464" s="22"/>
      <c r="F1464" s="22"/>
      <c r="G1464" s="22"/>
      <c r="H1464" s="22"/>
      <c r="I1464" s="24"/>
      <c r="J1464" s="24"/>
      <c r="K1464" s="24"/>
      <c r="L1464" s="24"/>
      <c r="M1464" s="26"/>
      <c r="N1464" s="26"/>
      <c r="O1464" s="26"/>
      <c r="P1464" s="27"/>
      <c r="Q1464" s="27"/>
      <c r="R1464" s="27"/>
      <c r="S1464" s="22"/>
      <c r="T1464" s="22"/>
      <c r="U1464" s="28"/>
    </row>
    <row r="1465" ht="15.75" customHeight="1">
      <c r="A1465" s="189"/>
      <c r="B1465" s="22"/>
      <c r="C1465" s="22"/>
      <c r="D1465" s="22"/>
      <c r="E1465" s="22"/>
      <c r="F1465" s="22"/>
      <c r="G1465" s="22"/>
      <c r="H1465" s="22"/>
      <c r="I1465" s="24"/>
      <c r="J1465" s="24"/>
      <c r="K1465" s="24"/>
      <c r="L1465" s="24"/>
      <c r="M1465" s="26"/>
      <c r="N1465" s="26"/>
      <c r="O1465" s="26"/>
      <c r="P1465" s="27"/>
      <c r="Q1465" s="27"/>
      <c r="R1465" s="27"/>
      <c r="S1465" s="22"/>
      <c r="T1465" s="22"/>
      <c r="U1465" s="28"/>
    </row>
    <row r="1466" ht="15.75" customHeight="1">
      <c r="A1466" s="189"/>
      <c r="B1466" s="22"/>
      <c r="C1466" s="22"/>
      <c r="D1466" s="22"/>
      <c r="E1466" s="22"/>
      <c r="F1466" s="22"/>
      <c r="G1466" s="22"/>
      <c r="H1466" s="22"/>
      <c r="I1466" s="24"/>
      <c r="J1466" s="24"/>
      <c r="K1466" s="24"/>
      <c r="L1466" s="24"/>
      <c r="M1466" s="26"/>
      <c r="N1466" s="26"/>
      <c r="O1466" s="26"/>
      <c r="P1466" s="27"/>
      <c r="Q1466" s="27"/>
      <c r="R1466" s="27"/>
      <c r="S1466" s="22"/>
      <c r="T1466" s="22"/>
      <c r="U1466" s="28"/>
    </row>
    <row r="1467" ht="15.75" customHeight="1">
      <c r="A1467" s="189"/>
      <c r="B1467" s="22"/>
      <c r="C1467" s="22"/>
      <c r="D1467" s="22"/>
      <c r="E1467" s="22"/>
      <c r="F1467" s="22"/>
      <c r="G1467" s="22"/>
      <c r="H1467" s="22"/>
      <c r="I1467" s="24"/>
      <c r="J1467" s="24"/>
      <c r="K1467" s="24"/>
      <c r="L1467" s="24"/>
      <c r="M1467" s="26"/>
      <c r="N1467" s="26"/>
      <c r="O1467" s="26"/>
      <c r="P1467" s="27"/>
      <c r="Q1467" s="27"/>
      <c r="R1467" s="27"/>
      <c r="S1467" s="22"/>
      <c r="T1467" s="22"/>
      <c r="U1467" s="28"/>
    </row>
    <row r="1468" ht="15.75" customHeight="1">
      <c r="A1468" s="189"/>
      <c r="B1468" s="22"/>
      <c r="C1468" s="22"/>
      <c r="D1468" s="22"/>
      <c r="E1468" s="22"/>
      <c r="F1468" s="22"/>
      <c r="G1468" s="22"/>
      <c r="H1468" s="22"/>
      <c r="I1468" s="24"/>
      <c r="J1468" s="24"/>
      <c r="K1468" s="24"/>
      <c r="L1468" s="24"/>
      <c r="M1468" s="26"/>
      <c r="N1468" s="26"/>
      <c r="O1468" s="26"/>
      <c r="P1468" s="27"/>
      <c r="Q1468" s="27"/>
      <c r="R1468" s="27"/>
      <c r="S1468" s="22"/>
      <c r="T1468" s="22"/>
      <c r="U1468" s="28"/>
    </row>
    <row r="1469" ht="15.75" customHeight="1">
      <c r="A1469" s="189"/>
      <c r="B1469" s="22"/>
      <c r="C1469" s="22"/>
      <c r="D1469" s="22"/>
      <c r="E1469" s="22"/>
      <c r="F1469" s="22"/>
      <c r="G1469" s="22"/>
      <c r="H1469" s="22"/>
      <c r="I1469" s="24"/>
      <c r="J1469" s="24"/>
      <c r="K1469" s="24"/>
      <c r="L1469" s="24"/>
      <c r="M1469" s="26"/>
      <c r="N1469" s="26"/>
      <c r="O1469" s="26"/>
      <c r="P1469" s="27"/>
      <c r="Q1469" s="27"/>
      <c r="R1469" s="27"/>
      <c r="S1469" s="22"/>
      <c r="T1469" s="22"/>
      <c r="U1469" s="28"/>
    </row>
    <row r="1470" ht="15.75" customHeight="1">
      <c r="A1470" s="189"/>
      <c r="B1470" s="22"/>
      <c r="C1470" s="22"/>
      <c r="D1470" s="22"/>
      <c r="E1470" s="22"/>
      <c r="F1470" s="22"/>
      <c r="G1470" s="22"/>
      <c r="H1470" s="22"/>
      <c r="I1470" s="24"/>
      <c r="J1470" s="24"/>
      <c r="K1470" s="24"/>
      <c r="L1470" s="24"/>
      <c r="M1470" s="26"/>
      <c r="N1470" s="26"/>
      <c r="O1470" s="26"/>
      <c r="P1470" s="27"/>
      <c r="Q1470" s="27"/>
      <c r="R1470" s="27"/>
      <c r="S1470" s="22"/>
      <c r="T1470" s="22"/>
      <c r="U1470" s="28"/>
    </row>
    <row r="1471" ht="15.75" customHeight="1">
      <c r="A1471" s="189"/>
      <c r="B1471" s="22"/>
      <c r="C1471" s="22"/>
      <c r="D1471" s="22"/>
      <c r="E1471" s="22"/>
      <c r="F1471" s="22"/>
      <c r="G1471" s="22"/>
      <c r="H1471" s="22"/>
      <c r="I1471" s="24"/>
      <c r="J1471" s="24"/>
      <c r="K1471" s="24"/>
      <c r="L1471" s="24"/>
      <c r="M1471" s="26"/>
      <c r="N1471" s="26"/>
      <c r="O1471" s="26"/>
      <c r="P1471" s="27"/>
      <c r="Q1471" s="27"/>
      <c r="R1471" s="27"/>
      <c r="S1471" s="22"/>
      <c r="T1471" s="22"/>
      <c r="U1471" s="28"/>
    </row>
    <row r="1472" ht="15.75" customHeight="1">
      <c r="A1472" s="189"/>
      <c r="B1472" s="22"/>
      <c r="C1472" s="22"/>
      <c r="D1472" s="22"/>
      <c r="E1472" s="22"/>
      <c r="F1472" s="22"/>
      <c r="G1472" s="22"/>
      <c r="H1472" s="22"/>
      <c r="I1472" s="24"/>
      <c r="J1472" s="24"/>
      <c r="K1472" s="24"/>
      <c r="L1472" s="24"/>
      <c r="M1472" s="26"/>
      <c r="N1472" s="26"/>
      <c r="O1472" s="26"/>
      <c r="P1472" s="27"/>
      <c r="Q1472" s="27"/>
      <c r="R1472" s="27"/>
      <c r="S1472" s="22"/>
      <c r="T1472" s="22"/>
      <c r="U1472" s="28"/>
    </row>
    <row r="1473" ht="15.75" customHeight="1">
      <c r="A1473" s="189"/>
      <c r="B1473" s="22"/>
      <c r="C1473" s="22"/>
      <c r="D1473" s="22"/>
      <c r="E1473" s="22"/>
      <c r="F1473" s="22"/>
      <c r="G1473" s="22"/>
      <c r="H1473" s="22"/>
      <c r="I1473" s="24"/>
      <c r="J1473" s="24"/>
      <c r="K1473" s="24"/>
      <c r="L1473" s="24"/>
      <c r="M1473" s="26"/>
      <c r="N1473" s="26"/>
      <c r="O1473" s="26"/>
      <c r="P1473" s="27"/>
      <c r="Q1473" s="27"/>
      <c r="R1473" s="27"/>
      <c r="S1473" s="22"/>
      <c r="T1473" s="22"/>
      <c r="U1473" s="28"/>
    </row>
    <row r="1474" ht="15.75" customHeight="1">
      <c r="A1474" s="189"/>
      <c r="B1474" s="22"/>
      <c r="C1474" s="22"/>
      <c r="D1474" s="22"/>
      <c r="E1474" s="22"/>
      <c r="F1474" s="22"/>
      <c r="G1474" s="22"/>
      <c r="H1474" s="22"/>
      <c r="I1474" s="24"/>
      <c r="J1474" s="24"/>
      <c r="K1474" s="24"/>
      <c r="L1474" s="24"/>
      <c r="M1474" s="26"/>
      <c r="N1474" s="26"/>
      <c r="O1474" s="26"/>
      <c r="P1474" s="27"/>
      <c r="Q1474" s="27"/>
      <c r="R1474" s="27"/>
      <c r="S1474" s="22"/>
      <c r="T1474" s="22"/>
      <c r="U1474" s="28"/>
    </row>
    <row r="1475" ht="15.75" customHeight="1">
      <c r="A1475" s="189"/>
      <c r="B1475" s="22"/>
      <c r="C1475" s="22"/>
      <c r="D1475" s="22"/>
      <c r="E1475" s="22"/>
      <c r="F1475" s="22"/>
      <c r="G1475" s="22"/>
      <c r="H1475" s="22"/>
      <c r="I1475" s="24"/>
      <c r="J1475" s="24"/>
      <c r="K1475" s="24"/>
      <c r="L1475" s="24"/>
      <c r="M1475" s="26"/>
      <c r="N1475" s="26"/>
      <c r="O1475" s="26"/>
      <c r="P1475" s="27"/>
      <c r="Q1475" s="27"/>
      <c r="R1475" s="27"/>
      <c r="S1475" s="22"/>
      <c r="T1475" s="22"/>
      <c r="U1475" s="28"/>
    </row>
    <row r="1476" ht="15.75" customHeight="1">
      <c r="A1476" s="189"/>
      <c r="B1476" s="22"/>
      <c r="C1476" s="22"/>
      <c r="D1476" s="22"/>
      <c r="E1476" s="22"/>
      <c r="F1476" s="22"/>
      <c r="G1476" s="22"/>
      <c r="H1476" s="22"/>
      <c r="I1476" s="24"/>
      <c r="J1476" s="24"/>
      <c r="K1476" s="24"/>
      <c r="L1476" s="24"/>
      <c r="M1476" s="26"/>
      <c r="N1476" s="26"/>
      <c r="O1476" s="26"/>
      <c r="P1476" s="27"/>
      <c r="Q1476" s="27"/>
      <c r="R1476" s="27"/>
      <c r="S1476" s="22"/>
      <c r="T1476" s="22"/>
      <c r="U1476" s="28"/>
    </row>
    <row r="1477" ht="15.75" customHeight="1">
      <c r="A1477" s="189"/>
      <c r="B1477" s="22"/>
      <c r="C1477" s="22"/>
      <c r="D1477" s="22"/>
      <c r="E1477" s="22"/>
      <c r="F1477" s="22"/>
      <c r="G1477" s="22"/>
      <c r="H1477" s="22"/>
      <c r="I1477" s="24"/>
      <c r="J1477" s="24"/>
      <c r="K1477" s="24"/>
      <c r="L1477" s="24"/>
      <c r="M1477" s="26"/>
      <c r="N1477" s="26"/>
      <c r="O1477" s="26"/>
      <c r="P1477" s="27"/>
      <c r="Q1477" s="27"/>
      <c r="R1477" s="27"/>
      <c r="S1477" s="22"/>
      <c r="T1477" s="22"/>
      <c r="U1477" s="28"/>
    </row>
    <row r="1478" ht="15.75" customHeight="1">
      <c r="A1478" s="189"/>
      <c r="B1478" s="22"/>
      <c r="C1478" s="22"/>
      <c r="D1478" s="22"/>
      <c r="E1478" s="22"/>
      <c r="F1478" s="22"/>
      <c r="G1478" s="22"/>
      <c r="H1478" s="22"/>
      <c r="I1478" s="24"/>
      <c r="J1478" s="24"/>
      <c r="K1478" s="24"/>
      <c r="L1478" s="24"/>
      <c r="M1478" s="26"/>
      <c r="N1478" s="26"/>
      <c r="O1478" s="26"/>
      <c r="P1478" s="27"/>
      <c r="Q1478" s="27"/>
      <c r="R1478" s="27"/>
      <c r="S1478" s="22"/>
      <c r="T1478" s="22"/>
      <c r="U1478" s="28"/>
    </row>
    <row r="1479" ht="15.75" customHeight="1">
      <c r="A1479" s="189"/>
      <c r="B1479" s="22"/>
      <c r="C1479" s="22"/>
      <c r="D1479" s="22"/>
      <c r="E1479" s="22"/>
      <c r="F1479" s="22"/>
      <c r="G1479" s="22"/>
      <c r="H1479" s="22"/>
      <c r="I1479" s="24"/>
      <c r="J1479" s="24"/>
      <c r="K1479" s="24"/>
      <c r="L1479" s="24"/>
      <c r="M1479" s="26"/>
      <c r="N1479" s="26"/>
      <c r="O1479" s="26"/>
      <c r="P1479" s="27"/>
      <c r="Q1479" s="27"/>
      <c r="R1479" s="27"/>
      <c r="S1479" s="22"/>
      <c r="T1479" s="22"/>
      <c r="U1479" s="28"/>
    </row>
    <row r="1480" ht="15.75" customHeight="1">
      <c r="A1480" s="189"/>
      <c r="B1480" s="22"/>
      <c r="C1480" s="22"/>
      <c r="D1480" s="22"/>
      <c r="E1480" s="22"/>
      <c r="F1480" s="22"/>
      <c r="G1480" s="22"/>
      <c r="H1480" s="22"/>
      <c r="I1480" s="24"/>
      <c r="J1480" s="24"/>
      <c r="K1480" s="24"/>
      <c r="L1480" s="24"/>
      <c r="M1480" s="26"/>
      <c r="N1480" s="26"/>
      <c r="O1480" s="26"/>
      <c r="P1480" s="27"/>
      <c r="Q1480" s="27"/>
      <c r="R1480" s="27"/>
      <c r="S1480" s="22"/>
      <c r="T1480" s="22"/>
      <c r="U1480" s="28"/>
    </row>
    <row r="1481" ht="15.75" customHeight="1">
      <c r="A1481" s="189"/>
      <c r="B1481" s="22"/>
      <c r="C1481" s="22"/>
      <c r="D1481" s="22"/>
      <c r="E1481" s="22"/>
      <c r="F1481" s="22"/>
      <c r="G1481" s="22"/>
      <c r="H1481" s="22"/>
      <c r="I1481" s="24"/>
      <c r="J1481" s="24"/>
      <c r="K1481" s="24"/>
      <c r="L1481" s="24"/>
      <c r="M1481" s="26"/>
      <c r="N1481" s="26"/>
      <c r="O1481" s="26"/>
      <c r="P1481" s="27"/>
      <c r="Q1481" s="27"/>
      <c r="R1481" s="27"/>
      <c r="S1481" s="22"/>
      <c r="T1481" s="22"/>
      <c r="U1481" s="28"/>
    </row>
    <row r="1482" ht="15.75" customHeight="1">
      <c r="A1482" s="189"/>
      <c r="B1482" s="22"/>
      <c r="C1482" s="22"/>
      <c r="D1482" s="22"/>
      <c r="E1482" s="22"/>
      <c r="F1482" s="22"/>
      <c r="G1482" s="22"/>
      <c r="H1482" s="22"/>
      <c r="I1482" s="24"/>
      <c r="J1482" s="24"/>
      <c r="K1482" s="24"/>
      <c r="L1482" s="24"/>
      <c r="M1482" s="26"/>
      <c r="N1482" s="26"/>
      <c r="O1482" s="26"/>
      <c r="P1482" s="27"/>
      <c r="Q1482" s="27"/>
      <c r="R1482" s="27"/>
      <c r="S1482" s="22"/>
      <c r="T1482" s="22"/>
      <c r="U1482" s="28"/>
    </row>
    <row r="1483" ht="15.75" customHeight="1">
      <c r="A1483" s="189"/>
      <c r="B1483" s="22"/>
      <c r="C1483" s="22"/>
      <c r="D1483" s="22"/>
      <c r="E1483" s="22"/>
      <c r="F1483" s="22"/>
      <c r="G1483" s="22"/>
      <c r="H1483" s="22"/>
      <c r="I1483" s="24"/>
      <c r="J1483" s="24"/>
      <c r="K1483" s="24"/>
      <c r="L1483" s="24"/>
      <c r="M1483" s="26"/>
      <c r="N1483" s="26"/>
      <c r="O1483" s="26"/>
      <c r="P1483" s="27"/>
      <c r="Q1483" s="27"/>
      <c r="R1483" s="27"/>
      <c r="S1483" s="22"/>
      <c r="T1483" s="22"/>
      <c r="U1483" s="28"/>
    </row>
    <row r="1484" ht="15.75" customHeight="1">
      <c r="A1484" s="189"/>
      <c r="B1484" s="22"/>
      <c r="C1484" s="22"/>
      <c r="D1484" s="22"/>
      <c r="E1484" s="22"/>
      <c r="F1484" s="22"/>
      <c r="G1484" s="22"/>
      <c r="H1484" s="22"/>
      <c r="I1484" s="24"/>
      <c r="J1484" s="24"/>
      <c r="K1484" s="24"/>
      <c r="L1484" s="24"/>
      <c r="M1484" s="26"/>
      <c r="N1484" s="26"/>
      <c r="O1484" s="26"/>
      <c r="P1484" s="27"/>
      <c r="Q1484" s="27"/>
      <c r="R1484" s="27"/>
      <c r="S1484" s="22"/>
      <c r="T1484" s="22"/>
      <c r="U1484" s="28"/>
    </row>
    <row r="1485" ht="15.75" customHeight="1">
      <c r="A1485" s="189"/>
      <c r="B1485" s="22"/>
      <c r="C1485" s="22"/>
      <c r="D1485" s="22"/>
      <c r="E1485" s="22"/>
      <c r="F1485" s="22"/>
      <c r="G1485" s="22"/>
      <c r="H1485" s="22"/>
      <c r="I1485" s="24"/>
      <c r="J1485" s="24"/>
      <c r="K1485" s="24"/>
      <c r="L1485" s="24"/>
      <c r="M1485" s="26"/>
      <c r="N1485" s="26"/>
      <c r="O1485" s="26"/>
      <c r="P1485" s="27"/>
      <c r="Q1485" s="27"/>
      <c r="R1485" s="27"/>
      <c r="S1485" s="22"/>
      <c r="T1485" s="22"/>
      <c r="U1485" s="28"/>
    </row>
    <row r="1486" ht="15.75" customHeight="1">
      <c r="A1486" s="189"/>
      <c r="B1486" s="22"/>
      <c r="C1486" s="22"/>
      <c r="D1486" s="22"/>
      <c r="E1486" s="22"/>
      <c r="F1486" s="22"/>
      <c r="G1486" s="22"/>
      <c r="H1486" s="22"/>
      <c r="I1486" s="24"/>
      <c r="J1486" s="24"/>
      <c r="K1486" s="24"/>
      <c r="L1486" s="24"/>
      <c r="M1486" s="26"/>
      <c r="N1486" s="26"/>
      <c r="O1486" s="26"/>
      <c r="P1486" s="27"/>
      <c r="Q1486" s="27"/>
      <c r="R1486" s="27"/>
      <c r="S1486" s="22"/>
      <c r="T1486" s="22"/>
      <c r="U1486" s="28"/>
    </row>
    <row r="1487" ht="15.75" customHeight="1">
      <c r="A1487" s="189"/>
      <c r="B1487" s="22"/>
      <c r="C1487" s="22"/>
      <c r="D1487" s="22"/>
      <c r="E1487" s="22"/>
      <c r="F1487" s="22"/>
      <c r="G1487" s="22"/>
      <c r="H1487" s="22"/>
      <c r="I1487" s="24"/>
      <c r="J1487" s="24"/>
      <c r="K1487" s="24"/>
      <c r="L1487" s="24"/>
      <c r="M1487" s="26"/>
      <c r="N1487" s="26"/>
      <c r="O1487" s="26"/>
      <c r="P1487" s="27"/>
      <c r="Q1487" s="27"/>
      <c r="R1487" s="27"/>
      <c r="S1487" s="22"/>
      <c r="T1487" s="22"/>
      <c r="U1487" s="28"/>
    </row>
    <row r="1488" ht="15.75" customHeight="1">
      <c r="A1488" s="189"/>
      <c r="B1488" s="22"/>
      <c r="C1488" s="22"/>
      <c r="D1488" s="22"/>
      <c r="E1488" s="22"/>
      <c r="F1488" s="22"/>
      <c r="G1488" s="22"/>
      <c r="H1488" s="22"/>
      <c r="I1488" s="24"/>
      <c r="J1488" s="24"/>
      <c r="K1488" s="24"/>
      <c r="L1488" s="24"/>
      <c r="M1488" s="26"/>
      <c r="N1488" s="26"/>
      <c r="O1488" s="26"/>
      <c r="P1488" s="27"/>
      <c r="Q1488" s="27"/>
      <c r="R1488" s="27"/>
      <c r="S1488" s="22"/>
      <c r="T1488" s="22"/>
      <c r="U1488" s="28"/>
    </row>
    <row r="1489" ht="15.75" customHeight="1">
      <c r="A1489" s="189"/>
      <c r="B1489" s="22"/>
      <c r="C1489" s="22"/>
      <c r="D1489" s="22"/>
      <c r="E1489" s="22"/>
      <c r="F1489" s="22"/>
      <c r="G1489" s="22"/>
      <c r="H1489" s="22"/>
      <c r="I1489" s="24"/>
      <c r="J1489" s="24"/>
      <c r="K1489" s="24"/>
      <c r="L1489" s="24"/>
      <c r="M1489" s="26"/>
      <c r="N1489" s="26"/>
      <c r="O1489" s="26"/>
      <c r="P1489" s="27"/>
      <c r="Q1489" s="27"/>
      <c r="R1489" s="27"/>
      <c r="S1489" s="22"/>
      <c r="T1489" s="22"/>
      <c r="U1489" s="28"/>
    </row>
    <row r="1490" ht="15.75" customHeight="1">
      <c r="A1490" s="189"/>
      <c r="B1490" s="22"/>
      <c r="C1490" s="22"/>
      <c r="D1490" s="22"/>
      <c r="E1490" s="22"/>
      <c r="F1490" s="22"/>
      <c r="G1490" s="22"/>
      <c r="H1490" s="22"/>
      <c r="I1490" s="24"/>
      <c r="J1490" s="24"/>
      <c r="K1490" s="24"/>
      <c r="L1490" s="24"/>
      <c r="M1490" s="26"/>
      <c r="N1490" s="26"/>
      <c r="O1490" s="26"/>
      <c r="P1490" s="27"/>
      <c r="Q1490" s="27"/>
      <c r="R1490" s="27"/>
      <c r="S1490" s="22"/>
      <c r="T1490" s="22"/>
      <c r="U1490" s="28"/>
    </row>
    <row r="1491" ht="15.75" customHeight="1">
      <c r="A1491" s="189"/>
      <c r="B1491" s="22"/>
      <c r="C1491" s="22"/>
      <c r="D1491" s="22"/>
      <c r="E1491" s="22"/>
      <c r="F1491" s="22"/>
      <c r="G1491" s="22"/>
      <c r="H1491" s="22"/>
      <c r="I1491" s="24"/>
      <c r="J1491" s="24"/>
      <c r="K1491" s="24"/>
      <c r="L1491" s="24"/>
      <c r="M1491" s="26"/>
      <c r="N1491" s="26"/>
      <c r="O1491" s="26"/>
      <c r="P1491" s="27"/>
      <c r="Q1491" s="27"/>
      <c r="R1491" s="27"/>
      <c r="S1491" s="22"/>
      <c r="T1491" s="22"/>
      <c r="U1491" s="28"/>
    </row>
    <row r="1492" ht="15.75" customHeight="1">
      <c r="A1492" s="189"/>
      <c r="B1492" s="22"/>
      <c r="C1492" s="22"/>
      <c r="D1492" s="22"/>
      <c r="E1492" s="22"/>
      <c r="F1492" s="22"/>
      <c r="G1492" s="22"/>
      <c r="H1492" s="22"/>
      <c r="I1492" s="24"/>
      <c r="J1492" s="24"/>
      <c r="K1492" s="24"/>
      <c r="L1492" s="24"/>
      <c r="M1492" s="26"/>
      <c r="N1492" s="26"/>
      <c r="O1492" s="26"/>
      <c r="P1492" s="27"/>
      <c r="Q1492" s="27"/>
      <c r="R1492" s="27"/>
      <c r="S1492" s="22"/>
      <c r="T1492" s="22"/>
      <c r="U1492" s="28"/>
    </row>
    <row r="1493" ht="15.75" customHeight="1">
      <c r="A1493" s="189"/>
      <c r="B1493" s="22"/>
      <c r="C1493" s="22"/>
      <c r="D1493" s="22"/>
      <c r="E1493" s="22"/>
      <c r="F1493" s="22"/>
      <c r="G1493" s="22"/>
      <c r="H1493" s="22"/>
      <c r="I1493" s="24"/>
      <c r="J1493" s="24"/>
      <c r="K1493" s="24"/>
      <c r="L1493" s="24"/>
      <c r="M1493" s="26"/>
      <c r="N1493" s="26"/>
      <c r="O1493" s="26"/>
      <c r="P1493" s="27"/>
      <c r="Q1493" s="27"/>
      <c r="R1493" s="27"/>
      <c r="S1493" s="22"/>
      <c r="T1493" s="22"/>
      <c r="U1493" s="28"/>
    </row>
    <row r="1494" ht="15.75" customHeight="1">
      <c r="A1494" s="189"/>
      <c r="B1494" s="22"/>
      <c r="C1494" s="22"/>
      <c r="D1494" s="22"/>
      <c r="E1494" s="22"/>
      <c r="F1494" s="22"/>
      <c r="G1494" s="22"/>
      <c r="H1494" s="22"/>
      <c r="I1494" s="24"/>
      <c r="J1494" s="24"/>
      <c r="K1494" s="24"/>
      <c r="L1494" s="24"/>
      <c r="M1494" s="26"/>
      <c r="N1494" s="26"/>
      <c r="O1494" s="26"/>
      <c r="P1494" s="27"/>
      <c r="Q1494" s="27"/>
      <c r="R1494" s="27"/>
      <c r="S1494" s="22"/>
      <c r="T1494" s="22"/>
      <c r="U1494" s="28"/>
    </row>
    <row r="1495" ht="15.75" customHeight="1">
      <c r="A1495" s="189"/>
      <c r="B1495" s="22"/>
      <c r="C1495" s="22"/>
      <c r="D1495" s="22"/>
      <c r="E1495" s="22"/>
      <c r="F1495" s="22"/>
      <c r="G1495" s="22"/>
      <c r="H1495" s="22"/>
      <c r="I1495" s="24"/>
      <c r="J1495" s="24"/>
      <c r="K1495" s="24"/>
      <c r="L1495" s="24"/>
      <c r="M1495" s="26"/>
      <c r="N1495" s="26"/>
      <c r="O1495" s="26"/>
      <c r="P1495" s="27"/>
      <c r="Q1495" s="27"/>
      <c r="R1495" s="27"/>
      <c r="S1495" s="22"/>
      <c r="T1495" s="22"/>
      <c r="U1495" s="28"/>
    </row>
    <row r="1496" ht="15.75" customHeight="1">
      <c r="A1496" s="189"/>
      <c r="B1496" s="22"/>
      <c r="C1496" s="22"/>
      <c r="D1496" s="22"/>
      <c r="E1496" s="22"/>
      <c r="F1496" s="22"/>
      <c r="G1496" s="22"/>
      <c r="H1496" s="22"/>
      <c r="I1496" s="24"/>
      <c r="J1496" s="24"/>
      <c r="K1496" s="24"/>
      <c r="L1496" s="24"/>
      <c r="M1496" s="26"/>
      <c r="N1496" s="26"/>
      <c r="O1496" s="26"/>
      <c r="P1496" s="27"/>
      <c r="Q1496" s="27"/>
      <c r="R1496" s="27"/>
      <c r="S1496" s="22"/>
      <c r="T1496" s="22"/>
      <c r="U1496" s="28"/>
    </row>
    <row r="1497" ht="15.75" customHeight="1">
      <c r="A1497" s="189"/>
      <c r="B1497" s="22"/>
      <c r="C1497" s="22"/>
      <c r="D1497" s="22"/>
      <c r="E1497" s="22"/>
      <c r="F1497" s="22"/>
      <c r="G1497" s="22"/>
      <c r="H1497" s="22"/>
      <c r="I1497" s="24"/>
      <c r="J1497" s="24"/>
      <c r="K1497" s="24"/>
      <c r="L1497" s="24"/>
      <c r="M1497" s="26"/>
      <c r="N1497" s="26"/>
      <c r="O1497" s="26"/>
      <c r="P1497" s="27"/>
      <c r="Q1497" s="27"/>
      <c r="R1497" s="27"/>
      <c r="S1497" s="22"/>
      <c r="T1497" s="22"/>
      <c r="U1497" s="28"/>
    </row>
    <row r="1498" ht="15.75" customHeight="1">
      <c r="A1498" s="189"/>
      <c r="B1498" s="22"/>
      <c r="C1498" s="22"/>
      <c r="D1498" s="22"/>
      <c r="E1498" s="22"/>
      <c r="F1498" s="22"/>
      <c r="G1498" s="22"/>
      <c r="H1498" s="22"/>
      <c r="I1498" s="24"/>
      <c r="J1498" s="24"/>
      <c r="K1498" s="24"/>
      <c r="L1498" s="24"/>
      <c r="M1498" s="26"/>
      <c r="N1498" s="26"/>
      <c r="O1498" s="26"/>
      <c r="P1498" s="27"/>
      <c r="Q1498" s="27"/>
      <c r="R1498" s="27"/>
      <c r="S1498" s="22"/>
      <c r="T1498" s="22"/>
      <c r="U1498" s="28"/>
    </row>
    <row r="1499" ht="15.75" customHeight="1">
      <c r="A1499" s="189"/>
      <c r="B1499" s="22"/>
      <c r="C1499" s="22"/>
      <c r="D1499" s="22"/>
      <c r="E1499" s="22"/>
      <c r="F1499" s="22"/>
      <c r="G1499" s="22"/>
      <c r="H1499" s="22"/>
      <c r="I1499" s="24"/>
      <c r="J1499" s="24"/>
      <c r="K1499" s="24"/>
      <c r="L1499" s="24"/>
      <c r="M1499" s="26"/>
      <c r="N1499" s="26"/>
      <c r="O1499" s="26"/>
      <c r="P1499" s="27"/>
      <c r="Q1499" s="27"/>
      <c r="R1499" s="27"/>
      <c r="S1499" s="22"/>
      <c r="T1499" s="22"/>
      <c r="U1499" s="28"/>
    </row>
    <row r="1500" ht="15.75" customHeight="1">
      <c r="A1500" s="189"/>
      <c r="B1500" s="22"/>
      <c r="C1500" s="22"/>
      <c r="D1500" s="22"/>
      <c r="E1500" s="22"/>
      <c r="F1500" s="22"/>
      <c r="G1500" s="22"/>
      <c r="H1500" s="22"/>
      <c r="I1500" s="24"/>
      <c r="J1500" s="24"/>
      <c r="K1500" s="24"/>
      <c r="L1500" s="24"/>
      <c r="M1500" s="26"/>
      <c r="N1500" s="26"/>
      <c r="O1500" s="26"/>
      <c r="P1500" s="27"/>
      <c r="Q1500" s="27"/>
      <c r="R1500" s="27"/>
      <c r="S1500" s="22"/>
      <c r="T1500" s="22"/>
      <c r="U1500" s="28"/>
    </row>
    <row r="1501" ht="15.75" customHeight="1">
      <c r="A1501" s="189"/>
      <c r="B1501" s="22"/>
      <c r="C1501" s="22"/>
      <c r="D1501" s="22"/>
      <c r="E1501" s="22"/>
      <c r="F1501" s="22"/>
      <c r="G1501" s="22"/>
      <c r="H1501" s="22"/>
      <c r="I1501" s="24"/>
      <c r="J1501" s="24"/>
      <c r="K1501" s="24"/>
      <c r="L1501" s="24"/>
      <c r="M1501" s="26"/>
      <c r="N1501" s="26"/>
      <c r="O1501" s="26"/>
      <c r="P1501" s="27"/>
      <c r="Q1501" s="27"/>
      <c r="R1501" s="27"/>
      <c r="S1501" s="22"/>
      <c r="T1501" s="22"/>
      <c r="U1501" s="28"/>
    </row>
    <row r="1502" ht="15.75" customHeight="1">
      <c r="A1502" s="189"/>
      <c r="B1502" s="22"/>
      <c r="C1502" s="22"/>
      <c r="D1502" s="22"/>
      <c r="E1502" s="22"/>
      <c r="F1502" s="22"/>
      <c r="G1502" s="22"/>
      <c r="H1502" s="22"/>
      <c r="I1502" s="24"/>
      <c r="J1502" s="24"/>
      <c r="K1502" s="24"/>
      <c r="L1502" s="24"/>
      <c r="M1502" s="26"/>
      <c r="N1502" s="26"/>
      <c r="O1502" s="26"/>
      <c r="P1502" s="27"/>
      <c r="Q1502" s="27"/>
      <c r="R1502" s="27"/>
      <c r="S1502" s="22"/>
      <c r="T1502" s="22"/>
      <c r="U1502" s="28"/>
    </row>
    <row r="1503" ht="15.75" customHeight="1">
      <c r="A1503" s="189"/>
      <c r="B1503" s="22"/>
      <c r="C1503" s="22"/>
      <c r="D1503" s="22"/>
      <c r="E1503" s="22"/>
      <c r="F1503" s="22"/>
      <c r="G1503" s="22"/>
      <c r="H1503" s="22"/>
      <c r="I1503" s="24"/>
      <c r="J1503" s="24"/>
      <c r="K1503" s="24"/>
      <c r="L1503" s="24"/>
      <c r="M1503" s="26"/>
      <c r="N1503" s="26"/>
      <c r="O1503" s="26"/>
      <c r="P1503" s="27"/>
      <c r="Q1503" s="27"/>
      <c r="R1503" s="27"/>
      <c r="S1503" s="22"/>
      <c r="T1503" s="22"/>
      <c r="U1503" s="28"/>
    </row>
    <row r="1504" ht="15.75" customHeight="1">
      <c r="A1504" s="189"/>
      <c r="B1504" s="22"/>
      <c r="C1504" s="22"/>
      <c r="D1504" s="22"/>
      <c r="E1504" s="22"/>
      <c r="F1504" s="22"/>
      <c r="G1504" s="22"/>
      <c r="H1504" s="22"/>
      <c r="I1504" s="24"/>
      <c r="J1504" s="24"/>
      <c r="K1504" s="24"/>
      <c r="L1504" s="24"/>
      <c r="M1504" s="26"/>
      <c r="N1504" s="26"/>
      <c r="O1504" s="26"/>
      <c r="P1504" s="27"/>
      <c r="Q1504" s="27"/>
      <c r="R1504" s="27"/>
      <c r="S1504" s="22"/>
      <c r="T1504" s="22"/>
      <c r="U1504" s="28"/>
    </row>
    <row r="1505" ht="15.75" customHeight="1">
      <c r="A1505" s="189"/>
      <c r="B1505" s="22"/>
      <c r="C1505" s="22"/>
      <c r="D1505" s="22"/>
      <c r="E1505" s="22"/>
      <c r="F1505" s="22"/>
      <c r="G1505" s="22"/>
      <c r="H1505" s="22"/>
      <c r="I1505" s="24"/>
      <c r="J1505" s="24"/>
      <c r="K1505" s="24"/>
      <c r="L1505" s="24"/>
      <c r="M1505" s="26"/>
      <c r="N1505" s="26"/>
      <c r="O1505" s="26"/>
      <c r="P1505" s="27"/>
      <c r="Q1505" s="27"/>
      <c r="R1505" s="27"/>
      <c r="S1505" s="22"/>
      <c r="T1505" s="22"/>
      <c r="U1505" s="28"/>
    </row>
    <row r="1506" ht="15.75" customHeight="1">
      <c r="A1506" s="189"/>
      <c r="B1506" s="22"/>
      <c r="C1506" s="22"/>
      <c r="D1506" s="22"/>
      <c r="E1506" s="22"/>
      <c r="F1506" s="22"/>
      <c r="G1506" s="22"/>
      <c r="H1506" s="22"/>
      <c r="I1506" s="24"/>
      <c r="J1506" s="24"/>
      <c r="K1506" s="24"/>
      <c r="L1506" s="24"/>
      <c r="M1506" s="26"/>
      <c r="N1506" s="26"/>
      <c r="O1506" s="26"/>
      <c r="P1506" s="27"/>
      <c r="Q1506" s="27"/>
      <c r="R1506" s="27"/>
      <c r="S1506" s="22"/>
      <c r="T1506" s="22"/>
      <c r="U1506" s="28"/>
    </row>
    <row r="1507" ht="15.75" customHeight="1">
      <c r="A1507" s="189"/>
      <c r="B1507" s="22"/>
      <c r="C1507" s="22"/>
      <c r="D1507" s="22"/>
      <c r="E1507" s="22"/>
      <c r="F1507" s="22"/>
      <c r="G1507" s="22"/>
      <c r="H1507" s="22"/>
      <c r="I1507" s="24"/>
      <c r="J1507" s="24"/>
      <c r="K1507" s="24"/>
      <c r="L1507" s="24"/>
      <c r="M1507" s="26"/>
      <c r="N1507" s="26"/>
      <c r="O1507" s="26"/>
      <c r="P1507" s="27"/>
      <c r="Q1507" s="27"/>
      <c r="R1507" s="27"/>
      <c r="S1507" s="22"/>
      <c r="T1507" s="22"/>
      <c r="U1507" s="28"/>
    </row>
    <row r="1508" ht="15.75" customHeight="1">
      <c r="A1508" s="189"/>
      <c r="B1508" s="22"/>
      <c r="C1508" s="22"/>
      <c r="D1508" s="22"/>
      <c r="E1508" s="22"/>
      <c r="F1508" s="22"/>
      <c r="G1508" s="22"/>
      <c r="H1508" s="22"/>
      <c r="I1508" s="24"/>
      <c r="J1508" s="24"/>
      <c r="K1508" s="24"/>
      <c r="L1508" s="24"/>
      <c r="M1508" s="26"/>
      <c r="N1508" s="26"/>
      <c r="O1508" s="26"/>
      <c r="P1508" s="27"/>
      <c r="Q1508" s="27"/>
      <c r="R1508" s="27"/>
      <c r="S1508" s="22"/>
      <c r="T1508" s="22"/>
      <c r="U1508" s="28"/>
    </row>
    <row r="1509" ht="15.75" customHeight="1">
      <c r="A1509" s="189"/>
      <c r="B1509" s="22"/>
      <c r="C1509" s="22"/>
      <c r="D1509" s="22"/>
      <c r="E1509" s="22"/>
      <c r="F1509" s="22"/>
      <c r="G1509" s="22"/>
      <c r="H1509" s="22"/>
      <c r="I1509" s="24"/>
      <c r="J1509" s="24"/>
      <c r="K1509" s="24"/>
      <c r="L1509" s="24"/>
      <c r="M1509" s="26"/>
      <c r="N1509" s="26"/>
      <c r="O1509" s="26"/>
      <c r="P1509" s="27"/>
      <c r="Q1509" s="27"/>
      <c r="R1509" s="27"/>
      <c r="S1509" s="22"/>
      <c r="T1509" s="22"/>
      <c r="U1509" s="28"/>
    </row>
    <row r="1510" ht="15.75" customHeight="1">
      <c r="A1510" s="189"/>
      <c r="B1510" s="22"/>
      <c r="C1510" s="22"/>
      <c r="D1510" s="22"/>
      <c r="E1510" s="22"/>
      <c r="F1510" s="22"/>
      <c r="G1510" s="22"/>
      <c r="H1510" s="22"/>
      <c r="I1510" s="24"/>
      <c r="J1510" s="24"/>
      <c r="K1510" s="24"/>
      <c r="L1510" s="24"/>
      <c r="M1510" s="26"/>
      <c r="N1510" s="26"/>
      <c r="O1510" s="26"/>
      <c r="P1510" s="27"/>
      <c r="Q1510" s="27"/>
      <c r="R1510" s="27"/>
      <c r="S1510" s="22"/>
      <c r="T1510" s="22"/>
      <c r="U1510" s="28"/>
    </row>
    <row r="1511" ht="15.75" customHeight="1">
      <c r="A1511" s="189"/>
      <c r="B1511" s="22"/>
      <c r="C1511" s="22"/>
      <c r="D1511" s="22"/>
      <c r="E1511" s="22"/>
      <c r="F1511" s="22"/>
      <c r="G1511" s="22"/>
      <c r="H1511" s="22"/>
      <c r="I1511" s="24"/>
      <c r="J1511" s="24"/>
      <c r="K1511" s="24"/>
      <c r="L1511" s="24"/>
      <c r="M1511" s="26"/>
      <c r="N1511" s="26"/>
      <c r="O1511" s="26"/>
      <c r="P1511" s="27"/>
      <c r="Q1511" s="27"/>
      <c r="R1511" s="27"/>
      <c r="S1511" s="22"/>
      <c r="T1511" s="22"/>
      <c r="U1511" s="28"/>
    </row>
    <row r="1512" ht="15.75" customHeight="1">
      <c r="A1512" s="189"/>
      <c r="B1512" s="22"/>
      <c r="C1512" s="22"/>
      <c r="D1512" s="22"/>
      <c r="E1512" s="22"/>
      <c r="F1512" s="22"/>
      <c r="G1512" s="22"/>
      <c r="H1512" s="22"/>
      <c r="I1512" s="24"/>
      <c r="J1512" s="24"/>
      <c r="K1512" s="24"/>
      <c r="L1512" s="24"/>
      <c r="M1512" s="26"/>
      <c r="N1512" s="26"/>
      <c r="O1512" s="26"/>
      <c r="P1512" s="27"/>
      <c r="Q1512" s="27"/>
      <c r="R1512" s="27"/>
      <c r="S1512" s="22"/>
      <c r="T1512" s="22"/>
      <c r="U1512" s="28"/>
    </row>
    <row r="1513" ht="15.75" customHeight="1">
      <c r="A1513" s="189"/>
      <c r="B1513" s="22"/>
      <c r="C1513" s="22"/>
      <c r="D1513" s="22"/>
      <c r="E1513" s="22"/>
      <c r="F1513" s="22"/>
      <c r="G1513" s="22"/>
      <c r="H1513" s="22"/>
      <c r="I1513" s="24"/>
      <c r="J1513" s="24"/>
      <c r="K1513" s="24"/>
      <c r="L1513" s="24"/>
      <c r="M1513" s="26"/>
      <c r="N1513" s="26"/>
      <c r="O1513" s="26"/>
      <c r="P1513" s="27"/>
      <c r="Q1513" s="27"/>
      <c r="R1513" s="27"/>
      <c r="S1513" s="22"/>
      <c r="T1513" s="22"/>
      <c r="U1513" s="28"/>
    </row>
    <row r="1514" ht="15.75" customHeight="1">
      <c r="A1514" s="189"/>
      <c r="B1514" s="22"/>
      <c r="C1514" s="22"/>
      <c r="D1514" s="22"/>
      <c r="E1514" s="22"/>
      <c r="F1514" s="22"/>
      <c r="G1514" s="22"/>
      <c r="H1514" s="22"/>
      <c r="I1514" s="24"/>
      <c r="J1514" s="24"/>
      <c r="K1514" s="24"/>
      <c r="L1514" s="24"/>
      <c r="M1514" s="26"/>
      <c r="N1514" s="26"/>
      <c r="O1514" s="26"/>
      <c r="P1514" s="27"/>
      <c r="Q1514" s="27"/>
      <c r="R1514" s="27"/>
      <c r="S1514" s="22"/>
      <c r="T1514" s="22"/>
      <c r="U1514" s="28"/>
    </row>
    <row r="1515" ht="15.75" customHeight="1">
      <c r="A1515" s="189"/>
      <c r="B1515" s="22"/>
      <c r="C1515" s="22"/>
      <c r="D1515" s="22"/>
      <c r="E1515" s="22"/>
      <c r="F1515" s="22"/>
      <c r="G1515" s="22"/>
      <c r="H1515" s="22"/>
      <c r="I1515" s="24"/>
      <c r="J1515" s="24"/>
      <c r="K1515" s="24"/>
      <c r="L1515" s="24"/>
      <c r="M1515" s="26"/>
      <c r="N1515" s="26"/>
      <c r="O1515" s="26"/>
      <c r="P1515" s="27"/>
      <c r="Q1515" s="27"/>
      <c r="R1515" s="27"/>
      <c r="S1515" s="22"/>
      <c r="T1515" s="22"/>
      <c r="U1515" s="28"/>
    </row>
    <row r="1516" ht="15.75" customHeight="1">
      <c r="A1516" s="189"/>
      <c r="B1516" s="22"/>
      <c r="C1516" s="22"/>
      <c r="D1516" s="22"/>
      <c r="E1516" s="22"/>
      <c r="F1516" s="22"/>
      <c r="G1516" s="22"/>
      <c r="H1516" s="22"/>
      <c r="I1516" s="24"/>
      <c r="J1516" s="24"/>
      <c r="K1516" s="24"/>
      <c r="L1516" s="24"/>
      <c r="M1516" s="26"/>
      <c r="N1516" s="26"/>
      <c r="O1516" s="26"/>
      <c r="P1516" s="27"/>
      <c r="Q1516" s="27"/>
      <c r="R1516" s="27"/>
      <c r="S1516" s="22"/>
      <c r="T1516" s="22"/>
      <c r="U1516" s="28"/>
    </row>
    <row r="1517" ht="15.75" customHeight="1">
      <c r="A1517" s="189"/>
      <c r="B1517" s="22"/>
      <c r="C1517" s="22"/>
      <c r="D1517" s="22"/>
      <c r="E1517" s="22"/>
      <c r="F1517" s="22"/>
      <c r="G1517" s="22"/>
      <c r="H1517" s="22"/>
      <c r="I1517" s="24"/>
      <c r="J1517" s="24"/>
      <c r="K1517" s="24"/>
      <c r="L1517" s="24"/>
      <c r="M1517" s="26"/>
      <c r="N1517" s="26"/>
      <c r="O1517" s="26"/>
      <c r="P1517" s="27"/>
      <c r="Q1517" s="27"/>
      <c r="R1517" s="27"/>
      <c r="S1517" s="22"/>
      <c r="T1517" s="22"/>
      <c r="U1517" s="28"/>
    </row>
    <row r="1518" ht="15.75" customHeight="1">
      <c r="A1518" s="189"/>
      <c r="B1518" s="22"/>
      <c r="C1518" s="22"/>
      <c r="D1518" s="22"/>
      <c r="E1518" s="22"/>
      <c r="F1518" s="22"/>
      <c r="G1518" s="22"/>
      <c r="H1518" s="22"/>
      <c r="I1518" s="24"/>
      <c r="J1518" s="24"/>
      <c r="K1518" s="24"/>
      <c r="L1518" s="24"/>
      <c r="M1518" s="26"/>
      <c r="N1518" s="26"/>
      <c r="O1518" s="26"/>
      <c r="P1518" s="27"/>
      <c r="Q1518" s="27"/>
      <c r="R1518" s="27"/>
      <c r="S1518" s="22"/>
      <c r="T1518" s="22"/>
      <c r="U1518" s="28"/>
    </row>
    <row r="1519" ht="15.75" customHeight="1">
      <c r="A1519" s="189"/>
      <c r="B1519" s="22"/>
      <c r="C1519" s="22"/>
      <c r="D1519" s="22"/>
      <c r="E1519" s="22"/>
      <c r="F1519" s="22"/>
      <c r="G1519" s="22"/>
      <c r="H1519" s="22"/>
      <c r="I1519" s="24"/>
      <c r="J1519" s="24"/>
      <c r="K1519" s="24"/>
      <c r="L1519" s="24"/>
      <c r="M1519" s="26"/>
      <c r="N1519" s="26"/>
      <c r="O1519" s="26"/>
      <c r="P1519" s="27"/>
      <c r="Q1519" s="27"/>
      <c r="R1519" s="27"/>
      <c r="S1519" s="22"/>
      <c r="T1519" s="22"/>
      <c r="U1519" s="28"/>
    </row>
    <row r="1520" ht="15.75" customHeight="1">
      <c r="A1520" s="189"/>
      <c r="B1520" s="22"/>
      <c r="C1520" s="22"/>
      <c r="D1520" s="22"/>
      <c r="E1520" s="22"/>
      <c r="F1520" s="22"/>
      <c r="G1520" s="22"/>
      <c r="H1520" s="22"/>
      <c r="I1520" s="24"/>
      <c r="J1520" s="24"/>
      <c r="K1520" s="24"/>
      <c r="L1520" s="24"/>
      <c r="M1520" s="26"/>
      <c r="N1520" s="26"/>
      <c r="O1520" s="26"/>
      <c r="P1520" s="27"/>
      <c r="Q1520" s="27"/>
      <c r="R1520" s="27"/>
      <c r="S1520" s="22"/>
      <c r="T1520" s="22"/>
      <c r="U1520" s="28"/>
    </row>
    <row r="1521" ht="15.75" customHeight="1">
      <c r="A1521" s="189"/>
      <c r="B1521" s="22"/>
      <c r="C1521" s="22"/>
      <c r="D1521" s="22"/>
      <c r="E1521" s="22"/>
      <c r="F1521" s="22"/>
      <c r="G1521" s="22"/>
      <c r="H1521" s="22"/>
      <c r="I1521" s="24"/>
      <c r="J1521" s="24"/>
      <c r="K1521" s="24"/>
      <c r="L1521" s="24"/>
      <c r="M1521" s="26"/>
      <c r="N1521" s="26"/>
      <c r="O1521" s="26"/>
      <c r="P1521" s="27"/>
      <c r="Q1521" s="27"/>
      <c r="R1521" s="27"/>
      <c r="S1521" s="22"/>
      <c r="T1521" s="22"/>
      <c r="U1521" s="28"/>
    </row>
    <row r="1522" ht="15.75" customHeight="1">
      <c r="A1522" s="189"/>
      <c r="B1522" s="22"/>
      <c r="C1522" s="22"/>
      <c r="D1522" s="22"/>
      <c r="E1522" s="22"/>
      <c r="F1522" s="22"/>
      <c r="G1522" s="22"/>
      <c r="H1522" s="22"/>
      <c r="I1522" s="24"/>
      <c r="J1522" s="24"/>
      <c r="K1522" s="24"/>
      <c r="L1522" s="24"/>
      <c r="M1522" s="26"/>
      <c r="N1522" s="26"/>
      <c r="O1522" s="26"/>
      <c r="P1522" s="27"/>
      <c r="Q1522" s="27"/>
      <c r="R1522" s="27"/>
      <c r="S1522" s="22"/>
      <c r="T1522" s="22"/>
      <c r="U1522" s="28"/>
    </row>
    <row r="1523" ht="15.75" customHeight="1">
      <c r="A1523" s="189"/>
      <c r="B1523" s="22"/>
      <c r="C1523" s="22"/>
      <c r="D1523" s="22"/>
      <c r="E1523" s="22"/>
      <c r="F1523" s="22"/>
      <c r="G1523" s="22"/>
      <c r="H1523" s="22"/>
      <c r="I1523" s="24"/>
      <c r="J1523" s="24"/>
      <c r="K1523" s="24"/>
      <c r="L1523" s="24"/>
      <c r="M1523" s="26"/>
      <c r="N1523" s="26"/>
      <c r="O1523" s="26"/>
      <c r="P1523" s="27"/>
      <c r="Q1523" s="27"/>
      <c r="R1523" s="27"/>
      <c r="S1523" s="22"/>
      <c r="T1523" s="22"/>
      <c r="U1523" s="28"/>
    </row>
    <row r="1524" ht="15.75" customHeight="1">
      <c r="A1524" s="189"/>
      <c r="B1524" s="22"/>
      <c r="C1524" s="22"/>
      <c r="D1524" s="22"/>
      <c r="E1524" s="22"/>
      <c r="F1524" s="22"/>
      <c r="G1524" s="22"/>
      <c r="H1524" s="22"/>
      <c r="I1524" s="24"/>
      <c r="J1524" s="24"/>
      <c r="K1524" s="24"/>
      <c r="L1524" s="24"/>
      <c r="M1524" s="26"/>
      <c r="N1524" s="26"/>
      <c r="O1524" s="26"/>
      <c r="P1524" s="27"/>
      <c r="Q1524" s="27"/>
      <c r="R1524" s="27"/>
      <c r="S1524" s="22"/>
      <c r="T1524" s="22"/>
      <c r="U1524" s="28"/>
    </row>
    <row r="1525" ht="15.75" customHeight="1">
      <c r="A1525" s="189"/>
      <c r="B1525" s="22"/>
      <c r="C1525" s="22"/>
      <c r="D1525" s="22"/>
      <c r="E1525" s="22"/>
      <c r="F1525" s="22"/>
      <c r="G1525" s="22"/>
      <c r="H1525" s="22"/>
      <c r="I1525" s="24"/>
      <c r="J1525" s="24"/>
      <c r="K1525" s="24"/>
      <c r="L1525" s="24"/>
      <c r="M1525" s="26"/>
      <c r="N1525" s="26"/>
      <c r="O1525" s="26"/>
      <c r="P1525" s="27"/>
      <c r="Q1525" s="27"/>
      <c r="R1525" s="27"/>
      <c r="S1525" s="22"/>
      <c r="T1525" s="22"/>
      <c r="U1525" s="28"/>
    </row>
    <row r="1526" ht="15.75" customHeight="1">
      <c r="A1526" s="189"/>
      <c r="B1526" s="22"/>
      <c r="C1526" s="22"/>
      <c r="D1526" s="22"/>
      <c r="E1526" s="22"/>
      <c r="F1526" s="22"/>
      <c r="G1526" s="22"/>
      <c r="H1526" s="22"/>
      <c r="I1526" s="24"/>
      <c r="J1526" s="24"/>
      <c r="K1526" s="24"/>
      <c r="L1526" s="24"/>
      <c r="M1526" s="26"/>
      <c r="N1526" s="26"/>
      <c r="O1526" s="26"/>
      <c r="P1526" s="27"/>
      <c r="Q1526" s="27"/>
      <c r="R1526" s="27"/>
      <c r="S1526" s="22"/>
      <c r="T1526" s="22"/>
      <c r="U1526" s="28"/>
    </row>
    <row r="1527" ht="15.75" customHeight="1">
      <c r="A1527" s="189"/>
      <c r="B1527" s="22"/>
      <c r="C1527" s="22"/>
      <c r="D1527" s="22"/>
      <c r="E1527" s="22"/>
      <c r="F1527" s="22"/>
      <c r="G1527" s="22"/>
      <c r="H1527" s="22"/>
      <c r="I1527" s="24"/>
      <c r="J1527" s="24"/>
      <c r="K1527" s="24"/>
      <c r="L1527" s="24"/>
      <c r="M1527" s="26"/>
      <c r="N1527" s="26"/>
      <c r="O1527" s="26"/>
      <c r="P1527" s="27"/>
      <c r="Q1527" s="27"/>
      <c r="R1527" s="27"/>
      <c r="S1527" s="22"/>
      <c r="T1527" s="22"/>
      <c r="U1527" s="28"/>
    </row>
    <row r="1528" ht="15.75" customHeight="1">
      <c r="A1528" s="189"/>
      <c r="B1528" s="22"/>
      <c r="C1528" s="22"/>
      <c r="D1528" s="22"/>
      <c r="E1528" s="22"/>
      <c r="F1528" s="22"/>
      <c r="G1528" s="22"/>
      <c r="H1528" s="22"/>
      <c r="I1528" s="24"/>
      <c r="J1528" s="24"/>
      <c r="K1528" s="24"/>
      <c r="L1528" s="24"/>
      <c r="M1528" s="26"/>
      <c r="N1528" s="26"/>
      <c r="O1528" s="26"/>
      <c r="P1528" s="27"/>
      <c r="Q1528" s="27"/>
      <c r="R1528" s="27"/>
      <c r="S1528" s="22"/>
      <c r="T1528" s="22"/>
      <c r="U1528" s="28"/>
    </row>
    <row r="1529" ht="15.75" customHeight="1">
      <c r="A1529" s="189"/>
      <c r="B1529" s="22"/>
      <c r="C1529" s="22"/>
      <c r="D1529" s="22"/>
      <c r="E1529" s="22"/>
      <c r="F1529" s="22"/>
      <c r="G1529" s="22"/>
      <c r="H1529" s="22"/>
      <c r="I1529" s="24"/>
      <c r="J1529" s="24"/>
      <c r="K1529" s="24"/>
      <c r="L1529" s="24"/>
      <c r="M1529" s="26"/>
      <c r="N1529" s="26"/>
      <c r="O1529" s="26"/>
      <c r="P1529" s="27"/>
      <c r="Q1529" s="27"/>
      <c r="R1529" s="27"/>
      <c r="S1529" s="22"/>
      <c r="T1529" s="22"/>
      <c r="U1529" s="28"/>
    </row>
    <row r="1530" ht="15.75" customHeight="1">
      <c r="A1530" s="189"/>
      <c r="B1530" s="22"/>
      <c r="C1530" s="22"/>
      <c r="D1530" s="22"/>
      <c r="E1530" s="22"/>
      <c r="F1530" s="22"/>
      <c r="G1530" s="22"/>
      <c r="H1530" s="22"/>
      <c r="I1530" s="24"/>
      <c r="J1530" s="24"/>
      <c r="K1530" s="24"/>
      <c r="L1530" s="24"/>
      <c r="M1530" s="26"/>
      <c r="N1530" s="26"/>
      <c r="O1530" s="26"/>
      <c r="P1530" s="27"/>
      <c r="Q1530" s="27"/>
      <c r="R1530" s="27"/>
      <c r="S1530" s="22"/>
      <c r="T1530" s="22"/>
      <c r="U1530" s="28"/>
    </row>
    <row r="1531" ht="15.75" customHeight="1">
      <c r="A1531" s="189"/>
      <c r="B1531" s="22"/>
      <c r="C1531" s="22"/>
      <c r="D1531" s="22"/>
      <c r="E1531" s="22"/>
      <c r="F1531" s="22"/>
      <c r="G1531" s="22"/>
      <c r="H1531" s="22"/>
      <c r="I1531" s="24"/>
      <c r="J1531" s="24"/>
      <c r="K1531" s="24"/>
      <c r="L1531" s="24"/>
      <c r="M1531" s="26"/>
      <c r="N1531" s="26"/>
      <c r="O1531" s="26"/>
      <c r="P1531" s="27"/>
      <c r="Q1531" s="27"/>
      <c r="R1531" s="27"/>
      <c r="S1531" s="22"/>
      <c r="T1531" s="22"/>
      <c r="U1531" s="28"/>
    </row>
    <row r="1532" ht="15.75" customHeight="1">
      <c r="A1532" s="189"/>
      <c r="B1532" s="22"/>
      <c r="C1532" s="22"/>
      <c r="D1532" s="22"/>
      <c r="E1532" s="22"/>
      <c r="F1532" s="22"/>
      <c r="G1532" s="22"/>
      <c r="H1532" s="22"/>
      <c r="I1532" s="24"/>
      <c r="J1532" s="24"/>
      <c r="K1532" s="24"/>
      <c r="L1532" s="24"/>
      <c r="M1532" s="26"/>
      <c r="N1532" s="26"/>
      <c r="O1532" s="26"/>
      <c r="P1532" s="27"/>
      <c r="Q1532" s="27"/>
      <c r="R1532" s="27"/>
      <c r="S1532" s="22"/>
      <c r="T1532" s="22"/>
      <c r="U1532" s="28"/>
    </row>
    <row r="1533" ht="15.75" customHeight="1">
      <c r="A1533" s="189"/>
      <c r="B1533" s="22"/>
      <c r="C1533" s="22"/>
      <c r="D1533" s="22"/>
      <c r="E1533" s="22"/>
      <c r="F1533" s="22"/>
      <c r="G1533" s="22"/>
      <c r="H1533" s="22"/>
      <c r="I1533" s="24"/>
      <c r="J1533" s="24"/>
      <c r="K1533" s="24"/>
      <c r="L1533" s="24"/>
      <c r="M1533" s="26"/>
      <c r="N1533" s="26"/>
      <c r="O1533" s="26"/>
      <c r="P1533" s="27"/>
      <c r="Q1533" s="27"/>
      <c r="R1533" s="27"/>
      <c r="S1533" s="22"/>
      <c r="T1533" s="22"/>
      <c r="U1533" s="28"/>
    </row>
    <row r="1534" ht="15.75" customHeight="1">
      <c r="A1534" s="189"/>
      <c r="B1534" s="22"/>
      <c r="C1534" s="22"/>
      <c r="D1534" s="22"/>
      <c r="E1534" s="22"/>
      <c r="F1534" s="22"/>
      <c r="G1534" s="22"/>
      <c r="H1534" s="22"/>
      <c r="I1534" s="24"/>
      <c r="J1534" s="24"/>
      <c r="K1534" s="24"/>
      <c r="L1534" s="24"/>
      <c r="M1534" s="26"/>
      <c r="N1534" s="26"/>
      <c r="O1534" s="26"/>
      <c r="P1534" s="27"/>
      <c r="Q1534" s="27"/>
      <c r="R1534" s="27"/>
      <c r="S1534" s="22"/>
      <c r="T1534" s="22"/>
      <c r="U1534" s="28"/>
    </row>
    <row r="1535" ht="15.75" customHeight="1">
      <c r="A1535" s="189"/>
      <c r="B1535" s="22"/>
      <c r="C1535" s="22"/>
      <c r="D1535" s="22"/>
      <c r="E1535" s="22"/>
      <c r="F1535" s="22"/>
      <c r="G1535" s="22"/>
      <c r="H1535" s="22"/>
      <c r="I1535" s="24"/>
      <c r="J1535" s="24"/>
      <c r="K1535" s="24"/>
      <c r="L1535" s="24"/>
      <c r="M1535" s="26"/>
      <c r="N1535" s="26"/>
      <c r="O1535" s="26"/>
      <c r="P1535" s="27"/>
      <c r="Q1535" s="27"/>
      <c r="R1535" s="27"/>
      <c r="S1535" s="22"/>
      <c r="T1535" s="22"/>
      <c r="U1535" s="28"/>
    </row>
    <row r="1536" ht="15.75" customHeight="1">
      <c r="A1536" s="189"/>
      <c r="B1536" s="22"/>
      <c r="C1536" s="22"/>
      <c r="D1536" s="22"/>
      <c r="E1536" s="22"/>
      <c r="F1536" s="22"/>
      <c r="G1536" s="22"/>
      <c r="H1536" s="22"/>
      <c r="I1536" s="24"/>
      <c r="J1536" s="24"/>
      <c r="K1536" s="24"/>
      <c r="L1536" s="24"/>
      <c r="M1536" s="26"/>
      <c r="N1536" s="26"/>
      <c r="O1536" s="26"/>
      <c r="P1536" s="27"/>
      <c r="Q1536" s="27"/>
      <c r="R1536" s="27"/>
      <c r="S1536" s="22"/>
      <c r="T1536" s="22"/>
      <c r="U1536" s="28"/>
    </row>
    <row r="1537" ht="15.75" customHeight="1">
      <c r="A1537" s="189"/>
      <c r="B1537" s="22"/>
      <c r="C1537" s="22"/>
      <c r="D1537" s="22"/>
      <c r="E1537" s="22"/>
      <c r="F1537" s="22"/>
      <c r="G1537" s="22"/>
      <c r="H1537" s="22"/>
      <c r="I1537" s="24"/>
      <c r="J1537" s="24"/>
      <c r="K1537" s="24"/>
      <c r="L1537" s="24"/>
      <c r="M1537" s="26"/>
      <c r="N1537" s="26"/>
      <c r="O1537" s="26"/>
      <c r="P1537" s="27"/>
      <c r="Q1537" s="27"/>
      <c r="R1537" s="27"/>
      <c r="S1537" s="22"/>
      <c r="T1537" s="22"/>
      <c r="U1537" s="28"/>
    </row>
    <row r="1538" ht="15.75" customHeight="1">
      <c r="A1538" s="189"/>
      <c r="B1538" s="22"/>
      <c r="C1538" s="22"/>
      <c r="D1538" s="22"/>
      <c r="E1538" s="22"/>
      <c r="F1538" s="22"/>
      <c r="G1538" s="22"/>
      <c r="H1538" s="22"/>
      <c r="I1538" s="24"/>
      <c r="J1538" s="24"/>
      <c r="K1538" s="24"/>
      <c r="L1538" s="24"/>
      <c r="M1538" s="26"/>
      <c r="N1538" s="26"/>
      <c r="O1538" s="26"/>
      <c r="P1538" s="27"/>
      <c r="Q1538" s="27"/>
      <c r="R1538" s="27"/>
      <c r="S1538" s="22"/>
      <c r="T1538" s="22"/>
      <c r="U1538" s="28"/>
    </row>
    <row r="1539" ht="15.75" customHeight="1">
      <c r="A1539" s="189"/>
      <c r="B1539" s="22"/>
      <c r="C1539" s="22"/>
      <c r="D1539" s="22"/>
      <c r="E1539" s="22"/>
      <c r="F1539" s="22"/>
      <c r="G1539" s="22"/>
      <c r="H1539" s="22"/>
      <c r="I1539" s="24"/>
      <c r="J1539" s="24"/>
      <c r="K1539" s="24"/>
      <c r="L1539" s="24"/>
      <c r="M1539" s="26"/>
      <c r="N1539" s="26"/>
      <c r="O1539" s="26"/>
      <c r="P1539" s="27"/>
      <c r="Q1539" s="27"/>
      <c r="R1539" s="27"/>
      <c r="S1539" s="22"/>
      <c r="T1539" s="22"/>
      <c r="U1539" s="28"/>
    </row>
    <row r="1540" ht="15.75" customHeight="1">
      <c r="A1540" s="189"/>
      <c r="B1540" s="22"/>
      <c r="C1540" s="22"/>
      <c r="D1540" s="22"/>
      <c r="E1540" s="22"/>
      <c r="F1540" s="22"/>
      <c r="G1540" s="22"/>
      <c r="H1540" s="22"/>
      <c r="I1540" s="24"/>
      <c r="J1540" s="24"/>
      <c r="K1540" s="24"/>
      <c r="L1540" s="24"/>
      <c r="M1540" s="26"/>
      <c r="N1540" s="26"/>
      <c r="O1540" s="26"/>
      <c r="P1540" s="27"/>
      <c r="Q1540" s="27"/>
      <c r="R1540" s="27"/>
      <c r="S1540" s="22"/>
      <c r="T1540" s="22"/>
      <c r="U1540" s="28"/>
    </row>
    <row r="1541" ht="15.75" customHeight="1">
      <c r="A1541" s="189"/>
      <c r="B1541" s="22"/>
      <c r="C1541" s="22"/>
      <c r="D1541" s="22"/>
      <c r="E1541" s="22"/>
      <c r="F1541" s="22"/>
      <c r="G1541" s="22"/>
      <c r="H1541" s="22"/>
      <c r="I1541" s="24"/>
      <c r="J1541" s="24"/>
      <c r="K1541" s="24"/>
      <c r="L1541" s="24"/>
      <c r="M1541" s="26"/>
      <c r="N1541" s="26"/>
      <c r="O1541" s="26"/>
      <c r="P1541" s="27"/>
      <c r="Q1541" s="27"/>
      <c r="R1541" s="27"/>
      <c r="S1541" s="22"/>
      <c r="T1541" s="22"/>
      <c r="U1541" s="28"/>
    </row>
    <row r="1542" ht="15.75" customHeight="1">
      <c r="A1542" s="189"/>
      <c r="B1542" s="22"/>
      <c r="C1542" s="22"/>
      <c r="D1542" s="22"/>
      <c r="E1542" s="22"/>
      <c r="F1542" s="22"/>
      <c r="G1542" s="22"/>
      <c r="H1542" s="22"/>
      <c r="I1542" s="24"/>
      <c r="J1542" s="24"/>
      <c r="K1542" s="24"/>
      <c r="L1542" s="24"/>
      <c r="M1542" s="26"/>
      <c r="N1542" s="26"/>
      <c r="O1542" s="26"/>
      <c r="P1542" s="27"/>
      <c r="Q1542" s="27"/>
      <c r="R1542" s="27"/>
      <c r="S1542" s="22"/>
      <c r="T1542" s="22"/>
      <c r="U1542" s="28"/>
    </row>
    <row r="1543" ht="15.75" customHeight="1">
      <c r="A1543" s="189"/>
      <c r="B1543" s="22"/>
      <c r="C1543" s="22"/>
      <c r="D1543" s="22"/>
      <c r="E1543" s="22"/>
      <c r="F1543" s="22"/>
      <c r="G1543" s="22"/>
      <c r="H1543" s="22"/>
      <c r="I1543" s="24"/>
      <c r="J1543" s="24"/>
      <c r="K1543" s="24"/>
      <c r="L1543" s="24"/>
      <c r="M1543" s="26"/>
      <c r="N1543" s="26"/>
      <c r="O1543" s="26"/>
      <c r="P1543" s="27"/>
      <c r="Q1543" s="27"/>
      <c r="R1543" s="27"/>
      <c r="S1543" s="22"/>
      <c r="T1543" s="22"/>
      <c r="U1543" s="28"/>
    </row>
    <row r="1544" ht="15.75" customHeight="1">
      <c r="A1544" s="189"/>
      <c r="B1544" s="22"/>
      <c r="C1544" s="22"/>
      <c r="D1544" s="22"/>
      <c r="E1544" s="22"/>
      <c r="F1544" s="22"/>
      <c r="G1544" s="22"/>
      <c r="H1544" s="22"/>
      <c r="I1544" s="24"/>
      <c r="J1544" s="24"/>
      <c r="K1544" s="24"/>
      <c r="L1544" s="24"/>
      <c r="M1544" s="26"/>
      <c r="N1544" s="26"/>
      <c r="O1544" s="26"/>
      <c r="P1544" s="27"/>
      <c r="Q1544" s="27"/>
      <c r="R1544" s="27"/>
      <c r="S1544" s="22"/>
      <c r="T1544" s="22"/>
      <c r="U1544" s="28"/>
    </row>
    <row r="1545" ht="15.75" customHeight="1">
      <c r="A1545" s="189"/>
      <c r="B1545" s="22"/>
      <c r="C1545" s="22"/>
      <c r="D1545" s="22"/>
      <c r="E1545" s="22"/>
      <c r="F1545" s="22"/>
      <c r="G1545" s="22"/>
      <c r="H1545" s="22"/>
      <c r="I1545" s="24"/>
      <c r="J1545" s="24"/>
      <c r="K1545" s="24"/>
      <c r="L1545" s="24"/>
      <c r="M1545" s="26"/>
      <c r="N1545" s="26"/>
      <c r="O1545" s="26"/>
      <c r="P1545" s="27"/>
      <c r="Q1545" s="27"/>
      <c r="R1545" s="27"/>
      <c r="S1545" s="22"/>
      <c r="T1545" s="22"/>
      <c r="U1545" s="28"/>
    </row>
    <row r="1546" ht="15.75" customHeight="1">
      <c r="A1546" s="189"/>
      <c r="B1546" s="22"/>
      <c r="C1546" s="22"/>
      <c r="D1546" s="22"/>
      <c r="E1546" s="22"/>
      <c r="F1546" s="22"/>
      <c r="G1546" s="22"/>
      <c r="H1546" s="22"/>
      <c r="I1546" s="24"/>
      <c r="J1546" s="24"/>
      <c r="K1546" s="24"/>
      <c r="L1546" s="24"/>
      <c r="M1546" s="26"/>
      <c r="N1546" s="26"/>
      <c r="O1546" s="26"/>
      <c r="P1546" s="27"/>
      <c r="Q1546" s="27"/>
      <c r="R1546" s="27"/>
      <c r="S1546" s="22"/>
      <c r="T1546" s="22"/>
      <c r="U1546" s="28"/>
    </row>
    <row r="1547" ht="15.75" customHeight="1">
      <c r="A1547" s="189"/>
      <c r="B1547" s="22"/>
      <c r="C1547" s="22"/>
      <c r="D1547" s="22"/>
      <c r="E1547" s="22"/>
      <c r="F1547" s="22"/>
      <c r="G1547" s="22"/>
      <c r="H1547" s="22"/>
      <c r="I1547" s="24"/>
      <c r="J1547" s="24"/>
      <c r="K1547" s="24"/>
      <c r="L1547" s="24"/>
      <c r="M1547" s="26"/>
      <c r="N1547" s="26"/>
      <c r="O1547" s="26"/>
      <c r="P1547" s="27"/>
      <c r="Q1547" s="27"/>
      <c r="R1547" s="27"/>
      <c r="S1547" s="22"/>
      <c r="T1547" s="22"/>
      <c r="U1547" s="28"/>
    </row>
    <row r="1548" ht="15.75" customHeight="1">
      <c r="A1548" s="189"/>
      <c r="B1548" s="22"/>
      <c r="C1548" s="22"/>
      <c r="D1548" s="22"/>
      <c r="E1548" s="22"/>
      <c r="F1548" s="22"/>
      <c r="G1548" s="22"/>
      <c r="H1548" s="22"/>
      <c r="I1548" s="24"/>
      <c r="J1548" s="24"/>
      <c r="K1548" s="24"/>
      <c r="L1548" s="24"/>
      <c r="M1548" s="26"/>
      <c r="N1548" s="26"/>
      <c r="O1548" s="26"/>
      <c r="P1548" s="27"/>
      <c r="Q1548" s="27"/>
      <c r="R1548" s="27"/>
      <c r="S1548" s="22"/>
      <c r="T1548" s="22"/>
      <c r="U1548" s="28"/>
    </row>
    <row r="1549" ht="15.75" customHeight="1">
      <c r="A1549" s="189"/>
      <c r="B1549" s="22"/>
      <c r="C1549" s="22"/>
      <c r="D1549" s="22"/>
      <c r="E1549" s="22"/>
      <c r="F1549" s="22"/>
      <c r="G1549" s="22"/>
      <c r="H1549" s="22"/>
      <c r="I1549" s="24"/>
      <c r="J1549" s="24"/>
      <c r="K1549" s="24"/>
      <c r="L1549" s="24"/>
      <c r="M1549" s="26"/>
      <c r="N1549" s="26"/>
      <c r="O1549" s="26"/>
      <c r="P1549" s="27"/>
      <c r="Q1549" s="27"/>
      <c r="R1549" s="27"/>
      <c r="S1549" s="22"/>
      <c r="T1549" s="22"/>
      <c r="U1549" s="28"/>
    </row>
    <row r="1550" ht="15.75" customHeight="1">
      <c r="A1550" s="189"/>
      <c r="B1550" s="22"/>
      <c r="C1550" s="22"/>
      <c r="D1550" s="22"/>
      <c r="E1550" s="22"/>
      <c r="F1550" s="22"/>
      <c r="G1550" s="22"/>
      <c r="H1550" s="22"/>
      <c r="I1550" s="24"/>
      <c r="J1550" s="24"/>
      <c r="K1550" s="24"/>
      <c r="L1550" s="24"/>
      <c r="M1550" s="26"/>
      <c r="N1550" s="26"/>
      <c r="O1550" s="26"/>
      <c r="P1550" s="27"/>
      <c r="Q1550" s="27"/>
      <c r="R1550" s="27"/>
      <c r="S1550" s="22"/>
      <c r="T1550" s="22"/>
      <c r="U1550" s="28"/>
    </row>
    <row r="1551" ht="15.75" customHeight="1">
      <c r="A1551" s="189"/>
      <c r="B1551" s="22"/>
      <c r="C1551" s="22"/>
      <c r="D1551" s="22"/>
      <c r="E1551" s="22"/>
      <c r="F1551" s="22"/>
      <c r="G1551" s="22"/>
      <c r="H1551" s="22"/>
      <c r="I1551" s="24"/>
      <c r="J1551" s="24"/>
      <c r="K1551" s="24"/>
      <c r="L1551" s="24"/>
      <c r="M1551" s="26"/>
      <c r="N1551" s="26"/>
      <c r="O1551" s="26"/>
      <c r="P1551" s="27"/>
      <c r="Q1551" s="27"/>
      <c r="R1551" s="27"/>
      <c r="S1551" s="22"/>
      <c r="T1551" s="22"/>
      <c r="U1551" s="28"/>
    </row>
    <row r="1552" ht="15.75" customHeight="1">
      <c r="A1552" s="189"/>
      <c r="B1552" s="22"/>
      <c r="C1552" s="22"/>
      <c r="D1552" s="22"/>
      <c r="E1552" s="22"/>
      <c r="F1552" s="22"/>
      <c r="G1552" s="22"/>
      <c r="H1552" s="22"/>
      <c r="I1552" s="24"/>
      <c r="J1552" s="24"/>
      <c r="K1552" s="24"/>
      <c r="L1552" s="24"/>
      <c r="M1552" s="26"/>
      <c r="N1552" s="26"/>
      <c r="O1552" s="26"/>
      <c r="P1552" s="27"/>
      <c r="Q1552" s="27"/>
      <c r="R1552" s="27"/>
      <c r="S1552" s="22"/>
      <c r="T1552" s="22"/>
      <c r="U1552" s="28"/>
    </row>
    <row r="1553" ht="15.75" customHeight="1">
      <c r="A1553" s="189"/>
      <c r="B1553" s="22"/>
      <c r="C1553" s="22"/>
      <c r="D1553" s="22"/>
      <c r="E1553" s="22"/>
      <c r="F1553" s="22"/>
      <c r="G1553" s="22"/>
      <c r="H1553" s="22"/>
      <c r="I1553" s="24"/>
      <c r="J1553" s="24"/>
      <c r="K1553" s="24"/>
      <c r="L1553" s="24"/>
      <c r="M1553" s="26"/>
      <c r="N1553" s="26"/>
      <c r="O1553" s="26"/>
      <c r="P1553" s="27"/>
      <c r="Q1553" s="27"/>
      <c r="R1553" s="27"/>
      <c r="S1553" s="22"/>
      <c r="T1553" s="22"/>
      <c r="U1553" s="28"/>
    </row>
    <row r="1554" ht="15.75" customHeight="1">
      <c r="A1554" s="189"/>
      <c r="B1554" s="22"/>
      <c r="C1554" s="22"/>
      <c r="D1554" s="22"/>
      <c r="E1554" s="22"/>
      <c r="F1554" s="22"/>
      <c r="G1554" s="22"/>
      <c r="H1554" s="22"/>
      <c r="I1554" s="24"/>
      <c r="J1554" s="24"/>
      <c r="K1554" s="24"/>
      <c r="L1554" s="24"/>
      <c r="M1554" s="26"/>
      <c r="N1554" s="26"/>
      <c r="O1554" s="26"/>
      <c r="P1554" s="27"/>
      <c r="Q1554" s="27"/>
      <c r="R1554" s="27"/>
      <c r="S1554" s="22"/>
      <c r="T1554" s="22"/>
      <c r="U1554" s="28"/>
    </row>
    <row r="1555" ht="15.75" customHeight="1">
      <c r="A1555" s="189"/>
      <c r="B1555" s="22"/>
      <c r="C1555" s="22"/>
      <c r="D1555" s="22"/>
      <c r="E1555" s="22"/>
      <c r="F1555" s="22"/>
      <c r="G1555" s="22"/>
      <c r="H1555" s="22"/>
      <c r="I1555" s="24"/>
      <c r="J1555" s="24"/>
      <c r="K1555" s="24"/>
      <c r="L1555" s="24"/>
      <c r="M1555" s="26"/>
      <c r="N1555" s="26"/>
      <c r="O1555" s="26"/>
      <c r="P1555" s="27"/>
      <c r="Q1555" s="27"/>
      <c r="R1555" s="27"/>
      <c r="S1555" s="22"/>
      <c r="T1555" s="22"/>
      <c r="U1555" s="28"/>
    </row>
    <row r="1556" ht="15.75" customHeight="1">
      <c r="A1556" s="189"/>
      <c r="B1556" s="22"/>
      <c r="C1556" s="22"/>
      <c r="D1556" s="22"/>
      <c r="E1556" s="22"/>
      <c r="F1556" s="22"/>
      <c r="G1556" s="22"/>
      <c r="H1556" s="22"/>
      <c r="I1556" s="24"/>
      <c r="J1556" s="24"/>
      <c r="K1556" s="24"/>
      <c r="L1556" s="24"/>
      <c r="M1556" s="26"/>
      <c r="N1556" s="26"/>
      <c r="O1556" s="26"/>
      <c r="P1556" s="27"/>
      <c r="Q1556" s="27"/>
      <c r="R1556" s="27"/>
      <c r="S1556" s="22"/>
      <c r="T1556" s="22"/>
      <c r="U1556" s="28"/>
    </row>
    <row r="1557" ht="15.75" customHeight="1">
      <c r="A1557" s="189"/>
      <c r="B1557" s="22"/>
      <c r="C1557" s="22"/>
      <c r="D1557" s="22"/>
      <c r="E1557" s="22"/>
      <c r="F1557" s="22"/>
      <c r="G1557" s="22"/>
      <c r="H1557" s="22"/>
      <c r="I1557" s="24"/>
      <c r="J1557" s="24"/>
      <c r="K1557" s="24"/>
      <c r="L1557" s="24"/>
      <c r="M1557" s="26"/>
      <c r="N1557" s="26"/>
      <c r="O1557" s="26"/>
      <c r="P1557" s="27"/>
      <c r="Q1557" s="27"/>
      <c r="R1557" s="27"/>
      <c r="S1557" s="22"/>
      <c r="T1557" s="22"/>
      <c r="U1557" s="28"/>
    </row>
    <row r="1558" ht="15.75" customHeight="1">
      <c r="A1558" s="189"/>
      <c r="B1558" s="22"/>
      <c r="C1558" s="22"/>
      <c r="D1558" s="22"/>
      <c r="E1558" s="22"/>
      <c r="F1558" s="22"/>
      <c r="G1558" s="22"/>
      <c r="H1558" s="22"/>
      <c r="I1558" s="24"/>
      <c r="J1558" s="24"/>
      <c r="K1558" s="24"/>
      <c r="L1558" s="24"/>
      <c r="M1558" s="26"/>
      <c r="N1558" s="26"/>
      <c r="O1558" s="26"/>
      <c r="P1558" s="27"/>
      <c r="Q1558" s="27"/>
      <c r="R1558" s="27"/>
      <c r="S1558" s="22"/>
      <c r="T1558" s="22"/>
      <c r="U1558" s="28"/>
    </row>
    <row r="1559" ht="15.75" customHeight="1">
      <c r="A1559" s="189"/>
      <c r="B1559" s="22"/>
      <c r="C1559" s="22"/>
      <c r="D1559" s="22"/>
      <c r="E1559" s="22"/>
      <c r="F1559" s="22"/>
      <c r="G1559" s="22"/>
      <c r="H1559" s="22"/>
      <c r="I1559" s="24"/>
      <c r="J1559" s="24"/>
      <c r="K1559" s="24"/>
      <c r="L1559" s="24"/>
      <c r="M1559" s="26"/>
      <c r="N1559" s="26"/>
      <c r="O1559" s="26"/>
      <c r="P1559" s="27"/>
      <c r="Q1559" s="27"/>
      <c r="R1559" s="27"/>
      <c r="S1559" s="22"/>
      <c r="T1559" s="22"/>
      <c r="U1559" s="28"/>
    </row>
    <row r="1560" ht="15.75" customHeight="1">
      <c r="A1560" s="189"/>
      <c r="B1560" s="22"/>
      <c r="C1560" s="22"/>
      <c r="D1560" s="22"/>
      <c r="E1560" s="22"/>
      <c r="F1560" s="22"/>
      <c r="G1560" s="22"/>
      <c r="H1560" s="22"/>
      <c r="I1560" s="24"/>
      <c r="J1560" s="24"/>
      <c r="K1560" s="24"/>
      <c r="L1560" s="24"/>
      <c r="M1560" s="26"/>
      <c r="N1560" s="26"/>
      <c r="O1560" s="26"/>
      <c r="P1560" s="27"/>
      <c r="Q1560" s="27"/>
      <c r="R1560" s="27"/>
      <c r="S1560" s="22"/>
      <c r="T1560" s="22"/>
      <c r="U1560" s="28"/>
    </row>
    <row r="1561" ht="15.75" customHeight="1">
      <c r="A1561" s="189"/>
      <c r="B1561" s="22"/>
      <c r="C1561" s="22"/>
      <c r="D1561" s="22"/>
      <c r="E1561" s="22"/>
      <c r="F1561" s="22"/>
      <c r="G1561" s="22"/>
      <c r="H1561" s="22"/>
      <c r="I1561" s="24"/>
      <c r="J1561" s="24"/>
      <c r="K1561" s="24"/>
      <c r="L1561" s="24"/>
      <c r="M1561" s="26"/>
      <c r="N1561" s="26"/>
      <c r="O1561" s="26"/>
      <c r="P1561" s="27"/>
      <c r="Q1561" s="27"/>
      <c r="R1561" s="27"/>
      <c r="S1561" s="22"/>
      <c r="T1561" s="22"/>
      <c r="U1561" s="28"/>
    </row>
    <row r="1562" ht="15.75" customHeight="1">
      <c r="A1562" s="189"/>
      <c r="B1562" s="22"/>
      <c r="C1562" s="22"/>
      <c r="D1562" s="22"/>
      <c r="E1562" s="22"/>
      <c r="F1562" s="22"/>
      <c r="G1562" s="22"/>
      <c r="H1562" s="22"/>
      <c r="I1562" s="24"/>
      <c r="J1562" s="24"/>
      <c r="K1562" s="24"/>
      <c r="L1562" s="24"/>
      <c r="M1562" s="26"/>
      <c r="N1562" s="26"/>
      <c r="O1562" s="26"/>
      <c r="P1562" s="27"/>
      <c r="Q1562" s="27"/>
      <c r="R1562" s="27"/>
      <c r="S1562" s="22"/>
      <c r="T1562" s="22"/>
      <c r="U1562" s="28"/>
    </row>
    <row r="1563" ht="15.75" customHeight="1">
      <c r="A1563" s="189"/>
      <c r="B1563" s="22"/>
      <c r="C1563" s="22"/>
      <c r="D1563" s="22"/>
      <c r="E1563" s="22"/>
      <c r="F1563" s="22"/>
      <c r="G1563" s="22"/>
      <c r="H1563" s="22"/>
      <c r="I1563" s="24"/>
      <c r="J1563" s="24"/>
      <c r="K1563" s="24"/>
      <c r="L1563" s="24"/>
      <c r="M1563" s="26"/>
      <c r="N1563" s="26"/>
      <c r="O1563" s="26"/>
      <c r="P1563" s="27"/>
      <c r="Q1563" s="27"/>
      <c r="R1563" s="27"/>
      <c r="S1563" s="22"/>
      <c r="T1563" s="22"/>
      <c r="U1563" s="28"/>
    </row>
    <row r="1564" ht="15.75" customHeight="1">
      <c r="A1564" s="189"/>
      <c r="B1564" s="22"/>
      <c r="C1564" s="22"/>
      <c r="D1564" s="22"/>
      <c r="E1564" s="22"/>
      <c r="F1564" s="22"/>
      <c r="G1564" s="22"/>
      <c r="H1564" s="22"/>
      <c r="I1564" s="24"/>
      <c r="J1564" s="24"/>
      <c r="K1564" s="24"/>
      <c r="L1564" s="24"/>
      <c r="M1564" s="26"/>
      <c r="N1564" s="26"/>
      <c r="O1564" s="26"/>
      <c r="P1564" s="27"/>
      <c r="Q1564" s="27"/>
      <c r="R1564" s="27"/>
      <c r="S1564" s="22"/>
      <c r="T1564" s="22"/>
      <c r="U1564" s="28"/>
    </row>
    <row r="1565" ht="15.75" customHeight="1">
      <c r="A1565" s="189"/>
      <c r="B1565" s="22"/>
      <c r="C1565" s="22"/>
      <c r="D1565" s="22"/>
      <c r="E1565" s="22"/>
      <c r="F1565" s="22"/>
      <c r="G1565" s="22"/>
      <c r="H1565" s="22"/>
      <c r="I1565" s="24"/>
      <c r="J1565" s="24"/>
      <c r="K1565" s="24"/>
      <c r="L1565" s="24"/>
      <c r="M1565" s="26"/>
      <c r="N1565" s="26"/>
      <c r="O1565" s="26"/>
      <c r="P1565" s="27"/>
      <c r="Q1565" s="27"/>
      <c r="R1565" s="27"/>
      <c r="S1565" s="22"/>
      <c r="T1565" s="22"/>
      <c r="U1565" s="28"/>
    </row>
    <row r="1566" ht="15.75" customHeight="1">
      <c r="A1566" s="189"/>
      <c r="B1566" s="22"/>
      <c r="C1566" s="22"/>
      <c r="D1566" s="22"/>
      <c r="E1566" s="22"/>
      <c r="F1566" s="22"/>
      <c r="G1566" s="22"/>
      <c r="H1566" s="22"/>
      <c r="I1566" s="24"/>
      <c r="J1566" s="24"/>
      <c r="K1566" s="24"/>
      <c r="L1566" s="24"/>
      <c r="M1566" s="26"/>
      <c r="N1566" s="26"/>
      <c r="O1566" s="26"/>
      <c r="P1566" s="27"/>
      <c r="Q1566" s="27"/>
      <c r="R1566" s="27"/>
      <c r="S1566" s="22"/>
      <c r="T1566" s="22"/>
      <c r="U1566" s="28"/>
    </row>
    <row r="1567" ht="15.75" customHeight="1">
      <c r="A1567" s="189"/>
      <c r="B1567" s="22"/>
      <c r="C1567" s="22"/>
      <c r="D1567" s="22"/>
      <c r="E1567" s="22"/>
      <c r="F1567" s="22"/>
      <c r="G1567" s="22"/>
      <c r="H1567" s="22"/>
      <c r="I1567" s="24"/>
      <c r="J1567" s="24"/>
      <c r="K1567" s="24"/>
      <c r="L1567" s="24"/>
      <c r="M1567" s="26"/>
      <c r="N1567" s="26"/>
      <c r="O1567" s="26"/>
      <c r="P1567" s="27"/>
      <c r="Q1567" s="27"/>
      <c r="R1567" s="27"/>
      <c r="S1567" s="22"/>
      <c r="T1567" s="22"/>
      <c r="U1567" s="28"/>
    </row>
    <row r="1568" ht="15.75" customHeight="1">
      <c r="A1568" s="189"/>
      <c r="B1568" s="22"/>
      <c r="C1568" s="22"/>
      <c r="D1568" s="22"/>
      <c r="E1568" s="22"/>
      <c r="F1568" s="22"/>
      <c r="G1568" s="22"/>
      <c r="H1568" s="22"/>
      <c r="I1568" s="24"/>
      <c r="J1568" s="24"/>
      <c r="K1568" s="24"/>
      <c r="L1568" s="24"/>
      <c r="M1568" s="26"/>
      <c r="N1568" s="26"/>
      <c r="O1568" s="26"/>
      <c r="P1568" s="27"/>
      <c r="Q1568" s="27"/>
      <c r="R1568" s="27"/>
      <c r="S1568" s="22"/>
      <c r="T1568" s="22"/>
      <c r="U1568" s="28"/>
    </row>
    <row r="1569" ht="15.75" customHeight="1">
      <c r="A1569" s="189"/>
      <c r="B1569" s="22"/>
      <c r="C1569" s="22"/>
      <c r="D1569" s="22"/>
      <c r="E1569" s="22"/>
      <c r="F1569" s="22"/>
      <c r="G1569" s="22"/>
      <c r="H1569" s="22"/>
      <c r="I1569" s="24"/>
      <c r="J1569" s="24"/>
      <c r="K1569" s="24"/>
      <c r="L1569" s="24"/>
      <c r="M1569" s="26"/>
      <c r="N1569" s="26"/>
      <c r="O1569" s="26"/>
      <c r="P1569" s="27"/>
      <c r="Q1569" s="27"/>
      <c r="R1569" s="27"/>
      <c r="S1569" s="22"/>
      <c r="T1569" s="22"/>
      <c r="U1569" s="28"/>
    </row>
    <row r="1570" ht="15.75" customHeight="1">
      <c r="A1570" s="189"/>
      <c r="B1570" s="22"/>
      <c r="C1570" s="22"/>
      <c r="D1570" s="22"/>
      <c r="E1570" s="22"/>
      <c r="F1570" s="22"/>
      <c r="G1570" s="22"/>
      <c r="H1570" s="22"/>
      <c r="I1570" s="24"/>
      <c r="J1570" s="24"/>
      <c r="K1570" s="24"/>
      <c r="L1570" s="24"/>
      <c r="M1570" s="26"/>
      <c r="N1570" s="26"/>
      <c r="O1570" s="26"/>
      <c r="P1570" s="27"/>
      <c r="Q1570" s="27"/>
      <c r="R1570" s="27"/>
      <c r="S1570" s="22"/>
      <c r="T1570" s="22"/>
      <c r="U1570" s="28"/>
    </row>
    <row r="1571" ht="15.75" customHeight="1">
      <c r="A1571" s="189"/>
      <c r="B1571" s="22"/>
      <c r="C1571" s="22"/>
      <c r="D1571" s="22"/>
      <c r="E1571" s="22"/>
      <c r="F1571" s="22"/>
      <c r="G1571" s="22"/>
      <c r="H1571" s="22"/>
      <c r="I1571" s="24"/>
      <c r="J1571" s="24"/>
      <c r="K1571" s="24"/>
      <c r="L1571" s="24"/>
      <c r="M1571" s="26"/>
      <c r="N1571" s="26"/>
      <c r="O1571" s="26"/>
      <c r="P1571" s="27"/>
      <c r="Q1571" s="27"/>
      <c r="R1571" s="27"/>
      <c r="S1571" s="22"/>
      <c r="T1571" s="22"/>
      <c r="U1571" s="28"/>
    </row>
    <row r="1572" ht="15.75" customHeight="1">
      <c r="A1572" s="189"/>
      <c r="B1572" s="22"/>
      <c r="C1572" s="22"/>
      <c r="D1572" s="22"/>
      <c r="E1572" s="22"/>
      <c r="F1572" s="22"/>
      <c r="G1572" s="22"/>
      <c r="H1572" s="22"/>
      <c r="I1572" s="24"/>
      <c r="J1572" s="24"/>
      <c r="K1572" s="24"/>
      <c r="L1572" s="24"/>
      <c r="M1572" s="26"/>
      <c r="N1572" s="26"/>
      <c r="O1572" s="26"/>
      <c r="P1572" s="27"/>
      <c r="Q1572" s="27"/>
      <c r="R1572" s="27"/>
      <c r="S1572" s="22"/>
      <c r="T1572" s="22"/>
      <c r="U1572" s="28"/>
    </row>
    <row r="1573" ht="15.75" customHeight="1">
      <c r="A1573" s="189"/>
      <c r="B1573" s="22"/>
      <c r="C1573" s="22"/>
      <c r="D1573" s="22"/>
      <c r="E1573" s="22"/>
      <c r="F1573" s="22"/>
      <c r="G1573" s="22"/>
      <c r="H1573" s="22"/>
      <c r="I1573" s="24"/>
      <c r="J1573" s="24"/>
      <c r="K1573" s="24"/>
      <c r="L1573" s="24"/>
      <c r="M1573" s="26"/>
      <c r="N1573" s="26"/>
      <c r="O1573" s="26"/>
      <c r="P1573" s="27"/>
      <c r="Q1573" s="27"/>
      <c r="R1573" s="27"/>
      <c r="S1573" s="22"/>
      <c r="T1573" s="22"/>
      <c r="U1573" s="28"/>
    </row>
    <row r="1574" ht="15.75" customHeight="1">
      <c r="A1574" s="189"/>
      <c r="B1574" s="22"/>
      <c r="C1574" s="22"/>
      <c r="D1574" s="22"/>
      <c r="E1574" s="22"/>
      <c r="F1574" s="22"/>
      <c r="G1574" s="22"/>
      <c r="H1574" s="22"/>
      <c r="I1574" s="24"/>
      <c r="J1574" s="24"/>
      <c r="K1574" s="24"/>
      <c r="L1574" s="24"/>
      <c r="M1574" s="26"/>
      <c r="N1574" s="26"/>
      <c r="O1574" s="26"/>
      <c r="P1574" s="27"/>
      <c r="Q1574" s="27"/>
      <c r="R1574" s="27"/>
      <c r="S1574" s="22"/>
      <c r="T1574" s="22"/>
      <c r="U1574" s="28"/>
    </row>
    <row r="1575" ht="15.75" customHeight="1">
      <c r="A1575" s="189"/>
      <c r="B1575" s="22"/>
      <c r="C1575" s="22"/>
      <c r="D1575" s="22"/>
      <c r="E1575" s="22"/>
      <c r="F1575" s="22"/>
      <c r="G1575" s="22"/>
      <c r="H1575" s="22"/>
      <c r="I1575" s="24"/>
      <c r="J1575" s="24"/>
      <c r="K1575" s="24"/>
      <c r="L1575" s="24"/>
      <c r="M1575" s="26"/>
      <c r="N1575" s="26"/>
      <c r="O1575" s="26"/>
      <c r="P1575" s="27"/>
      <c r="Q1575" s="27"/>
      <c r="R1575" s="27"/>
      <c r="S1575" s="22"/>
      <c r="T1575" s="22"/>
      <c r="U1575" s="28"/>
    </row>
    <row r="1576" ht="15.75" customHeight="1">
      <c r="A1576" s="189"/>
      <c r="B1576" s="22"/>
      <c r="C1576" s="22"/>
      <c r="D1576" s="22"/>
      <c r="E1576" s="22"/>
      <c r="F1576" s="22"/>
      <c r="G1576" s="22"/>
      <c r="H1576" s="22"/>
      <c r="I1576" s="24"/>
      <c r="J1576" s="24"/>
      <c r="K1576" s="24"/>
      <c r="L1576" s="24"/>
      <c r="M1576" s="26"/>
      <c r="N1576" s="26"/>
      <c r="O1576" s="26"/>
      <c r="P1576" s="27"/>
      <c r="Q1576" s="27"/>
      <c r="R1576" s="27"/>
      <c r="S1576" s="22"/>
      <c r="T1576" s="22"/>
      <c r="U1576" s="28"/>
    </row>
    <row r="1577" ht="15.75" customHeight="1">
      <c r="A1577" s="189"/>
      <c r="B1577" s="22"/>
      <c r="C1577" s="22"/>
      <c r="D1577" s="22"/>
      <c r="E1577" s="22"/>
      <c r="F1577" s="22"/>
      <c r="G1577" s="22"/>
      <c r="H1577" s="22"/>
      <c r="I1577" s="24"/>
      <c r="J1577" s="24"/>
      <c r="K1577" s="24"/>
      <c r="L1577" s="24"/>
      <c r="M1577" s="26"/>
      <c r="N1577" s="26"/>
      <c r="O1577" s="26"/>
      <c r="P1577" s="27"/>
      <c r="Q1577" s="27"/>
      <c r="R1577" s="27"/>
      <c r="S1577" s="22"/>
      <c r="T1577" s="22"/>
      <c r="U1577" s="28"/>
    </row>
    <row r="1578" ht="15.75" customHeight="1">
      <c r="A1578" s="189"/>
      <c r="B1578" s="22"/>
      <c r="C1578" s="22"/>
      <c r="D1578" s="22"/>
      <c r="E1578" s="22"/>
      <c r="F1578" s="22"/>
      <c r="G1578" s="22"/>
      <c r="H1578" s="22"/>
      <c r="I1578" s="24"/>
      <c r="J1578" s="24"/>
      <c r="K1578" s="24"/>
      <c r="L1578" s="24"/>
      <c r="M1578" s="26"/>
      <c r="N1578" s="26"/>
      <c r="O1578" s="26"/>
      <c r="P1578" s="27"/>
      <c r="Q1578" s="27"/>
      <c r="R1578" s="27"/>
      <c r="S1578" s="22"/>
      <c r="T1578" s="22"/>
      <c r="U1578" s="28"/>
    </row>
    <row r="1579" ht="15.75" customHeight="1">
      <c r="A1579" s="189"/>
      <c r="B1579" s="22"/>
      <c r="C1579" s="22"/>
      <c r="D1579" s="22"/>
      <c r="E1579" s="22"/>
      <c r="F1579" s="22"/>
      <c r="G1579" s="22"/>
      <c r="H1579" s="22"/>
      <c r="I1579" s="24"/>
      <c r="J1579" s="24"/>
      <c r="K1579" s="24"/>
      <c r="L1579" s="24"/>
      <c r="M1579" s="26"/>
      <c r="N1579" s="26"/>
      <c r="O1579" s="26"/>
      <c r="P1579" s="27"/>
      <c r="Q1579" s="27"/>
      <c r="R1579" s="27"/>
      <c r="S1579" s="22"/>
      <c r="T1579" s="22"/>
      <c r="U1579" s="28"/>
    </row>
    <row r="1580" ht="15.75" customHeight="1">
      <c r="A1580" s="189"/>
      <c r="B1580" s="22"/>
      <c r="C1580" s="22"/>
      <c r="D1580" s="22"/>
      <c r="E1580" s="22"/>
      <c r="F1580" s="22"/>
      <c r="G1580" s="22"/>
      <c r="H1580" s="22"/>
      <c r="I1580" s="24"/>
      <c r="J1580" s="24"/>
      <c r="K1580" s="24"/>
      <c r="L1580" s="24"/>
      <c r="M1580" s="26"/>
      <c r="N1580" s="26"/>
      <c r="O1580" s="26"/>
      <c r="P1580" s="27"/>
      <c r="Q1580" s="27"/>
      <c r="R1580" s="27"/>
      <c r="S1580" s="22"/>
      <c r="T1580" s="22"/>
      <c r="U1580" s="28"/>
    </row>
    <row r="1581" ht="15.75" customHeight="1">
      <c r="A1581" s="189"/>
      <c r="B1581" s="22"/>
      <c r="C1581" s="22"/>
      <c r="D1581" s="22"/>
      <c r="E1581" s="22"/>
      <c r="F1581" s="22"/>
      <c r="G1581" s="22"/>
      <c r="H1581" s="22"/>
      <c r="I1581" s="24"/>
      <c r="J1581" s="24"/>
      <c r="K1581" s="24"/>
      <c r="L1581" s="24"/>
      <c r="M1581" s="26"/>
      <c r="N1581" s="26"/>
      <c r="O1581" s="26"/>
      <c r="P1581" s="27"/>
      <c r="Q1581" s="27"/>
      <c r="R1581" s="27"/>
      <c r="S1581" s="22"/>
      <c r="T1581" s="22"/>
      <c r="U1581" s="28"/>
    </row>
    <row r="1582" ht="15.75" customHeight="1">
      <c r="A1582" s="189"/>
      <c r="B1582" s="22"/>
      <c r="C1582" s="22"/>
      <c r="D1582" s="22"/>
      <c r="E1582" s="22"/>
      <c r="F1582" s="22"/>
      <c r="G1582" s="22"/>
      <c r="H1582" s="22"/>
      <c r="I1582" s="24"/>
      <c r="J1582" s="24"/>
      <c r="K1582" s="24"/>
      <c r="L1582" s="24"/>
      <c r="M1582" s="26"/>
      <c r="N1582" s="26"/>
      <c r="O1582" s="26"/>
      <c r="P1582" s="27"/>
      <c r="Q1582" s="27"/>
      <c r="R1582" s="27"/>
      <c r="S1582" s="22"/>
      <c r="T1582" s="22"/>
      <c r="U1582" s="28"/>
    </row>
    <row r="1583" ht="15.75" customHeight="1">
      <c r="A1583" s="189"/>
      <c r="B1583" s="22"/>
      <c r="C1583" s="22"/>
      <c r="D1583" s="22"/>
      <c r="E1583" s="22"/>
      <c r="F1583" s="22"/>
      <c r="G1583" s="22"/>
      <c r="H1583" s="22"/>
      <c r="I1583" s="24"/>
      <c r="J1583" s="24"/>
      <c r="K1583" s="24"/>
      <c r="L1583" s="24"/>
      <c r="M1583" s="26"/>
      <c r="N1583" s="26"/>
      <c r="O1583" s="26"/>
      <c r="P1583" s="27"/>
      <c r="Q1583" s="27"/>
      <c r="R1583" s="27"/>
      <c r="S1583" s="22"/>
      <c r="T1583" s="22"/>
      <c r="U1583" s="28"/>
    </row>
    <row r="1584" ht="15.75" customHeight="1">
      <c r="A1584" s="189"/>
      <c r="B1584" s="22"/>
      <c r="C1584" s="22"/>
      <c r="D1584" s="22"/>
      <c r="E1584" s="22"/>
      <c r="F1584" s="22"/>
      <c r="G1584" s="22"/>
      <c r="H1584" s="22"/>
      <c r="I1584" s="24"/>
      <c r="J1584" s="24"/>
      <c r="K1584" s="24"/>
      <c r="L1584" s="24"/>
      <c r="M1584" s="26"/>
      <c r="N1584" s="26"/>
      <c r="O1584" s="26"/>
      <c r="P1584" s="27"/>
      <c r="Q1584" s="27"/>
      <c r="R1584" s="27"/>
      <c r="S1584" s="22"/>
      <c r="T1584" s="22"/>
      <c r="U1584" s="28"/>
    </row>
    <row r="1585" ht="15.75" customHeight="1">
      <c r="A1585" s="189"/>
      <c r="B1585" s="22"/>
      <c r="C1585" s="22"/>
      <c r="D1585" s="22"/>
      <c r="E1585" s="22"/>
      <c r="F1585" s="22"/>
      <c r="G1585" s="22"/>
      <c r="H1585" s="22"/>
      <c r="I1585" s="24"/>
      <c r="J1585" s="24"/>
      <c r="K1585" s="24"/>
      <c r="L1585" s="24"/>
      <c r="M1585" s="26"/>
      <c r="N1585" s="26"/>
      <c r="O1585" s="26"/>
      <c r="P1585" s="27"/>
      <c r="Q1585" s="27"/>
      <c r="R1585" s="27"/>
      <c r="S1585" s="22"/>
      <c r="T1585" s="22"/>
      <c r="U1585" s="28"/>
    </row>
    <row r="1586" ht="15.75" customHeight="1">
      <c r="A1586" s="189"/>
      <c r="B1586" s="22"/>
      <c r="C1586" s="22"/>
      <c r="D1586" s="22"/>
      <c r="E1586" s="22"/>
      <c r="F1586" s="22"/>
      <c r="G1586" s="22"/>
      <c r="H1586" s="22"/>
      <c r="I1586" s="24"/>
      <c r="J1586" s="24"/>
      <c r="K1586" s="24"/>
      <c r="L1586" s="24"/>
      <c r="M1586" s="26"/>
      <c r="N1586" s="26"/>
      <c r="O1586" s="26"/>
      <c r="P1586" s="27"/>
      <c r="Q1586" s="27"/>
      <c r="R1586" s="27"/>
      <c r="S1586" s="22"/>
      <c r="T1586" s="22"/>
      <c r="U1586" s="28"/>
    </row>
    <row r="1587" ht="15.75" customHeight="1">
      <c r="A1587" s="189"/>
      <c r="B1587" s="22"/>
      <c r="C1587" s="22"/>
      <c r="D1587" s="22"/>
      <c r="E1587" s="22"/>
      <c r="F1587" s="22"/>
      <c r="G1587" s="22"/>
      <c r="H1587" s="22"/>
      <c r="I1587" s="24"/>
      <c r="J1587" s="24"/>
      <c r="K1587" s="24"/>
      <c r="L1587" s="24"/>
      <c r="M1587" s="26"/>
      <c r="N1587" s="26"/>
      <c r="O1587" s="26"/>
      <c r="P1587" s="27"/>
      <c r="Q1587" s="27"/>
      <c r="R1587" s="27"/>
      <c r="S1587" s="22"/>
      <c r="T1587" s="22"/>
      <c r="U1587" s="28"/>
    </row>
    <row r="1588" ht="15.75" customHeight="1">
      <c r="A1588" s="189"/>
      <c r="B1588" s="22"/>
      <c r="C1588" s="22"/>
      <c r="D1588" s="22"/>
      <c r="E1588" s="22"/>
      <c r="F1588" s="22"/>
      <c r="G1588" s="22"/>
      <c r="H1588" s="22"/>
      <c r="I1588" s="24"/>
      <c r="J1588" s="24"/>
      <c r="K1588" s="24"/>
      <c r="L1588" s="24"/>
      <c r="M1588" s="26"/>
      <c r="N1588" s="26"/>
      <c r="O1588" s="26"/>
      <c r="P1588" s="27"/>
      <c r="Q1588" s="27"/>
      <c r="R1588" s="27"/>
      <c r="S1588" s="22"/>
      <c r="T1588" s="22"/>
      <c r="U1588" s="28"/>
    </row>
    <row r="1589" ht="15.75" customHeight="1">
      <c r="A1589" s="189"/>
      <c r="B1589" s="22"/>
      <c r="C1589" s="22"/>
      <c r="D1589" s="22"/>
      <c r="E1589" s="22"/>
      <c r="F1589" s="22"/>
      <c r="G1589" s="22"/>
      <c r="H1589" s="22"/>
      <c r="I1589" s="24"/>
      <c r="J1589" s="24"/>
      <c r="K1589" s="24"/>
      <c r="L1589" s="24"/>
      <c r="M1589" s="26"/>
      <c r="N1589" s="26"/>
      <c r="O1589" s="26"/>
      <c r="P1589" s="27"/>
      <c r="Q1589" s="27"/>
      <c r="R1589" s="27"/>
      <c r="S1589" s="22"/>
      <c r="T1589" s="22"/>
      <c r="U1589" s="28"/>
    </row>
    <row r="1590" ht="15.75" customHeight="1">
      <c r="A1590" s="189"/>
      <c r="B1590" s="22"/>
      <c r="C1590" s="22"/>
      <c r="D1590" s="22"/>
      <c r="E1590" s="22"/>
      <c r="F1590" s="22"/>
      <c r="G1590" s="22"/>
      <c r="H1590" s="22"/>
      <c r="I1590" s="24"/>
      <c r="J1590" s="24"/>
      <c r="K1590" s="24"/>
      <c r="L1590" s="24"/>
      <c r="M1590" s="26"/>
      <c r="N1590" s="26"/>
      <c r="O1590" s="26"/>
      <c r="P1590" s="27"/>
      <c r="Q1590" s="27"/>
      <c r="R1590" s="27"/>
      <c r="S1590" s="22"/>
      <c r="T1590" s="22"/>
      <c r="U1590" s="28"/>
    </row>
    <row r="1591" ht="15.75" customHeight="1">
      <c r="A1591" s="189"/>
      <c r="B1591" s="22"/>
      <c r="C1591" s="22"/>
      <c r="D1591" s="22"/>
      <c r="E1591" s="22"/>
      <c r="F1591" s="22"/>
      <c r="G1591" s="22"/>
      <c r="H1591" s="22"/>
      <c r="I1591" s="24"/>
      <c r="J1591" s="24"/>
      <c r="K1591" s="24"/>
      <c r="L1591" s="24"/>
      <c r="M1591" s="26"/>
      <c r="N1591" s="26"/>
      <c r="O1591" s="26"/>
      <c r="P1591" s="27"/>
      <c r="Q1591" s="27"/>
      <c r="R1591" s="27"/>
      <c r="S1591" s="22"/>
      <c r="T1591" s="22"/>
      <c r="U1591" s="28"/>
    </row>
    <row r="1592" ht="15.75" customHeight="1">
      <c r="A1592" s="189"/>
      <c r="B1592" s="22"/>
      <c r="C1592" s="22"/>
      <c r="D1592" s="22"/>
      <c r="E1592" s="22"/>
      <c r="F1592" s="22"/>
      <c r="G1592" s="22"/>
      <c r="H1592" s="22"/>
      <c r="I1592" s="24"/>
      <c r="J1592" s="24"/>
      <c r="K1592" s="24"/>
      <c r="L1592" s="24"/>
      <c r="M1592" s="26"/>
      <c r="N1592" s="26"/>
      <c r="O1592" s="26"/>
      <c r="P1592" s="27"/>
      <c r="Q1592" s="27"/>
      <c r="R1592" s="27"/>
      <c r="S1592" s="22"/>
      <c r="T1592" s="22"/>
      <c r="U1592" s="28"/>
    </row>
    <row r="1593" ht="15.75" customHeight="1">
      <c r="A1593" s="189"/>
      <c r="B1593" s="22"/>
      <c r="C1593" s="22"/>
      <c r="D1593" s="22"/>
      <c r="E1593" s="22"/>
      <c r="F1593" s="22"/>
      <c r="G1593" s="22"/>
      <c r="H1593" s="22"/>
      <c r="I1593" s="24"/>
      <c r="J1593" s="24"/>
      <c r="K1593" s="24"/>
      <c r="L1593" s="24"/>
      <c r="M1593" s="26"/>
      <c r="N1593" s="26"/>
      <c r="O1593" s="26"/>
      <c r="P1593" s="27"/>
      <c r="Q1593" s="27"/>
      <c r="R1593" s="27"/>
      <c r="S1593" s="22"/>
      <c r="T1593" s="22"/>
      <c r="U1593" s="28"/>
    </row>
    <row r="1594" ht="15.75" customHeight="1">
      <c r="A1594" s="189"/>
      <c r="B1594" s="22"/>
      <c r="C1594" s="22"/>
      <c r="D1594" s="22"/>
      <c r="E1594" s="22"/>
      <c r="F1594" s="22"/>
      <c r="G1594" s="22"/>
      <c r="H1594" s="22"/>
      <c r="I1594" s="24"/>
      <c r="J1594" s="24"/>
      <c r="K1594" s="24"/>
      <c r="L1594" s="24"/>
      <c r="M1594" s="26"/>
      <c r="N1594" s="26"/>
      <c r="O1594" s="26"/>
      <c r="P1594" s="27"/>
      <c r="Q1594" s="27"/>
      <c r="R1594" s="27"/>
      <c r="S1594" s="22"/>
      <c r="T1594" s="22"/>
      <c r="U1594" s="28"/>
    </row>
    <row r="1595" ht="15.75" customHeight="1">
      <c r="A1595" s="189"/>
      <c r="B1595" s="22"/>
      <c r="C1595" s="22"/>
      <c r="D1595" s="22"/>
      <c r="E1595" s="22"/>
      <c r="F1595" s="22"/>
      <c r="G1595" s="22"/>
      <c r="H1595" s="22"/>
      <c r="I1595" s="24"/>
      <c r="J1595" s="24"/>
      <c r="K1595" s="24"/>
      <c r="L1595" s="24"/>
      <c r="M1595" s="26"/>
      <c r="N1595" s="26"/>
      <c r="O1595" s="26"/>
      <c r="P1595" s="27"/>
      <c r="Q1595" s="27"/>
      <c r="R1595" s="27"/>
      <c r="S1595" s="22"/>
      <c r="T1595" s="22"/>
      <c r="U1595" s="28"/>
    </row>
    <row r="1596" ht="15.75" customHeight="1">
      <c r="A1596" s="189"/>
      <c r="B1596" s="22"/>
      <c r="C1596" s="22"/>
      <c r="D1596" s="22"/>
      <c r="E1596" s="22"/>
      <c r="F1596" s="22"/>
      <c r="G1596" s="22"/>
      <c r="H1596" s="22"/>
      <c r="I1596" s="24"/>
      <c r="J1596" s="24"/>
      <c r="K1596" s="24"/>
      <c r="L1596" s="24"/>
      <c r="M1596" s="26"/>
      <c r="N1596" s="26"/>
      <c r="O1596" s="26"/>
      <c r="P1596" s="27"/>
      <c r="Q1596" s="27"/>
      <c r="R1596" s="27"/>
      <c r="S1596" s="22"/>
      <c r="T1596" s="22"/>
      <c r="U1596" s="28"/>
    </row>
    <row r="1597" ht="15.75" customHeight="1">
      <c r="A1597" s="189"/>
      <c r="B1597" s="22"/>
      <c r="C1597" s="22"/>
      <c r="D1597" s="22"/>
      <c r="E1597" s="22"/>
      <c r="F1597" s="22"/>
      <c r="G1597" s="22"/>
      <c r="H1597" s="22"/>
      <c r="I1597" s="24"/>
      <c r="J1597" s="24"/>
      <c r="K1597" s="24"/>
      <c r="L1597" s="24"/>
      <c r="M1597" s="26"/>
      <c r="N1597" s="26"/>
      <c r="O1597" s="26"/>
      <c r="P1597" s="27"/>
      <c r="Q1597" s="27"/>
      <c r="R1597" s="27"/>
      <c r="S1597" s="22"/>
      <c r="T1597" s="22"/>
      <c r="U1597" s="28"/>
    </row>
    <row r="1598" ht="15.75" customHeight="1">
      <c r="A1598" s="189"/>
      <c r="B1598" s="22"/>
      <c r="C1598" s="22"/>
      <c r="D1598" s="22"/>
      <c r="E1598" s="22"/>
      <c r="F1598" s="22"/>
      <c r="G1598" s="22"/>
      <c r="H1598" s="22"/>
      <c r="I1598" s="24"/>
      <c r="J1598" s="24"/>
      <c r="K1598" s="24"/>
      <c r="L1598" s="24"/>
      <c r="M1598" s="26"/>
      <c r="N1598" s="26"/>
      <c r="O1598" s="26"/>
      <c r="P1598" s="27"/>
      <c r="Q1598" s="27"/>
      <c r="R1598" s="27"/>
      <c r="S1598" s="22"/>
      <c r="T1598" s="22"/>
      <c r="U1598" s="28"/>
    </row>
    <row r="1599" ht="15.75" customHeight="1">
      <c r="A1599" s="189"/>
      <c r="B1599" s="22"/>
      <c r="C1599" s="22"/>
      <c r="D1599" s="22"/>
      <c r="E1599" s="22"/>
      <c r="F1599" s="22"/>
      <c r="G1599" s="22"/>
      <c r="H1599" s="22"/>
      <c r="I1599" s="24"/>
      <c r="J1599" s="24"/>
      <c r="K1599" s="24"/>
      <c r="L1599" s="24"/>
      <c r="M1599" s="26"/>
      <c r="N1599" s="26"/>
      <c r="O1599" s="26"/>
      <c r="P1599" s="27"/>
      <c r="Q1599" s="27"/>
      <c r="R1599" s="27"/>
      <c r="S1599" s="22"/>
      <c r="T1599" s="22"/>
      <c r="U1599" s="28"/>
    </row>
    <row r="1600" ht="15.75" customHeight="1">
      <c r="A1600" s="189"/>
      <c r="B1600" s="22"/>
      <c r="C1600" s="22"/>
      <c r="D1600" s="22"/>
      <c r="E1600" s="22"/>
      <c r="F1600" s="22"/>
      <c r="G1600" s="22"/>
      <c r="H1600" s="22"/>
      <c r="I1600" s="24"/>
      <c r="J1600" s="24"/>
      <c r="K1600" s="24"/>
      <c r="L1600" s="24"/>
      <c r="M1600" s="26"/>
      <c r="N1600" s="26"/>
      <c r="O1600" s="26"/>
      <c r="P1600" s="27"/>
      <c r="Q1600" s="27"/>
      <c r="R1600" s="27"/>
      <c r="S1600" s="22"/>
      <c r="T1600" s="22"/>
      <c r="U1600" s="28"/>
    </row>
    <row r="1601" ht="15.75" customHeight="1">
      <c r="A1601" s="189"/>
      <c r="B1601" s="22"/>
      <c r="C1601" s="22"/>
      <c r="D1601" s="22"/>
      <c r="E1601" s="22"/>
      <c r="F1601" s="22"/>
      <c r="G1601" s="22"/>
      <c r="H1601" s="22"/>
      <c r="I1601" s="24"/>
      <c r="J1601" s="24"/>
      <c r="K1601" s="24"/>
      <c r="L1601" s="24"/>
      <c r="M1601" s="26"/>
      <c r="N1601" s="26"/>
      <c r="O1601" s="26"/>
      <c r="P1601" s="27"/>
      <c r="Q1601" s="27"/>
      <c r="R1601" s="27"/>
      <c r="S1601" s="22"/>
      <c r="T1601" s="22"/>
      <c r="U1601" s="28"/>
    </row>
    <row r="1602" ht="15.75" customHeight="1">
      <c r="A1602" s="189"/>
      <c r="B1602" s="22"/>
      <c r="C1602" s="22"/>
      <c r="D1602" s="22"/>
      <c r="E1602" s="22"/>
      <c r="F1602" s="22"/>
      <c r="G1602" s="22"/>
      <c r="H1602" s="22"/>
      <c r="I1602" s="24"/>
      <c r="J1602" s="24"/>
      <c r="K1602" s="24"/>
      <c r="L1602" s="24"/>
      <c r="M1602" s="26"/>
      <c r="N1602" s="26"/>
      <c r="O1602" s="26"/>
      <c r="P1602" s="27"/>
      <c r="Q1602" s="27"/>
      <c r="R1602" s="27"/>
      <c r="S1602" s="22"/>
      <c r="T1602" s="22"/>
      <c r="U1602" s="28"/>
    </row>
    <row r="1603" ht="15.75" customHeight="1">
      <c r="A1603" s="189"/>
      <c r="B1603" s="22"/>
      <c r="C1603" s="22"/>
      <c r="D1603" s="22"/>
      <c r="E1603" s="22"/>
      <c r="F1603" s="22"/>
      <c r="G1603" s="22"/>
      <c r="H1603" s="22"/>
      <c r="I1603" s="24"/>
      <c r="J1603" s="24"/>
      <c r="K1603" s="24"/>
      <c r="L1603" s="24"/>
      <c r="M1603" s="26"/>
      <c r="N1603" s="26"/>
      <c r="O1603" s="26"/>
      <c r="P1603" s="27"/>
      <c r="Q1603" s="27"/>
      <c r="R1603" s="27"/>
      <c r="S1603" s="22"/>
      <c r="T1603" s="22"/>
      <c r="U1603" s="28"/>
    </row>
    <row r="1604" ht="15.75" customHeight="1">
      <c r="A1604" s="189"/>
      <c r="B1604" s="22"/>
      <c r="C1604" s="22"/>
      <c r="D1604" s="22"/>
      <c r="E1604" s="22"/>
      <c r="F1604" s="22"/>
      <c r="G1604" s="22"/>
      <c r="H1604" s="22"/>
      <c r="I1604" s="24"/>
      <c r="J1604" s="24"/>
      <c r="K1604" s="24"/>
      <c r="L1604" s="24"/>
      <c r="M1604" s="26"/>
      <c r="N1604" s="26"/>
      <c r="O1604" s="26"/>
      <c r="P1604" s="27"/>
      <c r="Q1604" s="27"/>
      <c r="R1604" s="27"/>
      <c r="S1604" s="22"/>
      <c r="T1604" s="22"/>
      <c r="U1604" s="28"/>
    </row>
    <row r="1605" ht="15.75" customHeight="1">
      <c r="A1605" s="189"/>
      <c r="B1605" s="22"/>
      <c r="C1605" s="22"/>
      <c r="D1605" s="22"/>
      <c r="E1605" s="22"/>
      <c r="F1605" s="22"/>
      <c r="G1605" s="22"/>
      <c r="H1605" s="22"/>
      <c r="I1605" s="24"/>
      <c r="J1605" s="24"/>
      <c r="K1605" s="24"/>
      <c r="L1605" s="24"/>
      <c r="M1605" s="26"/>
      <c r="N1605" s="26"/>
      <c r="O1605" s="26"/>
      <c r="P1605" s="27"/>
      <c r="Q1605" s="27"/>
      <c r="R1605" s="27"/>
      <c r="S1605" s="22"/>
      <c r="T1605" s="22"/>
      <c r="U1605" s="28"/>
    </row>
    <row r="1606" ht="15.75" customHeight="1">
      <c r="A1606" s="189"/>
      <c r="B1606" s="22"/>
      <c r="C1606" s="22"/>
      <c r="D1606" s="22"/>
      <c r="E1606" s="22"/>
      <c r="F1606" s="22"/>
      <c r="G1606" s="22"/>
      <c r="H1606" s="22"/>
      <c r="I1606" s="24"/>
      <c r="J1606" s="24"/>
      <c r="K1606" s="24"/>
      <c r="L1606" s="24"/>
      <c r="M1606" s="26"/>
      <c r="N1606" s="26"/>
      <c r="O1606" s="26"/>
      <c r="P1606" s="27"/>
      <c r="Q1606" s="27"/>
      <c r="R1606" s="27"/>
      <c r="S1606" s="22"/>
      <c r="T1606" s="22"/>
      <c r="U1606" s="28"/>
    </row>
    <row r="1607" ht="15.75" customHeight="1">
      <c r="A1607" s="189"/>
      <c r="B1607" s="22"/>
      <c r="C1607" s="22"/>
      <c r="D1607" s="22"/>
      <c r="E1607" s="22"/>
      <c r="F1607" s="22"/>
      <c r="G1607" s="22"/>
      <c r="H1607" s="22"/>
      <c r="I1607" s="24"/>
      <c r="J1607" s="24"/>
      <c r="K1607" s="24"/>
      <c r="L1607" s="24"/>
      <c r="M1607" s="26"/>
      <c r="N1607" s="26"/>
      <c r="O1607" s="26"/>
      <c r="P1607" s="27"/>
      <c r="Q1607" s="27"/>
      <c r="R1607" s="27"/>
      <c r="S1607" s="22"/>
      <c r="T1607" s="22"/>
      <c r="U1607" s="28"/>
    </row>
    <row r="1608" ht="15.75" customHeight="1">
      <c r="A1608" s="189"/>
      <c r="B1608" s="22"/>
      <c r="C1608" s="22"/>
      <c r="D1608" s="22"/>
      <c r="E1608" s="22"/>
      <c r="F1608" s="22"/>
      <c r="G1608" s="22"/>
      <c r="H1608" s="22"/>
      <c r="I1608" s="24"/>
      <c r="J1608" s="24"/>
      <c r="K1608" s="24"/>
      <c r="L1608" s="24"/>
      <c r="M1608" s="26"/>
      <c r="N1608" s="26"/>
      <c r="O1608" s="26"/>
      <c r="P1608" s="27"/>
      <c r="Q1608" s="27"/>
      <c r="R1608" s="27"/>
      <c r="S1608" s="22"/>
      <c r="T1608" s="22"/>
      <c r="U1608" s="28"/>
    </row>
    <row r="1609" ht="15.75" customHeight="1">
      <c r="A1609" s="189"/>
      <c r="B1609" s="22"/>
      <c r="C1609" s="22"/>
      <c r="D1609" s="22"/>
      <c r="E1609" s="22"/>
      <c r="F1609" s="22"/>
      <c r="G1609" s="22"/>
      <c r="H1609" s="22"/>
      <c r="I1609" s="24"/>
      <c r="J1609" s="24"/>
      <c r="K1609" s="24"/>
      <c r="L1609" s="24"/>
      <c r="M1609" s="26"/>
      <c r="N1609" s="26"/>
      <c r="O1609" s="26"/>
      <c r="P1609" s="27"/>
      <c r="Q1609" s="27"/>
      <c r="R1609" s="27"/>
      <c r="S1609" s="22"/>
      <c r="T1609" s="22"/>
      <c r="U1609" s="28"/>
    </row>
    <row r="1610" ht="15.75" customHeight="1">
      <c r="A1610" s="189"/>
      <c r="B1610" s="22"/>
      <c r="C1610" s="22"/>
      <c r="D1610" s="22"/>
      <c r="E1610" s="22"/>
      <c r="F1610" s="22"/>
      <c r="G1610" s="22"/>
      <c r="H1610" s="22"/>
      <c r="I1610" s="24"/>
      <c r="J1610" s="24"/>
      <c r="K1610" s="24"/>
      <c r="L1610" s="24"/>
      <c r="M1610" s="26"/>
      <c r="N1610" s="26"/>
      <c r="O1610" s="26"/>
      <c r="P1610" s="27"/>
      <c r="Q1610" s="27"/>
      <c r="R1610" s="27"/>
      <c r="S1610" s="22"/>
      <c r="T1610" s="22"/>
      <c r="U1610" s="28"/>
    </row>
    <row r="1611" ht="15.75" customHeight="1">
      <c r="A1611" s="189"/>
      <c r="B1611" s="22"/>
      <c r="C1611" s="22"/>
      <c r="D1611" s="22"/>
      <c r="E1611" s="22"/>
      <c r="F1611" s="22"/>
      <c r="G1611" s="22"/>
      <c r="H1611" s="22"/>
      <c r="I1611" s="24"/>
      <c r="J1611" s="24"/>
      <c r="K1611" s="24"/>
      <c r="L1611" s="24"/>
      <c r="M1611" s="26"/>
      <c r="N1611" s="26"/>
      <c r="O1611" s="26"/>
      <c r="P1611" s="27"/>
      <c r="Q1611" s="27"/>
      <c r="R1611" s="27"/>
      <c r="S1611" s="22"/>
      <c r="T1611" s="22"/>
      <c r="U1611" s="28"/>
    </row>
    <row r="1612" ht="15.75" customHeight="1">
      <c r="A1612" s="189"/>
      <c r="B1612" s="22"/>
      <c r="C1612" s="22"/>
      <c r="D1612" s="22"/>
      <c r="E1612" s="22"/>
      <c r="F1612" s="22"/>
      <c r="G1612" s="22"/>
      <c r="H1612" s="22"/>
      <c r="I1612" s="24"/>
      <c r="J1612" s="24"/>
      <c r="K1612" s="24"/>
      <c r="L1612" s="24"/>
      <c r="M1612" s="26"/>
      <c r="N1612" s="26"/>
      <c r="O1612" s="26"/>
      <c r="P1612" s="27"/>
      <c r="Q1612" s="27"/>
      <c r="R1612" s="27"/>
      <c r="S1612" s="22"/>
      <c r="T1612" s="22"/>
      <c r="U1612" s="28"/>
    </row>
    <row r="1613" ht="15.75" customHeight="1">
      <c r="A1613" s="189"/>
      <c r="B1613" s="22"/>
      <c r="C1613" s="22"/>
      <c r="D1613" s="22"/>
      <c r="E1613" s="22"/>
      <c r="F1613" s="22"/>
      <c r="G1613" s="22"/>
      <c r="H1613" s="22"/>
      <c r="I1613" s="24"/>
      <c r="J1613" s="24"/>
      <c r="K1613" s="24"/>
      <c r="L1613" s="24"/>
      <c r="M1613" s="26"/>
      <c r="N1613" s="26"/>
      <c r="O1613" s="26"/>
      <c r="P1613" s="27"/>
      <c r="Q1613" s="27"/>
      <c r="R1613" s="27"/>
      <c r="S1613" s="22"/>
      <c r="T1613" s="22"/>
      <c r="U1613" s="28"/>
    </row>
    <row r="1614" ht="15.75" customHeight="1">
      <c r="A1614" s="189"/>
      <c r="B1614" s="22"/>
      <c r="C1614" s="22"/>
      <c r="D1614" s="22"/>
      <c r="E1614" s="22"/>
      <c r="F1614" s="22"/>
      <c r="G1614" s="22"/>
      <c r="H1614" s="22"/>
      <c r="I1614" s="24"/>
      <c r="J1614" s="24"/>
      <c r="K1614" s="24"/>
      <c r="L1614" s="24"/>
      <c r="M1614" s="26"/>
      <c r="N1614" s="26"/>
      <c r="O1614" s="26"/>
      <c r="P1614" s="27"/>
      <c r="Q1614" s="27"/>
      <c r="R1614" s="27"/>
      <c r="S1614" s="22"/>
      <c r="T1614" s="22"/>
      <c r="U1614" s="28"/>
    </row>
    <row r="1615" ht="15.75" customHeight="1">
      <c r="A1615" s="189"/>
      <c r="B1615" s="22"/>
      <c r="C1615" s="22"/>
      <c r="D1615" s="22"/>
      <c r="E1615" s="22"/>
      <c r="F1615" s="22"/>
      <c r="G1615" s="22"/>
      <c r="H1615" s="22"/>
      <c r="I1615" s="24"/>
      <c r="J1615" s="24"/>
      <c r="K1615" s="24"/>
      <c r="L1615" s="24"/>
      <c r="M1615" s="26"/>
      <c r="N1615" s="26"/>
      <c r="O1615" s="26"/>
      <c r="P1615" s="27"/>
      <c r="Q1615" s="27"/>
      <c r="R1615" s="27"/>
      <c r="S1615" s="22"/>
      <c r="T1615" s="22"/>
      <c r="U1615" s="28"/>
    </row>
    <row r="1616" ht="15.75" customHeight="1">
      <c r="A1616" s="189"/>
      <c r="B1616" s="22"/>
      <c r="C1616" s="22"/>
      <c r="D1616" s="22"/>
      <c r="E1616" s="22"/>
      <c r="F1616" s="22"/>
      <c r="G1616" s="22"/>
      <c r="H1616" s="22"/>
      <c r="I1616" s="24"/>
      <c r="J1616" s="24"/>
      <c r="K1616" s="24"/>
      <c r="L1616" s="24"/>
      <c r="M1616" s="26"/>
      <c r="N1616" s="26"/>
      <c r="O1616" s="26"/>
      <c r="P1616" s="27"/>
      <c r="Q1616" s="27"/>
      <c r="R1616" s="27"/>
      <c r="S1616" s="22"/>
      <c r="T1616" s="22"/>
      <c r="U1616" s="28"/>
    </row>
    <row r="1617" ht="15.75" customHeight="1">
      <c r="A1617" s="189"/>
      <c r="B1617" s="22"/>
      <c r="C1617" s="22"/>
      <c r="D1617" s="22"/>
      <c r="E1617" s="22"/>
      <c r="F1617" s="22"/>
      <c r="G1617" s="22"/>
      <c r="H1617" s="22"/>
      <c r="I1617" s="24"/>
      <c r="J1617" s="24"/>
      <c r="K1617" s="24"/>
      <c r="L1617" s="24"/>
      <c r="M1617" s="26"/>
      <c r="N1617" s="26"/>
      <c r="O1617" s="26"/>
      <c r="P1617" s="27"/>
      <c r="Q1617" s="27"/>
      <c r="R1617" s="27"/>
      <c r="S1617" s="22"/>
      <c r="T1617" s="22"/>
      <c r="U1617" s="28"/>
    </row>
    <row r="1618" ht="15.75" customHeight="1">
      <c r="A1618" s="189"/>
      <c r="B1618" s="22"/>
      <c r="C1618" s="22"/>
      <c r="D1618" s="22"/>
      <c r="E1618" s="22"/>
      <c r="F1618" s="22"/>
      <c r="G1618" s="22"/>
      <c r="H1618" s="22"/>
      <c r="I1618" s="24"/>
      <c r="J1618" s="24"/>
      <c r="K1618" s="24"/>
      <c r="L1618" s="24"/>
      <c r="M1618" s="26"/>
      <c r="N1618" s="26"/>
      <c r="O1618" s="26"/>
      <c r="P1618" s="27"/>
      <c r="Q1618" s="27"/>
      <c r="R1618" s="27"/>
      <c r="S1618" s="22"/>
      <c r="T1618" s="22"/>
      <c r="U1618" s="28"/>
    </row>
    <row r="1619" ht="15.75" customHeight="1">
      <c r="A1619" s="189"/>
      <c r="B1619" s="22"/>
      <c r="C1619" s="22"/>
      <c r="D1619" s="22"/>
      <c r="E1619" s="22"/>
      <c r="F1619" s="22"/>
      <c r="G1619" s="22"/>
      <c r="H1619" s="22"/>
      <c r="I1619" s="24"/>
      <c r="J1619" s="24"/>
      <c r="K1619" s="24"/>
      <c r="L1619" s="24"/>
      <c r="M1619" s="26"/>
      <c r="N1619" s="26"/>
      <c r="O1619" s="26"/>
      <c r="P1619" s="27"/>
      <c r="Q1619" s="27"/>
      <c r="R1619" s="27"/>
      <c r="S1619" s="22"/>
      <c r="T1619" s="22"/>
      <c r="U1619" s="28"/>
    </row>
    <row r="1620" ht="15.75" customHeight="1">
      <c r="A1620" s="189"/>
      <c r="B1620" s="22"/>
      <c r="C1620" s="22"/>
      <c r="D1620" s="22"/>
      <c r="E1620" s="22"/>
      <c r="F1620" s="22"/>
      <c r="G1620" s="22"/>
      <c r="H1620" s="22"/>
      <c r="I1620" s="24"/>
      <c r="J1620" s="24"/>
      <c r="K1620" s="24"/>
      <c r="L1620" s="24"/>
      <c r="M1620" s="26"/>
      <c r="N1620" s="26"/>
      <c r="O1620" s="26"/>
      <c r="P1620" s="27"/>
      <c r="Q1620" s="27"/>
      <c r="R1620" s="27"/>
      <c r="S1620" s="22"/>
      <c r="T1620" s="22"/>
      <c r="U1620" s="28"/>
    </row>
    <row r="1621" ht="15.75" customHeight="1">
      <c r="A1621" s="189"/>
      <c r="B1621" s="22"/>
      <c r="C1621" s="22"/>
      <c r="D1621" s="22"/>
      <c r="E1621" s="22"/>
      <c r="F1621" s="22"/>
      <c r="G1621" s="22"/>
      <c r="H1621" s="22"/>
      <c r="I1621" s="24"/>
      <c r="J1621" s="24"/>
      <c r="K1621" s="24"/>
      <c r="L1621" s="24"/>
      <c r="M1621" s="26"/>
      <c r="N1621" s="26"/>
      <c r="O1621" s="26"/>
      <c r="P1621" s="27"/>
      <c r="Q1621" s="27"/>
      <c r="R1621" s="27"/>
      <c r="S1621" s="22"/>
      <c r="T1621" s="22"/>
      <c r="U1621" s="28"/>
    </row>
    <row r="1622" ht="15.75" customHeight="1">
      <c r="A1622" s="189"/>
      <c r="B1622" s="22"/>
      <c r="C1622" s="22"/>
      <c r="D1622" s="22"/>
      <c r="E1622" s="22"/>
      <c r="F1622" s="22"/>
      <c r="G1622" s="22"/>
      <c r="H1622" s="22"/>
      <c r="I1622" s="24"/>
      <c r="J1622" s="24"/>
      <c r="K1622" s="24"/>
      <c r="L1622" s="24"/>
      <c r="M1622" s="26"/>
      <c r="N1622" s="26"/>
      <c r="O1622" s="26"/>
      <c r="P1622" s="27"/>
      <c r="Q1622" s="27"/>
      <c r="R1622" s="27"/>
      <c r="S1622" s="22"/>
      <c r="T1622" s="22"/>
      <c r="U1622" s="28"/>
    </row>
    <row r="1623" ht="15.75" customHeight="1">
      <c r="A1623" s="189"/>
      <c r="B1623" s="22"/>
      <c r="C1623" s="22"/>
      <c r="D1623" s="22"/>
      <c r="E1623" s="22"/>
      <c r="F1623" s="22"/>
      <c r="G1623" s="22"/>
      <c r="H1623" s="22"/>
      <c r="I1623" s="24"/>
      <c r="J1623" s="24"/>
      <c r="K1623" s="24"/>
      <c r="L1623" s="24"/>
      <c r="M1623" s="26"/>
      <c r="N1623" s="26"/>
      <c r="O1623" s="26"/>
      <c r="P1623" s="27"/>
      <c r="Q1623" s="27"/>
      <c r="R1623" s="27"/>
      <c r="S1623" s="22"/>
      <c r="T1623" s="22"/>
      <c r="U1623" s="28"/>
    </row>
    <row r="1624" ht="15.75" customHeight="1">
      <c r="A1624" s="189"/>
      <c r="B1624" s="22"/>
      <c r="C1624" s="22"/>
      <c r="D1624" s="22"/>
      <c r="E1624" s="22"/>
      <c r="F1624" s="22"/>
      <c r="G1624" s="22"/>
      <c r="H1624" s="22"/>
      <c r="I1624" s="24"/>
      <c r="J1624" s="24"/>
      <c r="K1624" s="24"/>
      <c r="L1624" s="24"/>
      <c r="M1624" s="26"/>
      <c r="N1624" s="26"/>
      <c r="O1624" s="26"/>
      <c r="P1624" s="27"/>
      <c r="Q1624" s="27"/>
      <c r="R1624" s="27"/>
      <c r="S1624" s="22"/>
      <c r="T1624" s="22"/>
      <c r="U1624" s="28"/>
    </row>
    <row r="1625" ht="15.75" customHeight="1">
      <c r="A1625" s="189"/>
      <c r="B1625" s="22"/>
      <c r="C1625" s="22"/>
      <c r="D1625" s="22"/>
      <c r="E1625" s="22"/>
      <c r="F1625" s="22"/>
      <c r="G1625" s="22"/>
      <c r="H1625" s="22"/>
      <c r="I1625" s="24"/>
      <c r="J1625" s="24"/>
      <c r="K1625" s="24"/>
      <c r="L1625" s="24"/>
      <c r="M1625" s="26"/>
      <c r="N1625" s="26"/>
      <c r="O1625" s="26"/>
      <c r="P1625" s="27"/>
      <c r="Q1625" s="27"/>
      <c r="R1625" s="27"/>
      <c r="S1625" s="22"/>
      <c r="T1625" s="22"/>
      <c r="U1625" s="28"/>
    </row>
    <row r="1626" ht="15.75" customHeight="1">
      <c r="A1626" s="189"/>
      <c r="B1626" s="22"/>
      <c r="C1626" s="22"/>
      <c r="D1626" s="22"/>
      <c r="E1626" s="22"/>
      <c r="F1626" s="22"/>
      <c r="G1626" s="22"/>
      <c r="H1626" s="22"/>
      <c r="I1626" s="24"/>
      <c r="J1626" s="24"/>
      <c r="K1626" s="24"/>
      <c r="L1626" s="24"/>
      <c r="M1626" s="26"/>
      <c r="N1626" s="26"/>
      <c r="O1626" s="26"/>
      <c r="P1626" s="27"/>
      <c r="Q1626" s="27"/>
      <c r="R1626" s="27"/>
      <c r="S1626" s="22"/>
      <c r="T1626" s="22"/>
      <c r="U1626" s="28"/>
    </row>
    <row r="1627" ht="15.75" customHeight="1">
      <c r="A1627" s="189"/>
      <c r="B1627" s="22"/>
      <c r="C1627" s="22"/>
      <c r="D1627" s="22"/>
      <c r="E1627" s="22"/>
      <c r="F1627" s="22"/>
      <c r="G1627" s="22"/>
      <c r="H1627" s="22"/>
      <c r="I1627" s="24"/>
      <c r="J1627" s="24"/>
      <c r="K1627" s="24"/>
      <c r="L1627" s="24"/>
      <c r="M1627" s="26"/>
      <c r="N1627" s="26"/>
      <c r="O1627" s="26"/>
      <c r="P1627" s="27"/>
      <c r="Q1627" s="27"/>
      <c r="R1627" s="27"/>
      <c r="S1627" s="22"/>
      <c r="T1627" s="22"/>
      <c r="U1627" s="28"/>
    </row>
    <row r="1628" ht="15.75" customHeight="1">
      <c r="A1628" s="189"/>
      <c r="B1628" s="22"/>
      <c r="C1628" s="22"/>
      <c r="D1628" s="22"/>
      <c r="E1628" s="22"/>
      <c r="F1628" s="22"/>
      <c r="G1628" s="22"/>
      <c r="H1628" s="22"/>
      <c r="I1628" s="24"/>
      <c r="J1628" s="24"/>
      <c r="K1628" s="24"/>
      <c r="L1628" s="24"/>
      <c r="M1628" s="26"/>
      <c r="N1628" s="26"/>
      <c r="O1628" s="26"/>
      <c r="P1628" s="27"/>
      <c r="Q1628" s="27"/>
      <c r="R1628" s="27"/>
      <c r="S1628" s="22"/>
      <c r="T1628" s="22"/>
      <c r="U1628" s="28"/>
    </row>
    <row r="1629" ht="15.75" customHeight="1">
      <c r="A1629" s="189"/>
      <c r="B1629" s="22"/>
      <c r="C1629" s="22"/>
      <c r="D1629" s="22"/>
      <c r="E1629" s="22"/>
      <c r="F1629" s="22"/>
      <c r="G1629" s="22"/>
      <c r="H1629" s="22"/>
      <c r="I1629" s="24"/>
      <c r="J1629" s="24"/>
      <c r="K1629" s="24"/>
      <c r="L1629" s="24"/>
      <c r="M1629" s="26"/>
      <c r="N1629" s="26"/>
      <c r="O1629" s="26"/>
      <c r="P1629" s="27"/>
      <c r="Q1629" s="27"/>
      <c r="R1629" s="27"/>
      <c r="S1629" s="22"/>
      <c r="T1629" s="22"/>
      <c r="U1629" s="28"/>
    </row>
    <row r="1630" ht="15.75" customHeight="1">
      <c r="A1630" s="189"/>
      <c r="B1630" s="22"/>
      <c r="C1630" s="22"/>
      <c r="D1630" s="22"/>
      <c r="E1630" s="22"/>
      <c r="F1630" s="22"/>
      <c r="G1630" s="22"/>
      <c r="H1630" s="22"/>
      <c r="I1630" s="24"/>
      <c r="J1630" s="24"/>
      <c r="K1630" s="24"/>
      <c r="L1630" s="24"/>
      <c r="M1630" s="26"/>
      <c r="N1630" s="26"/>
      <c r="O1630" s="26"/>
      <c r="P1630" s="27"/>
      <c r="Q1630" s="27"/>
      <c r="R1630" s="27"/>
      <c r="S1630" s="22"/>
      <c r="T1630" s="22"/>
      <c r="U1630" s="28"/>
    </row>
    <row r="1631" ht="15.75" customHeight="1">
      <c r="A1631" s="189"/>
      <c r="B1631" s="22"/>
      <c r="C1631" s="22"/>
      <c r="D1631" s="22"/>
      <c r="E1631" s="22"/>
      <c r="F1631" s="22"/>
      <c r="G1631" s="22"/>
      <c r="H1631" s="22"/>
      <c r="I1631" s="24"/>
      <c r="J1631" s="24"/>
      <c r="K1631" s="24"/>
      <c r="L1631" s="24"/>
      <c r="M1631" s="26"/>
      <c r="N1631" s="26"/>
      <c r="O1631" s="26"/>
      <c r="P1631" s="27"/>
      <c r="Q1631" s="27"/>
      <c r="R1631" s="27"/>
      <c r="S1631" s="22"/>
      <c r="T1631" s="22"/>
      <c r="U1631" s="28"/>
    </row>
    <row r="1632" ht="15.75" customHeight="1">
      <c r="A1632" s="189"/>
      <c r="B1632" s="22"/>
      <c r="C1632" s="22"/>
      <c r="D1632" s="22"/>
      <c r="E1632" s="22"/>
      <c r="F1632" s="22"/>
      <c r="G1632" s="22"/>
      <c r="H1632" s="22"/>
      <c r="I1632" s="24"/>
      <c r="J1632" s="24"/>
      <c r="K1632" s="24"/>
      <c r="L1632" s="24"/>
      <c r="M1632" s="26"/>
      <c r="N1632" s="26"/>
      <c r="O1632" s="26"/>
      <c r="P1632" s="27"/>
      <c r="Q1632" s="27"/>
      <c r="R1632" s="27"/>
      <c r="S1632" s="22"/>
      <c r="T1632" s="22"/>
      <c r="U1632" s="28"/>
    </row>
    <row r="1633" ht="15.75" customHeight="1">
      <c r="A1633" s="189"/>
      <c r="B1633" s="22"/>
      <c r="C1633" s="22"/>
      <c r="D1633" s="22"/>
      <c r="E1633" s="22"/>
      <c r="F1633" s="22"/>
      <c r="G1633" s="22"/>
      <c r="H1633" s="22"/>
      <c r="I1633" s="24"/>
      <c r="J1633" s="24"/>
      <c r="K1633" s="24"/>
      <c r="L1633" s="24"/>
      <c r="M1633" s="26"/>
      <c r="N1633" s="26"/>
      <c r="O1633" s="26"/>
      <c r="P1633" s="27"/>
      <c r="Q1633" s="27"/>
      <c r="R1633" s="27"/>
      <c r="S1633" s="22"/>
      <c r="T1633" s="22"/>
      <c r="U1633" s="28"/>
    </row>
    <row r="1634" ht="15.75" customHeight="1">
      <c r="A1634" s="189"/>
      <c r="B1634" s="22"/>
      <c r="C1634" s="22"/>
      <c r="D1634" s="22"/>
      <c r="E1634" s="22"/>
      <c r="F1634" s="22"/>
      <c r="G1634" s="22"/>
      <c r="H1634" s="22"/>
      <c r="I1634" s="24"/>
      <c r="J1634" s="24"/>
      <c r="K1634" s="24"/>
      <c r="L1634" s="24"/>
      <c r="M1634" s="26"/>
      <c r="N1634" s="26"/>
      <c r="O1634" s="26"/>
      <c r="P1634" s="27"/>
      <c r="Q1634" s="27"/>
      <c r="R1634" s="27"/>
      <c r="S1634" s="22"/>
      <c r="T1634" s="22"/>
      <c r="U1634" s="28"/>
    </row>
    <row r="1635" ht="15.75" customHeight="1">
      <c r="A1635" s="189"/>
      <c r="B1635" s="22"/>
      <c r="C1635" s="22"/>
      <c r="D1635" s="22"/>
      <c r="E1635" s="22"/>
      <c r="F1635" s="22"/>
      <c r="G1635" s="22"/>
      <c r="H1635" s="22"/>
      <c r="I1635" s="24"/>
      <c r="J1635" s="24"/>
      <c r="K1635" s="24"/>
      <c r="L1635" s="24"/>
      <c r="M1635" s="26"/>
      <c r="N1635" s="26"/>
      <c r="O1635" s="26"/>
      <c r="P1635" s="27"/>
      <c r="Q1635" s="27"/>
      <c r="R1635" s="27"/>
      <c r="S1635" s="22"/>
      <c r="T1635" s="22"/>
      <c r="U1635" s="28"/>
    </row>
    <row r="1636" ht="15.75" customHeight="1">
      <c r="A1636" s="189"/>
      <c r="B1636" s="22"/>
      <c r="C1636" s="22"/>
      <c r="D1636" s="22"/>
      <c r="E1636" s="22"/>
      <c r="F1636" s="22"/>
      <c r="G1636" s="22"/>
      <c r="H1636" s="22"/>
      <c r="I1636" s="24"/>
      <c r="J1636" s="24"/>
      <c r="K1636" s="24"/>
      <c r="L1636" s="24"/>
      <c r="M1636" s="26"/>
      <c r="N1636" s="26"/>
      <c r="O1636" s="26"/>
      <c r="P1636" s="27"/>
      <c r="Q1636" s="27"/>
      <c r="R1636" s="27"/>
      <c r="S1636" s="22"/>
      <c r="T1636" s="22"/>
      <c r="U1636" s="28"/>
    </row>
    <row r="1637" ht="15.75" customHeight="1">
      <c r="A1637" s="189"/>
      <c r="B1637" s="22"/>
      <c r="C1637" s="22"/>
      <c r="D1637" s="22"/>
      <c r="E1637" s="22"/>
      <c r="F1637" s="22"/>
      <c r="G1637" s="22"/>
      <c r="H1637" s="22"/>
      <c r="I1637" s="24"/>
      <c r="J1637" s="24"/>
      <c r="K1637" s="24"/>
      <c r="L1637" s="24"/>
      <c r="M1637" s="26"/>
      <c r="N1637" s="26"/>
      <c r="O1637" s="26"/>
      <c r="P1637" s="27"/>
      <c r="Q1637" s="27"/>
      <c r="R1637" s="27"/>
      <c r="S1637" s="22"/>
      <c r="T1637" s="22"/>
      <c r="U1637" s="28"/>
    </row>
    <row r="1638" ht="15.75" customHeight="1">
      <c r="A1638" s="189"/>
      <c r="B1638" s="22"/>
      <c r="C1638" s="22"/>
      <c r="D1638" s="22"/>
      <c r="E1638" s="22"/>
      <c r="F1638" s="22"/>
      <c r="G1638" s="22"/>
      <c r="H1638" s="22"/>
      <c r="I1638" s="24"/>
      <c r="J1638" s="24"/>
      <c r="K1638" s="24"/>
      <c r="L1638" s="24"/>
      <c r="M1638" s="26"/>
      <c r="N1638" s="26"/>
      <c r="O1638" s="26"/>
      <c r="P1638" s="27"/>
      <c r="Q1638" s="27"/>
      <c r="R1638" s="27"/>
      <c r="S1638" s="22"/>
      <c r="T1638" s="22"/>
      <c r="U1638" s="28"/>
    </row>
    <row r="1639" ht="15.75" customHeight="1">
      <c r="A1639" s="189"/>
      <c r="B1639" s="22"/>
      <c r="C1639" s="22"/>
      <c r="D1639" s="22"/>
      <c r="E1639" s="22"/>
      <c r="F1639" s="22"/>
      <c r="G1639" s="22"/>
      <c r="H1639" s="22"/>
      <c r="I1639" s="24"/>
      <c r="J1639" s="24"/>
      <c r="K1639" s="24"/>
      <c r="L1639" s="24"/>
      <c r="M1639" s="26"/>
      <c r="N1639" s="26"/>
      <c r="O1639" s="26"/>
      <c r="P1639" s="27"/>
      <c r="Q1639" s="27"/>
      <c r="R1639" s="27"/>
      <c r="S1639" s="22"/>
      <c r="T1639" s="22"/>
      <c r="U1639" s="28"/>
    </row>
    <row r="1640" ht="15.75" customHeight="1">
      <c r="A1640" s="189"/>
      <c r="B1640" s="22"/>
      <c r="C1640" s="22"/>
      <c r="D1640" s="22"/>
      <c r="E1640" s="22"/>
      <c r="F1640" s="22"/>
      <c r="G1640" s="22"/>
      <c r="H1640" s="22"/>
      <c r="I1640" s="24"/>
      <c r="J1640" s="24"/>
      <c r="K1640" s="24"/>
      <c r="L1640" s="24"/>
      <c r="M1640" s="26"/>
      <c r="N1640" s="26"/>
      <c r="O1640" s="26"/>
      <c r="P1640" s="27"/>
      <c r="Q1640" s="27"/>
      <c r="R1640" s="27"/>
      <c r="S1640" s="22"/>
      <c r="T1640" s="22"/>
      <c r="U1640" s="28"/>
    </row>
    <row r="1641" ht="15.75" customHeight="1">
      <c r="A1641" s="189"/>
      <c r="B1641" s="22"/>
      <c r="C1641" s="22"/>
      <c r="D1641" s="22"/>
      <c r="E1641" s="22"/>
      <c r="F1641" s="22"/>
      <c r="G1641" s="22"/>
      <c r="H1641" s="22"/>
      <c r="I1641" s="24"/>
      <c r="J1641" s="24"/>
      <c r="K1641" s="24"/>
      <c r="L1641" s="24"/>
      <c r="M1641" s="26"/>
      <c r="N1641" s="26"/>
      <c r="O1641" s="26"/>
      <c r="P1641" s="27"/>
      <c r="Q1641" s="27"/>
      <c r="R1641" s="27"/>
      <c r="S1641" s="22"/>
      <c r="T1641" s="22"/>
      <c r="U1641" s="28"/>
    </row>
    <row r="1642" ht="15.75" customHeight="1">
      <c r="A1642" s="189"/>
      <c r="B1642" s="22"/>
      <c r="C1642" s="22"/>
      <c r="D1642" s="22"/>
      <c r="E1642" s="22"/>
      <c r="F1642" s="22"/>
      <c r="G1642" s="22"/>
      <c r="H1642" s="22"/>
      <c r="I1642" s="24"/>
      <c r="J1642" s="24"/>
      <c r="K1642" s="24"/>
      <c r="L1642" s="24"/>
      <c r="M1642" s="26"/>
      <c r="N1642" s="26"/>
      <c r="O1642" s="26"/>
      <c r="P1642" s="27"/>
      <c r="Q1642" s="27"/>
      <c r="R1642" s="27"/>
      <c r="S1642" s="22"/>
      <c r="T1642" s="22"/>
      <c r="U1642" s="28"/>
    </row>
    <row r="1643" ht="15.75" customHeight="1">
      <c r="A1643" s="189"/>
      <c r="B1643" s="22"/>
      <c r="C1643" s="22"/>
      <c r="D1643" s="22"/>
      <c r="E1643" s="22"/>
      <c r="F1643" s="22"/>
      <c r="G1643" s="22"/>
      <c r="H1643" s="22"/>
      <c r="I1643" s="24"/>
      <c r="J1643" s="24"/>
      <c r="K1643" s="24"/>
      <c r="L1643" s="24"/>
      <c r="M1643" s="26"/>
      <c r="N1643" s="26"/>
      <c r="O1643" s="26"/>
      <c r="P1643" s="27"/>
      <c r="Q1643" s="27"/>
      <c r="R1643" s="27"/>
      <c r="S1643" s="22"/>
      <c r="T1643" s="22"/>
      <c r="U1643" s="28"/>
    </row>
    <row r="1644" ht="15.75" customHeight="1">
      <c r="A1644" s="189"/>
      <c r="B1644" s="22"/>
      <c r="C1644" s="22"/>
      <c r="D1644" s="22"/>
      <c r="E1644" s="22"/>
      <c r="F1644" s="22"/>
      <c r="G1644" s="22"/>
      <c r="H1644" s="22"/>
      <c r="I1644" s="24"/>
      <c r="J1644" s="24"/>
      <c r="K1644" s="24"/>
      <c r="L1644" s="24"/>
      <c r="M1644" s="26"/>
      <c r="N1644" s="26"/>
      <c r="O1644" s="26"/>
      <c r="P1644" s="27"/>
      <c r="Q1644" s="27"/>
      <c r="R1644" s="27"/>
      <c r="S1644" s="22"/>
      <c r="T1644" s="22"/>
      <c r="U1644" s="28"/>
    </row>
    <row r="1645" ht="15.75" customHeight="1">
      <c r="A1645" s="189"/>
      <c r="B1645" s="22"/>
      <c r="C1645" s="22"/>
      <c r="D1645" s="22"/>
      <c r="E1645" s="22"/>
      <c r="F1645" s="22"/>
      <c r="G1645" s="22"/>
      <c r="H1645" s="22"/>
      <c r="I1645" s="24"/>
      <c r="J1645" s="24"/>
      <c r="K1645" s="24"/>
      <c r="L1645" s="24"/>
      <c r="M1645" s="26"/>
      <c r="N1645" s="26"/>
      <c r="O1645" s="26"/>
      <c r="P1645" s="27"/>
      <c r="Q1645" s="27"/>
      <c r="R1645" s="27"/>
      <c r="S1645" s="22"/>
      <c r="T1645" s="22"/>
      <c r="U1645" s="28"/>
    </row>
    <row r="1646" ht="15.75" customHeight="1">
      <c r="A1646" s="189"/>
      <c r="B1646" s="22"/>
      <c r="C1646" s="22"/>
      <c r="D1646" s="22"/>
      <c r="E1646" s="22"/>
      <c r="F1646" s="22"/>
      <c r="G1646" s="22"/>
      <c r="H1646" s="22"/>
      <c r="I1646" s="24"/>
      <c r="J1646" s="24"/>
      <c r="K1646" s="24"/>
      <c r="L1646" s="24"/>
      <c r="M1646" s="26"/>
      <c r="N1646" s="26"/>
      <c r="O1646" s="26"/>
      <c r="P1646" s="27"/>
      <c r="Q1646" s="27"/>
      <c r="R1646" s="27"/>
      <c r="S1646" s="22"/>
      <c r="T1646" s="22"/>
      <c r="U1646" s="28"/>
    </row>
    <row r="1647" ht="15.75" customHeight="1">
      <c r="A1647" s="189"/>
      <c r="B1647" s="22"/>
      <c r="C1647" s="22"/>
      <c r="D1647" s="22"/>
      <c r="E1647" s="22"/>
      <c r="F1647" s="22"/>
      <c r="G1647" s="22"/>
      <c r="H1647" s="22"/>
      <c r="I1647" s="24"/>
      <c r="J1647" s="24"/>
      <c r="K1647" s="24"/>
      <c r="L1647" s="24"/>
      <c r="M1647" s="26"/>
      <c r="N1647" s="26"/>
      <c r="O1647" s="26"/>
      <c r="P1647" s="27"/>
      <c r="Q1647" s="27"/>
      <c r="R1647" s="27"/>
      <c r="S1647" s="22"/>
      <c r="T1647" s="22"/>
      <c r="U1647" s="28"/>
    </row>
    <row r="1648" ht="15.75" customHeight="1">
      <c r="A1648" s="189"/>
      <c r="B1648" s="22"/>
      <c r="C1648" s="22"/>
      <c r="D1648" s="22"/>
      <c r="E1648" s="22"/>
      <c r="F1648" s="22"/>
      <c r="G1648" s="22"/>
      <c r="H1648" s="22"/>
      <c r="I1648" s="24"/>
      <c r="J1648" s="24"/>
      <c r="K1648" s="24"/>
      <c r="L1648" s="24"/>
      <c r="M1648" s="26"/>
      <c r="N1648" s="26"/>
      <c r="O1648" s="26"/>
      <c r="P1648" s="27"/>
      <c r="Q1648" s="27"/>
      <c r="R1648" s="27"/>
      <c r="S1648" s="22"/>
      <c r="T1648" s="22"/>
      <c r="U1648" s="28"/>
    </row>
    <row r="1649" ht="15.75" customHeight="1">
      <c r="A1649" s="189"/>
      <c r="B1649" s="22"/>
      <c r="C1649" s="22"/>
      <c r="D1649" s="22"/>
      <c r="E1649" s="22"/>
      <c r="F1649" s="22"/>
      <c r="G1649" s="22"/>
      <c r="H1649" s="22"/>
      <c r="I1649" s="24"/>
      <c r="J1649" s="24"/>
      <c r="K1649" s="24"/>
      <c r="L1649" s="24"/>
      <c r="M1649" s="26"/>
      <c r="N1649" s="26"/>
      <c r="O1649" s="26"/>
      <c r="P1649" s="27"/>
      <c r="Q1649" s="27"/>
      <c r="R1649" s="27"/>
      <c r="S1649" s="22"/>
      <c r="T1649" s="22"/>
      <c r="U1649" s="28"/>
    </row>
    <row r="1650" ht="15.75" customHeight="1">
      <c r="A1650" s="189"/>
      <c r="B1650" s="22"/>
      <c r="C1650" s="22"/>
      <c r="D1650" s="22"/>
      <c r="E1650" s="22"/>
      <c r="F1650" s="22"/>
      <c r="G1650" s="22"/>
      <c r="H1650" s="22"/>
      <c r="I1650" s="24"/>
      <c r="J1650" s="24"/>
      <c r="K1650" s="24"/>
      <c r="L1650" s="24"/>
      <c r="M1650" s="26"/>
      <c r="N1650" s="26"/>
      <c r="O1650" s="26"/>
      <c r="P1650" s="27"/>
      <c r="Q1650" s="27"/>
      <c r="R1650" s="27"/>
      <c r="S1650" s="22"/>
      <c r="T1650" s="22"/>
      <c r="U1650" s="28"/>
    </row>
    <row r="1651" ht="15.75" customHeight="1">
      <c r="A1651" s="189"/>
      <c r="B1651" s="22"/>
      <c r="C1651" s="22"/>
      <c r="D1651" s="22"/>
      <c r="E1651" s="22"/>
      <c r="F1651" s="22"/>
      <c r="G1651" s="22"/>
      <c r="H1651" s="22"/>
      <c r="I1651" s="24"/>
      <c r="J1651" s="24"/>
      <c r="K1651" s="24"/>
      <c r="L1651" s="24"/>
      <c r="M1651" s="26"/>
      <c r="N1651" s="26"/>
      <c r="O1651" s="26"/>
      <c r="P1651" s="27"/>
      <c r="Q1651" s="27"/>
      <c r="R1651" s="27"/>
      <c r="S1651" s="22"/>
      <c r="T1651" s="22"/>
      <c r="U1651" s="28"/>
    </row>
    <row r="1652" ht="15.75" customHeight="1">
      <c r="A1652" s="189"/>
      <c r="B1652" s="22"/>
      <c r="C1652" s="22"/>
      <c r="D1652" s="22"/>
      <c r="E1652" s="22"/>
      <c r="F1652" s="22"/>
      <c r="G1652" s="22"/>
      <c r="H1652" s="22"/>
      <c r="I1652" s="24"/>
      <c r="J1652" s="24"/>
      <c r="K1652" s="24"/>
      <c r="L1652" s="24"/>
      <c r="M1652" s="26"/>
      <c r="N1652" s="26"/>
      <c r="O1652" s="26"/>
      <c r="P1652" s="27"/>
      <c r="Q1652" s="27"/>
      <c r="R1652" s="27"/>
      <c r="S1652" s="22"/>
      <c r="T1652" s="22"/>
      <c r="U1652" s="28"/>
    </row>
    <row r="1653" ht="15.75" customHeight="1">
      <c r="A1653" s="189"/>
      <c r="B1653" s="22"/>
      <c r="C1653" s="22"/>
      <c r="D1653" s="22"/>
      <c r="E1653" s="22"/>
      <c r="F1653" s="22"/>
      <c r="G1653" s="22"/>
      <c r="H1653" s="22"/>
      <c r="I1653" s="24"/>
      <c r="J1653" s="24"/>
      <c r="K1653" s="24"/>
      <c r="L1653" s="24"/>
      <c r="M1653" s="26"/>
      <c r="N1653" s="26"/>
      <c r="O1653" s="26"/>
      <c r="P1653" s="27"/>
      <c r="Q1653" s="27"/>
      <c r="R1653" s="27"/>
      <c r="S1653" s="22"/>
      <c r="T1653" s="22"/>
      <c r="U1653" s="28"/>
    </row>
    <row r="1654" ht="15.75" customHeight="1">
      <c r="A1654" s="189"/>
      <c r="B1654" s="22"/>
      <c r="C1654" s="22"/>
      <c r="D1654" s="22"/>
      <c r="E1654" s="22"/>
      <c r="F1654" s="22"/>
      <c r="G1654" s="22"/>
      <c r="H1654" s="22"/>
      <c r="I1654" s="24"/>
      <c r="J1654" s="24"/>
      <c r="K1654" s="24"/>
      <c r="L1654" s="24"/>
      <c r="M1654" s="26"/>
      <c r="N1654" s="26"/>
      <c r="O1654" s="26"/>
      <c r="P1654" s="27"/>
      <c r="Q1654" s="27"/>
      <c r="R1654" s="27"/>
      <c r="S1654" s="22"/>
      <c r="T1654" s="22"/>
      <c r="U1654" s="28"/>
    </row>
    <row r="1655" ht="15.75" customHeight="1">
      <c r="A1655" s="189"/>
      <c r="B1655" s="22"/>
      <c r="C1655" s="22"/>
      <c r="D1655" s="22"/>
      <c r="E1655" s="22"/>
      <c r="F1655" s="22"/>
      <c r="G1655" s="22"/>
      <c r="H1655" s="22"/>
      <c r="I1655" s="24"/>
      <c r="J1655" s="24"/>
      <c r="K1655" s="24"/>
      <c r="L1655" s="24"/>
      <c r="M1655" s="26"/>
      <c r="N1655" s="26"/>
      <c r="O1655" s="26"/>
      <c r="P1655" s="27"/>
      <c r="Q1655" s="27"/>
      <c r="R1655" s="27"/>
      <c r="S1655" s="22"/>
      <c r="T1655" s="22"/>
      <c r="U1655" s="28"/>
    </row>
    <row r="1656" ht="15.75" customHeight="1">
      <c r="A1656" s="189"/>
      <c r="B1656" s="22"/>
      <c r="C1656" s="22"/>
      <c r="D1656" s="22"/>
      <c r="E1656" s="22"/>
      <c r="F1656" s="22"/>
      <c r="G1656" s="22"/>
      <c r="H1656" s="22"/>
      <c r="I1656" s="24"/>
      <c r="J1656" s="24"/>
      <c r="K1656" s="24"/>
      <c r="L1656" s="24"/>
      <c r="M1656" s="26"/>
      <c r="N1656" s="26"/>
      <c r="O1656" s="26"/>
      <c r="P1656" s="27"/>
      <c r="Q1656" s="27"/>
      <c r="R1656" s="27"/>
      <c r="S1656" s="22"/>
      <c r="T1656" s="22"/>
      <c r="U1656" s="28"/>
    </row>
    <row r="1657" ht="15.75" customHeight="1">
      <c r="A1657" s="189"/>
      <c r="B1657" s="22"/>
      <c r="C1657" s="22"/>
      <c r="D1657" s="22"/>
      <c r="E1657" s="22"/>
      <c r="F1657" s="22"/>
      <c r="G1657" s="22"/>
      <c r="H1657" s="22"/>
      <c r="I1657" s="24"/>
      <c r="J1657" s="24"/>
      <c r="K1657" s="24"/>
      <c r="L1657" s="24"/>
      <c r="M1657" s="26"/>
      <c r="N1657" s="26"/>
      <c r="O1657" s="26"/>
      <c r="P1657" s="27"/>
      <c r="Q1657" s="27"/>
      <c r="R1657" s="27"/>
      <c r="S1657" s="22"/>
      <c r="T1657" s="22"/>
      <c r="U1657" s="28"/>
    </row>
    <row r="1658" ht="15.75" customHeight="1">
      <c r="A1658" s="189"/>
      <c r="B1658" s="22"/>
      <c r="C1658" s="22"/>
      <c r="D1658" s="22"/>
      <c r="E1658" s="22"/>
      <c r="F1658" s="22"/>
      <c r="G1658" s="22"/>
      <c r="H1658" s="22"/>
      <c r="I1658" s="24"/>
      <c r="J1658" s="24"/>
      <c r="K1658" s="24"/>
      <c r="L1658" s="24"/>
      <c r="M1658" s="26"/>
      <c r="N1658" s="26"/>
      <c r="O1658" s="26"/>
      <c r="P1658" s="27"/>
      <c r="Q1658" s="27"/>
      <c r="R1658" s="27"/>
      <c r="S1658" s="22"/>
      <c r="T1658" s="22"/>
      <c r="U1658" s="28"/>
    </row>
    <row r="1659" ht="15.75" customHeight="1">
      <c r="A1659" s="189"/>
      <c r="B1659" s="22"/>
      <c r="C1659" s="22"/>
      <c r="D1659" s="22"/>
      <c r="E1659" s="22"/>
      <c r="F1659" s="22"/>
      <c r="G1659" s="22"/>
      <c r="H1659" s="22"/>
      <c r="I1659" s="24"/>
      <c r="J1659" s="24"/>
      <c r="K1659" s="24"/>
      <c r="L1659" s="24"/>
      <c r="M1659" s="26"/>
      <c r="N1659" s="26"/>
      <c r="O1659" s="26"/>
      <c r="P1659" s="27"/>
      <c r="Q1659" s="27"/>
      <c r="R1659" s="27"/>
      <c r="S1659" s="22"/>
      <c r="T1659" s="22"/>
      <c r="U1659" s="28"/>
    </row>
    <row r="1660" ht="15.75" customHeight="1">
      <c r="A1660" s="189"/>
      <c r="B1660" s="22"/>
      <c r="C1660" s="22"/>
      <c r="D1660" s="22"/>
      <c r="E1660" s="22"/>
      <c r="F1660" s="22"/>
      <c r="G1660" s="22"/>
      <c r="H1660" s="22"/>
      <c r="I1660" s="24"/>
      <c r="J1660" s="24"/>
      <c r="K1660" s="24"/>
      <c r="L1660" s="24"/>
      <c r="M1660" s="26"/>
      <c r="N1660" s="26"/>
      <c r="O1660" s="26"/>
      <c r="P1660" s="27"/>
      <c r="Q1660" s="27"/>
      <c r="R1660" s="27"/>
      <c r="S1660" s="22"/>
      <c r="T1660" s="22"/>
      <c r="U1660" s="28"/>
    </row>
    <row r="1661" ht="15.75" customHeight="1">
      <c r="A1661" s="189"/>
      <c r="B1661" s="22"/>
      <c r="C1661" s="22"/>
      <c r="D1661" s="22"/>
      <c r="E1661" s="22"/>
      <c r="F1661" s="22"/>
      <c r="G1661" s="22"/>
      <c r="H1661" s="22"/>
      <c r="I1661" s="24"/>
      <c r="J1661" s="24"/>
      <c r="K1661" s="24"/>
      <c r="L1661" s="24"/>
      <c r="M1661" s="26"/>
      <c r="N1661" s="26"/>
      <c r="O1661" s="26"/>
      <c r="P1661" s="27"/>
      <c r="Q1661" s="27"/>
      <c r="R1661" s="27"/>
      <c r="S1661" s="22"/>
      <c r="T1661" s="22"/>
      <c r="U1661" s="28"/>
    </row>
    <row r="1662" ht="15.75" customHeight="1">
      <c r="A1662" s="189"/>
      <c r="B1662" s="22"/>
      <c r="C1662" s="22"/>
      <c r="D1662" s="22"/>
      <c r="E1662" s="22"/>
      <c r="F1662" s="22"/>
      <c r="G1662" s="22"/>
      <c r="H1662" s="22"/>
      <c r="I1662" s="24"/>
      <c r="J1662" s="24"/>
      <c r="K1662" s="24"/>
      <c r="L1662" s="24"/>
      <c r="M1662" s="26"/>
      <c r="N1662" s="26"/>
      <c r="O1662" s="26"/>
      <c r="P1662" s="27"/>
      <c r="Q1662" s="27"/>
      <c r="R1662" s="27"/>
      <c r="S1662" s="22"/>
      <c r="T1662" s="22"/>
      <c r="U1662" s="28"/>
    </row>
    <row r="1663" ht="15.75" customHeight="1">
      <c r="A1663" s="189"/>
      <c r="B1663" s="22"/>
      <c r="C1663" s="22"/>
      <c r="D1663" s="22"/>
      <c r="E1663" s="22"/>
      <c r="F1663" s="22"/>
      <c r="G1663" s="22"/>
      <c r="H1663" s="22"/>
      <c r="I1663" s="24"/>
      <c r="J1663" s="24"/>
      <c r="K1663" s="24"/>
      <c r="L1663" s="24"/>
      <c r="M1663" s="26"/>
      <c r="N1663" s="26"/>
      <c r="O1663" s="26"/>
      <c r="P1663" s="27"/>
      <c r="Q1663" s="27"/>
      <c r="R1663" s="27"/>
      <c r="S1663" s="22"/>
      <c r="T1663" s="22"/>
      <c r="U1663" s="28"/>
    </row>
    <row r="1664" ht="15.75" customHeight="1">
      <c r="A1664" s="189"/>
      <c r="B1664" s="22"/>
      <c r="C1664" s="22"/>
      <c r="D1664" s="22"/>
      <c r="E1664" s="22"/>
      <c r="F1664" s="22"/>
      <c r="G1664" s="22"/>
      <c r="H1664" s="22"/>
      <c r="I1664" s="24"/>
      <c r="J1664" s="24"/>
      <c r="K1664" s="24"/>
      <c r="L1664" s="24"/>
      <c r="M1664" s="26"/>
      <c r="N1664" s="26"/>
      <c r="O1664" s="26"/>
      <c r="P1664" s="27"/>
      <c r="Q1664" s="27"/>
      <c r="R1664" s="27"/>
      <c r="S1664" s="22"/>
      <c r="T1664" s="22"/>
      <c r="U1664" s="28"/>
    </row>
    <row r="1665" ht="15.75" customHeight="1">
      <c r="A1665" s="189"/>
      <c r="B1665" s="22"/>
      <c r="C1665" s="22"/>
      <c r="D1665" s="22"/>
      <c r="E1665" s="22"/>
      <c r="F1665" s="22"/>
      <c r="G1665" s="22"/>
      <c r="H1665" s="22"/>
      <c r="I1665" s="24"/>
      <c r="J1665" s="24"/>
      <c r="K1665" s="24"/>
      <c r="L1665" s="24"/>
      <c r="M1665" s="26"/>
      <c r="N1665" s="26"/>
      <c r="O1665" s="26"/>
      <c r="P1665" s="27"/>
      <c r="Q1665" s="27"/>
      <c r="R1665" s="27"/>
      <c r="S1665" s="22"/>
      <c r="T1665" s="22"/>
      <c r="U1665" s="28"/>
    </row>
    <row r="1666" ht="15.75" customHeight="1">
      <c r="A1666" s="189"/>
      <c r="B1666" s="22"/>
      <c r="C1666" s="22"/>
      <c r="D1666" s="22"/>
      <c r="E1666" s="22"/>
      <c r="F1666" s="22"/>
      <c r="G1666" s="22"/>
      <c r="H1666" s="22"/>
      <c r="I1666" s="24"/>
      <c r="J1666" s="24"/>
      <c r="K1666" s="24"/>
      <c r="L1666" s="24"/>
      <c r="M1666" s="26"/>
      <c r="N1666" s="26"/>
      <c r="O1666" s="26"/>
      <c r="P1666" s="27"/>
      <c r="Q1666" s="27"/>
      <c r="R1666" s="27"/>
      <c r="S1666" s="22"/>
      <c r="T1666" s="22"/>
      <c r="U1666" s="28"/>
    </row>
    <row r="1667" ht="15.75" customHeight="1">
      <c r="A1667" s="189"/>
      <c r="B1667" s="22"/>
      <c r="C1667" s="22"/>
      <c r="D1667" s="22"/>
      <c r="E1667" s="22"/>
      <c r="F1667" s="22"/>
      <c r="G1667" s="22"/>
      <c r="H1667" s="22"/>
      <c r="I1667" s="24"/>
      <c r="J1667" s="24"/>
      <c r="K1667" s="24"/>
      <c r="L1667" s="24"/>
      <c r="M1667" s="26"/>
      <c r="N1667" s="26"/>
      <c r="O1667" s="26"/>
      <c r="P1667" s="27"/>
      <c r="Q1667" s="27"/>
      <c r="R1667" s="27"/>
      <c r="S1667" s="22"/>
      <c r="T1667" s="22"/>
      <c r="U1667" s="28"/>
    </row>
    <row r="1668" ht="15.75" customHeight="1">
      <c r="A1668" s="189"/>
      <c r="B1668" s="22"/>
      <c r="C1668" s="22"/>
      <c r="D1668" s="22"/>
      <c r="E1668" s="22"/>
      <c r="F1668" s="22"/>
      <c r="G1668" s="22"/>
      <c r="H1668" s="22"/>
      <c r="I1668" s="24"/>
      <c r="J1668" s="24"/>
      <c r="K1668" s="24"/>
      <c r="L1668" s="24"/>
      <c r="M1668" s="26"/>
      <c r="N1668" s="26"/>
      <c r="O1668" s="26"/>
      <c r="P1668" s="27"/>
      <c r="Q1668" s="27"/>
      <c r="R1668" s="27"/>
      <c r="S1668" s="22"/>
      <c r="T1668" s="22"/>
      <c r="U1668" s="28"/>
    </row>
    <row r="1669" ht="15.75" customHeight="1">
      <c r="A1669" s="189"/>
      <c r="B1669" s="22"/>
      <c r="C1669" s="22"/>
      <c r="D1669" s="22"/>
      <c r="E1669" s="22"/>
      <c r="F1669" s="22"/>
      <c r="G1669" s="22"/>
      <c r="H1669" s="22"/>
      <c r="I1669" s="24"/>
      <c r="J1669" s="24"/>
      <c r="K1669" s="24"/>
      <c r="L1669" s="24"/>
      <c r="M1669" s="26"/>
      <c r="N1669" s="26"/>
      <c r="O1669" s="26"/>
      <c r="P1669" s="27"/>
      <c r="Q1669" s="27"/>
      <c r="R1669" s="27"/>
      <c r="S1669" s="22"/>
      <c r="T1669" s="22"/>
      <c r="U1669" s="28"/>
    </row>
    <row r="1670" ht="15.75" customHeight="1">
      <c r="A1670" s="189"/>
      <c r="B1670" s="22"/>
      <c r="C1670" s="22"/>
      <c r="D1670" s="22"/>
      <c r="E1670" s="22"/>
      <c r="F1670" s="22"/>
      <c r="G1670" s="22"/>
      <c r="H1670" s="22"/>
      <c r="I1670" s="24"/>
      <c r="J1670" s="24"/>
      <c r="K1670" s="24"/>
      <c r="L1670" s="24"/>
      <c r="M1670" s="26"/>
      <c r="N1670" s="26"/>
      <c r="O1670" s="26"/>
      <c r="P1670" s="27"/>
      <c r="Q1670" s="27"/>
      <c r="R1670" s="27"/>
      <c r="S1670" s="22"/>
      <c r="T1670" s="22"/>
      <c r="U1670" s="28"/>
    </row>
    <row r="1671" ht="15.75" customHeight="1">
      <c r="A1671" s="189"/>
      <c r="B1671" s="22"/>
      <c r="C1671" s="22"/>
      <c r="D1671" s="22"/>
      <c r="E1671" s="22"/>
      <c r="F1671" s="22"/>
      <c r="G1671" s="22"/>
      <c r="H1671" s="22"/>
      <c r="I1671" s="24"/>
      <c r="J1671" s="24"/>
      <c r="K1671" s="24"/>
      <c r="L1671" s="24"/>
      <c r="M1671" s="26"/>
      <c r="N1671" s="26"/>
      <c r="O1671" s="26"/>
      <c r="P1671" s="27"/>
      <c r="Q1671" s="27"/>
      <c r="R1671" s="27"/>
      <c r="S1671" s="22"/>
      <c r="T1671" s="22"/>
      <c r="U1671" s="28"/>
    </row>
    <row r="1672" ht="15.75" customHeight="1">
      <c r="A1672" s="189"/>
      <c r="B1672" s="22"/>
      <c r="C1672" s="22"/>
      <c r="D1672" s="22"/>
      <c r="E1672" s="22"/>
      <c r="F1672" s="22"/>
      <c r="G1672" s="22"/>
      <c r="H1672" s="22"/>
      <c r="I1672" s="24"/>
      <c r="J1672" s="24"/>
      <c r="K1672" s="24"/>
      <c r="L1672" s="24"/>
      <c r="M1672" s="26"/>
      <c r="N1672" s="26"/>
      <c r="O1672" s="26"/>
      <c r="P1672" s="27"/>
      <c r="Q1672" s="27"/>
      <c r="R1672" s="27"/>
      <c r="S1672" s="22"/>
      <c r="T1672" s="22"/>
      <c r="U1672" s="28"/>
    </row>
    <row r="1673" ht="15.75" customHeight="1">
      <c r="A1673" s="189"/>
      <c r="B1673" s="22"/>
      <c r="C1673" s="22"/>
      <c r="D1673" s="22"/>
      <c r="E1673" s="22"/>
      <c r="F1673" s="22"/>
      <c r="G1673" s="22"/>
      <c r="H1673" s="22"/>
      <c r="I1673" s="24"/>
      <c r="J1673" s="24"/>
      <c r="K1673" s="24"/>
      <c r="L1673" s="24"/>
      <c r="M1673" s="26"/>
      <c r="N1673" s="26"/>
      <c r="O1673" s="26"/>
      <c r="P1673" s="27"/>
      <c r="Q1673" s="27"/>
      <c r="R1673" s="27"/>
      <c r="S1673" s="22"/>
      <c r="T1673" s="22"/>
      <c r="U1673" s="28"/>
    </row>
    <row r="1674" ht="15.75" customHeight="1">
      <c r="A1674" s="189"/>
      <c r="B1674" s="22"/>
      <c r="C1674" s="22"/>
      <c r="D1674" s="22"/>
      <c r="E1674" s="22"/>
      <c r="F1674" s="22"/>
      <c r="G1674" s="22"/>
      <c r="H1674" s="22"/>
      <c r="I1674" s="24"/>
      <c r="J1674" s="24"/>
      <c r="K1674" s="24"/>
      <c r="L1674" s="24"/>
      <c r="M1674" s="26"/>
      <c r="N1674" s="26"/>
      <c r="O1674" s="26"/>
      <c r="P1674" s="27"/>
      <c r="Q1674" s="27"/>
      <c r="R1674" s="27"/>
      <c r="S1674" s="22"/>
      <c r="T1674" s="22"/>
      <c r="U1674" s="28"/>
    </row>
    <row r="1675" ht="15.75" customHeight="1">
      <c r="A1675" s="189"/>
      <c r="B1675" s="22"/>
      <c r="C1675" s="22"/>
      <c r="D1675" s="22"/>
      <c r="E1675" s="22"/>
      <c r="F1675" s="22"/>
      <c r="G1675" s="22"/>
      <c r="H1675" s="22"/>
      <c r="I1675" s="24"/>
      <c r="J1675" s="24"/>
      <c r="K1675" s="24"/>
      <c r="L1675" s="24"/>
      <c r="M1675" s="26"/>
      <c r="N1675" s="26"/>
      <c r="O1675" s="26"/>
      <c r="P1675" s="27"/>
      <c r="Q1675" s="27"/>
      <c r="R1675" s="27"/>
      <c r="S1675" s="22"/>
      <c r="T1675" s="22"/>
      <c r="U1675" s="28"/>
    </row>
    <row r="1676" ht="15.75" customHeight="1">
      <c r="A1676" s="189"/>
      <c r="B1676" s="22"/>
      <c r="C1676" s="22"/>
      <c r="D1676" s="22"/>
      <c r="E1676" s="22"/>
      <c r="F1676" s="22"/>
      <c r="G1676" s="22"/>
      <c r="H1676" s="22"/>
      <c r="I1676" s="24"/>
      <c r="J1676" s="24"/>
      <c r="K1676" s="24"/>
      <c r="L1676" s="24"/>
      <c r="M1676" s="26"/>
      <c r="N1676" s="26"/>
      <c r="O1676" s="26"/>
      <c r="P1676" s="27"/>
      <c r="Q1676" s="27"/>
      <c r="R1676" s="27"/>
      <c r="S1676" s="22"/>
      <c r="T1676" s="22"/>
      <c r="U1676" s="28"/>
    </row>
    <row r="1677" ht="15.75" customHeight="1">
      <c r="A1677" s="189"/>
      <c r="B1677" s="22"/>
      <c r="C1677" s="22"/>
      <c r="D1677" s="22"/>
      <c r="E1677" s="22"/>
      <c r="F1677" s="22"/>
      <c r="G1677" s="22"/>
      <c r="H1677" s="22"/>
      <c r="I1677" s="24"/>
      <c r="J1677" s="24"/>
      <c r="K1677" s="24"/>
      <c r="L1677" s="24"/>
      <c r="M1677" s="26"/>
      <c r="N1677" s="26"/>
      <c r="O1677" s="26"/>
      <c r="P1677" s="27"/>
      <c r="Q1677" s="27"/>
      <c r="R1677" s="27"/>
      <c r="S1677" s="22"/>
      <c r="T1677" s="22"/>
      <c r="U1677" s="28"/>
    </row>
    <row r="1678" ht="15.75" customHeight="1">
      <c r="A1678" s="189"/>
      <c r="B1678" s="22"/>
      <c r="C1678" s="22"/>
      <c r="D1678" s="22"/>
      <c r="E1678" s="22"/>
      <c r="F1678" s="22"/>
      <c r="G1678" s="22"/>
      <c r="H1678" s="22"/>
      <c r="I1678" s="24"/>
      <c r="J1678" s="24"/>
      <c r="K1678" s="24"/>
      <c r="L1678" s="24"/>
      <c r="M1678" s="26"/>
      <c r="N1678" s="26"/>
      <c r="O1678" s="26"/>
      <c r="P1678" s="27"/>
      <c r="Q1678" s="27"/>
      <c r="R1678" s="27"/>
      <c r="S1678" s="22"/>
      <c r="T1678" s="22"/>
      <c r="U1678" s="28"/>
    </row>
    <row r="1679" ht="15.75" customHeight="1">
      <c r="A1679" s="189"/>
      <c r="B1679" s="22"/>
      <c r="C1679" s="22"/>
      <c r="D1679" s="22"/>
      <c r="E1679" s="22"/>
      <c r="F1679" s="22"/>
      <c r="G1679" s="22"/>
      <c r="H1679" s="22"/>
      <c r="I1679" s="24"/>
      <c r="J1679" s="24"/>
      <c r="K1679" s="24"/>
      <c r="L1679" s="24"/>
      <c r="M1679" s="26"/>
      <c r="N1679" s="26"/>
      <c r="O1679" s="26"/>
      <c r="P1679" s="27"/>
      <c r="Q1679" s="27"/>
      <c r="R1679" s="27"/>
      <c r="S1679" s="22"/>
      <c r="T1679" s="22"/>
      <c r="U1679" s="28"/>
    </row>
    <row r="1680" ht="15.75" customHeight="1">
      <c r="A1680" s="189"/>
      <c r="B1680" s="22"/>
      <c r="C1680" s="22"/>
      <c r="D1680" s="22"/>
      <c r="E1680" s="22"/>
      <c r="F1680" s="22"/>
      <c r="G1680" s="22"/>
      <c r="H1680" s="22"/>
      <c r="I1680" s="24"/>
      <c r="J1680" s="24"/>
      <c r="K1680" s="24"/>
      <c r="L1680" s="24"/>
      <c r="M1680" s="26"/>
      <c r="N1680" s="26"/>
      <c r="O1680" s="26"/>
      <c r="P1680" s="27"/>
      <c r="Q1680" s="27"/>
      <c r="R1680" s="27"/>
      <c r="S1680" s="22"/>
      <c r="T1680" s="22"/>
      <c r="U1680" s="28"/>
    </row>
    <row r="1681" ht="15.75" customHeight="1">
      <c r="A1681" s="189"/>
      <c r="B1681" s="22"/>
      <c r="C1681" s="22"/>
      <c r="D1681" s="22"/>
      <c r="E1681" s="22"/>
      <c r="F1681" s="22"/>
      <c r="G1681" s="22"/>
      <c r="H1681" s="22"/>
      <c r="I1681" s="24"/>
      <c r="J1681" s="24"/>
      <c r="K1681" s="24"/>
      <c r="L1681" s="24"/>
      <c r="M1681" s="26"/>
      <c r="N1681" s="26"/>
      <c r="O1681" s="26"/>
      <c r="P1681" s="27"/>
      <c r="Q1681" s="27"/>
      <c r="R1681" s="27"/>
      <c r="S1681" s="22"/>
      <c r="T1681" s="22"/>
      <c r="U1681" s="28"/>
    </row>
    <row r="1682" ht="15.75" customHeight="1">
      <c r="A1682" s="189"/>
      <c r="B1682" s="22"/>
      <c r="C1682" s="22"/>
      <c r="D1682" s="22"/>
      <c r="E1682" s="22"/>
      <c r="F1682" s="22"/>
      <c r="G1682" s="22"/>
      <c r="H1682" s="22"/>
      <c r="I1682" s="24"/>
      <c r="J1682" s="24"/>
      <c r="K1682" s="24"/>
      <c r="L1682" s="24"/>
      <c r="M1682" s="26"/>
      <c r="N1682" s="26"/>
      <c r="O1682" s="26"/>
      <c r="P1682" s="27"/>
      <c r="Q1682" s="27"/>
      <c r="R1682" s="27"/>
      <c r="S1682" s="22"/>
      <c r="T1682" s="22"/>
      <c r="U1682" s="28"/>
    </row>
    <row r="1683" ht="15.75" customHeight="1">
      <c r="A1683" s="189"/>
      <c r="B1683" s="22"/>
      <c r="C1683" s="22"/>
      <c r="D1683" s="22"/>
      <c r="E1683" s="22"/>
      <c r="F1683" s="22"/>
      <c r="G1683" s="22"/>
      <c r="H1683" s="22"/>
      <c r="I1683" s="24"/>
      <c r="J1683" s="24"/>
      <c r="K1683" s="24"/>
      <c r="L1683" s="24"/>
      <c r="M1683" s="26"/>
      <c r="N1683" s="26"/>
      <c r="O1683" s="26"/>
      <c r="P1683" s="27"/>
      <c r="Q1683" s="27"/>
      <c r="R1683" s="27"/>
      <c r="S1683" s="22"/>
      <c r="T1683" s="22"/>
      <c r="U1683" s="28"/>
    </row>
    <row r="1684" ht="15.75" customHeight="1">
      <c r="A1684" s="189"/>
      <c r="B1684" s="22"/>
      <c r="C1684" s="22"/>
      <c r="D1684" s="22"/>
      <c r="E1684" s="22"/>
      <c r="F1684" s="22"/>
      <c r="G1684" s="22"/>
      <c r="H1684" s="22"/>
      <c r="I1684" s="24"/>
      <c r="J1684" s="24"/>
      <c r="K1684" s="24"/>
      <c r="L1684" s="24"/>
      <c r="M1684" s="26"/>
      <c r="N1684" s="26"/>
      <c r="O1684" s="26"/>
      <c r="P1684" s="27"/>
      <c r="Q1684" s="27"/>
      <c r="R1684" s="27"/>
      <c r="S1684" s="22"/>
      <c r="T1684" s="22"/>
      <c r="U1684" s="28"/>
    </row>
    <row r="1685" ht="15.75" customHeight="1">
      <c r="A1685" s="189"/>
      <c r="B1685" s="22"/>
      <c r="C1685" s="22"/>
      <c r="D1685" s="22"/>
      <c r="E1685" s="22"/>
      <c r="F1685" s="22"/>
      <c r="G1685" s="22"/>
      <c r="H1685" s="22"/>
      <c r="I1685" s="24"/>
      <c r="J1685" s="24"/>
      <c r="K1685" s="24"/>
      <c r="L1685" s="24"/>
      <c r="M1685" s="26"/>
      <c r="N1685" s="26"/>
      <c r="O1685" s="26"/>
      <c r="P1685" s="27"/>
      <c r="Q1685" s="27"/>
      <c r="R1685" s="27"/>
      <c r="S1685" s="22"/>
      <c r="T1685" s="22"/>
      <c r="U1685" s="28"/>
    </row>
    <row r="1686" ht="15.75" customHeight="1">
      <c r="A1686" s="189"/>
      <c r="B1686" s="22"/>
      <c r="C1686" s="22"/>
      <c r="D1686" s="22"/>
      <c r="E1686" s="22"/>
      <c r="F1686" s="22"/>
      <c r="G1686" s="22"/>
      <c r="H1686" s="22"/>
      <c r="I1686" s="24"/>
      <c r="J1686" s="24"/>
      <c r="K1686" s="24"/>
      <c r="L1686" s="24"/>
      <c r="M1686" s="26"/>
      <c r="N1686" s="26"/>
      <c r="O1686" s="26"/>
      <c r="P1686" s="27"/>
      <c r="Q1686" s="27"/>
      <c r="R1686" s="27"/>
      <c r="S1686" s="22"/>
      <c r="T1686" s="22"/>
      <c r="U1686" s="28"/>
    </row>
    <row r="1687" ht="15.75" customHeight="1">
      <c r="A1687" s="189"/>
      <c r="B1687" s="22"/>
      <c r="C1687" s="22"/>
      <c r="D1687" s="22"/>
      <c r="E1687" s="22"/>
      <c r="F1687" s="22"/>
      <c r="G1687" s="22"/>
      <c r="H1687" s="22"/>
      <c r="I1687" s="24"/>
      <c r="J1687" s="24"/>
      <c r="K1687" s="24"/>
      <c r="L1687" s="24"/>
      <c r="M1687" s="26"/>
      <c r="N1687" s="26"/>
      <c r="O1687" s="26"/>
      <c r="P1687" s="27"/>
      <c r="Q1687" s="27"/>
      <c r="R1687" s="27"/>
      <c r="S1687" s="22"/>
      <c r="T1687" s="22"/>
      <c r="U1687" s="28"/>
    </row>
    <row r="1688" ht="15.75" customHeight="1">
      <c r="A1688" s="189"/>
      <c r="B1688" s="22"/>
      <c r="C1688" s="22"/>
      <c r="D1688" s="22"/>
      <c r="E1688" s="22"/>
      <c r="F1688" s="22"/>
      <c r="G1688" s="22"/>
      <c r="H1688" s="22"/>
      <c r="I1688" s="24"/>
      <c r="J1688" s="24"/>
      <c r="K1688" s="24"/>
      <c r="L1688" s="24"/>
      <c r="M1688" s="26"/>
      <c r="N1688" s="26"/>
      <c r="O1688" s="26"/>
      <c r="P1688" s="27"/>
      <c r="Q1688" s="27"/>
      <c r="R1688" s="27"/>
      <c r="S1688" s="22"/>
      <c r="T1688" s="22"/>
      <c r="U1688" s="28"/>
    </row>
    <row r="1689" ht="15.75" customHeight="1">
      <c r="A1689" s="189"/>
      <c r="B1689" s="22"/>
      <c r="C1689" s="22"/>
      <c r="D1689" s="22"/>
      <c r="E1689" s="22"/>
      <c r="F1689" s="22"/>
      <c r="G1689" s="22"/>
      <c r="H1689" s="22"/>
      <c r="I1689" s="24"/>
      <c r="J1689" s="24"/>
      <c r="K1689" s="24"/>
      <c r="L1689" s="24"/>
      <c r="M1689" s="26"/>
      <c r="N1689" s="26"/>
      <c r="O1689" s="26"/>
      <c r="P1689" s="27"/>
      <c r="Q1689" s="27"/>
      <c r="R1689" s="27"/>
      <c r="S1689" s="22"/>
      <c r="T1689" s="22"/>
      <c r="U1689" s="28"/>
    </row>
    <row r="1690" ht="15.75" customHeight="1">
      <c r="A1690" s="189"/>
      <c r="B1690" s="22"/>
      <c r="C1690" s="22"/>
      <c r="D1690" s="22"/>
      <c r="E1690" s="22"/>
      <c r="F1690" s="22"/>
      <c r="G1690" s="22"/>
      <c r="H1690" s="22"/>
      <c r="I1690" s="24"/>
      <c r="J1690" s="24"/>
      <c r="K1690" s="24"/>
      <c r="L1690" s="24"/>
      <c r="M1690" s="26"/>
      <c r="N1690" s="26"/>
      <c r="O1690" s="26"/>
      <c r="P1690" s="27"/>
      <c r="Q1690" s="27"/>
      <c r="R1690" s="27"/>
      <c r="S1690" s="22"/>
      <c r="T1690" s="22"/>
      <c r="U1690" s="28"/>
    </row>
    <row r="1691" ht="15.75" customHeight="1">
      <c r="A1691" s="189"/>
      <c r="B1691" s="22"/>
      <c r="C1691" s="22"/>
      <c r="D1691" s="22"/>
      <c r="E1691" s="22"/>
      <c r="F1691" s="22"/>
      <c r="G1691" s="22"/>
      <c r="H1691" s="22"/>
      <c r="I1691" s="24"/>
      <c r="J1691" s="24"/>
      <c r="K1691" s="24"/>
      <c r="L1691" s="24"/>
      <c r="M1691" s="26"/>
      <c r="N1691" s="26"/>
      <c r="O1691" s="26"/>
      <c r="P1691" s="27"/>
      <c r="Q1691" s="27"/>
      <c r="R1691" s="27"/>
      <c r="S1691" s="22"/>
      <c r="T1691" s="22"/>
      <c r="U1691" s="28"/>
    </row>
    <row r="1692" ht="15.75" customHeight="1">
      <c r="A1692" s="189"/>
      <c r="B1692" s="22"/>
      <c r="C1692" s="22"/>
      <c r="D1692" s="22"/>
      <c r="E1692" s="22"/>
      <c r="F1692" s="22"/>
      <c r="G1692" s="22"/>
      <c r="H1692" s="22"/>
      <c r="I1692" s="24"/>
      <c r="J1692" s="24"/>
      <c r="K1692" s="24"/>
      <c r="L1692" s="24"/>
      <c r="M1692" s="26"/>
      <c r="N1692" s="26"/>
      <c r="O1692" s="26"/>
      <c r="P1692" s="27"/>
      <c r="Q1692" s="27"/>
      <c r="R1692" s="27"/>
      <c r="S1692" s="22"/>
      <c r="T1692" s="22"/>
      <c r="U1692" s="28"/>
    </row>
    <row r="1693" ht="15.75" customHeight="1">
      <c r="A1693" s="189"/>
      <c r="B1693" s="22"/>
      <c r="C1693" s="22"/>
      <c r="D1693" s="22"/>
      <c r="E1693" s="22"/>
      <c r="F1693" s="22"/>
      <c r="G1693" s="22"/>
      <c r="H1693" s="22"/>
      <c r="I1693" s="24"/>
      <c r="J1693" s="24"/>
      <c r="K1693" s="24"/>
      <c r="L1693" s="24"/>
      <c r="M1693" s="26"/>
      <c r="N1693" s="26"/>
      <c r="O1693" s="26"/>
      <c r="P1693" s="27"/>
      <c r="Q1693" s="27"/>
      <c r="R1693" s="27"/>
      <c r="S1693" s="22"/>
      <c r="T1693" s="22"/>
      <c r="U1693" s="28"/>
    </row>
    <row r="1694" ht="15.75" customHeight="1">
      <c r="A1694" s="189"/>
      <c r="B1694" s="22"/>
      <c r="C1694" s="22"/>
      <c r="D1694" s="22"/>
      <c r="E1694" s="22"/>
      <c r="F1694" s="22"/>
      <c r="G1694" s="22"/>
      <c r="H1694" s="22"/>
      <c r="I1694" s="24"/>
      <c r="J1694" s="24"/>
      <c r="K1694" s="24"/>
      <c r="L1694" s="24"/>
      <c r="M1694" s="26"/>
      <c r="N1694" s="26"/>
      <c r="O1694" s="26"/>
      <c r="P1694" s="27"/>
      <c r="Q1694" s="27"/>
      <c r="R1694" s="27"/>
      <c r="S1694" s="22"/>
      <c r="T1694" s="22"/>
      <c r="U1694" s="28"/>
    </row>
    <row r="1695" ht="15.75" customHeight="1">
      <c r="A1695" s="189"/>
      <c r="B1695" s="22"/>
      <c r="C1695" s="22"/>
      <c r="D1695" s="22"/>
      <c r="E1695" s="22"/>
      <c r="F1695" s="22"/>
      <c r="G1695" s="22"/>
      <c r="H1695" s="22"/>
      <c r="I1695" s="24"/>
      <c r="J1695" s="24"/>
      <c r="K1695" s="24"/>
      <c r="L1695" s="24"/>
      <c r="M1695" s="26"/>
      <c r="N1695" s="26"/>
      <c r="O1695" s="26"/>
      <c r="P1695" s="27"/>
      <c r="Q1695" s="27"/>
      <c r="R1695" s="27"/>
      <c r="S1695" s="22"/>
      <c r="T1695" s="22"/>
      <c r="U1695" s="28"/>
    </row>
    <row r="1696" ht="15.75" customHeight="1">
      <c r="A1696" s="189"/>
      <c r="B1696" s="22"/>
      <c r="C1696" s="22"/>
      <c r="D1696" s="22"/>
      <c r="E1696" s="22"/>
      <c r="F1696" s="22"/>
      <c r="G1696" s="22"/>
      <c r="H1696" s="22"/>
      <c r="I1696" s="24"/>
      <c r="J1696" s="24"/>
      <c r="K1696" s="24"/>
      <c r="L1696" s="24"/>
      <c r="M1696" s="26"/>
      <c r="N1696" s="26"/>
      <c r="O1696" s="26"/>
      <c r="P1696" s="27"/>
      <c r="Q1696" s="27"/>
      <c r="R1696" s="27"/>
      <c r="S1696" s="22"/>
      <c r="T1696" s="22"/>
      <c r="U1696" s="28"/>
    </row>
    <row r="1697" ht="15.75" customHeight="1">
      <c r="A1697" s="189"/>
      <c r="B1697" s="22"/>
      <c r="C1697" s="22"/>
      <c r="D1697" s="22"/>
      <c r="E1697" s="22"/>
      <c r="F1697" s="22"/>
      <c r="G1697" s="22"/>
      <c r="H1697" s="22"/>
      <c r="I1697" s="24"/>
      <c r="J1697" s="24"/>
      <c r="K1697" s="24"/>
      <c r="L1697" s="24"/>
      <c r="M1697" s="26"/>
      <c r="N1697" s="26"/>
      <c r="O1697" s="26"/>
      <c r="P1697" s="27"/>
      <c r="Q1697" s="27"/>
      <c r="R1697" s="27"/>
      <c r="S1697" s="22"/>
      <c r="T1697" s="22"/>
      <c r="U1697" s="28"/>
    </row>
    <row r="1698" ht="15.75" customHeight="1">
      <c r="A1698" s="189"/>
      <c r="B1698" s="22"/>
      <c r="C1698" s="22"/>
      <c r="D1698" s="22"/>
      <c r="E1698" s="22"/>
      <c r="F1698" s="22"/>
      <c r="G1698" s="22"/>
      <c r="H1698" s="22"/>
      <c r="I1698" s="24"/>
      <c r="J1698" s="24"/>
      <c r="K1698" s="24"/>
      <c r="L1698" s="24"/>
      <c r="M1698" s="26"/>
      <c r="N1698" s="26"/>
      <c r="O1698" s="26"/>
      <c r="P1698" s="27"/>
      <c r="Q1698" s="27"/>
      <c r="R1698" s="27"/>
      <c r="S1698" s="22"/>
      <c r="T1698" s="22"/>
      <c r="U1698" s="28"/>
    </row>
    <row r="1699" ht="15.75" customHeight="1">
      <c r="A1699" s="189"/>
      <c r="B1699" s="22"/>
      <c r="C1699" s="22"/>
      <c r="D1699" s="22"/>
      <c r="E1699" s="22"/>
      <c r="F1699" s="22"/>
      <c r="G1699" s="22"/>
      <c r="H1699" s="22"/>
      <c r="I1699" s="24"/>
      <c r="J1699" s="24"/>
      <c r="K1699" s="24"/>
      <c r="L1699" s="24"/>
      <c r="M1699" s="26"/>
      <c r="N1699" s="26"/>
      <c r="O1699" s="26"/>
      <c r="P1699" s="27"/>
      <c r="Q1699" s="27"/>
      <c r="R1699" s="27"/>
      <c r="S1699" s="22"/>
      <c r="T1699" s="22"/>
      <c r="U1699" s="28"/>
    </row>
    <row r="1700" ht="15.75" customHeight="1">
      <c r="A1700" s="189"/>
      <c r="B1700" s="22"/>
      <c r="C1700" s="22"/>
      <c r="D1700" s="22"/>
      <c r="E1700" s="22"/>
      <c r="F1700" s="22"/>
      <c r="G1700" s="22"/>
      <c r="H1700" s="22"/>
      <c r="I1700" s="24"/>
      <c r="J1700" s="24"/>
      <c r="K1700" s="24"/>
      <c r="L1700" s="24"/>
      <c r="M1700" s="26"/>
      <c r="N1700" s="26"/>
      <c r="O1700" s="26"/>
      <c r="P1700" s="27"/>
      <c r="Q1700" s="27"/>
      <c r="R1700" s="27"/>
      <c r="S1700" s="22"/>
      <c r="T1700" s="22"/>
      <c r="U1700" s="28"/>
    </row>
    <row r="1701" ht="15.75" customHeight="1">
      <c r="A1701" s="189"/>
      <c r="B1701" s="22"/>
      <c r="C1701" s="22"/>
      <c r="D1701" s="22"/>
      <c r="E1701" s="22"/>
      <c r="F1701" s="22"/>
      <c r="G1701" s="22"/>
      <c r="H1701" s="22"/>
      <c r="I1701" s="24"/>
      <c r="J1701" s="24"/>
      <c r="K1701" s="24"/>
      <c r="L1701" s="24"/>
      <c r="M1701" s="26"/>
      <c r="N1701" s="26"/>
      <c r="O1701" s="26"/>
      <c r="P1701" s="27"/>
      <c r="Q1701" s="27"/>
      <c r="R1701" s="27"/>
      <c r="S1701" s="22"/>
      <c r="T1701" s="22"/>
      <c r="U1701" s="28"/>
    </row>
    <row r="1702" ht="15.75" customHeight="1">
      <c r="A1702" s="189"/>
      <c r="B1702" s="22"/>
      <c r="C1702" s="22"/>
      <c r="D1702" s="22"/>
      <c r="E1702" s="22"/>
      <c r="F1702" s="22"/>
      <c r="G1702" s="22"/>
      <c r="H1702" s="22"/>
      <c r="I1702" s="24"/>
      <c r="J1702" s="24"/>
      <c r="K1702" s="24"/>
      <c r="L1702" s="24"/>
      <c r="M1702" s="26"/>
      <c r="N1702" s="26"/>
      <c r="O1702" s="26"/>
      <c r="P1702" s="27"/>
      <c r="Q1702" s="27"/>
      <c r="R1702" s="27"/>
      <c r="S1702" s="22"/>
      <c r="T1702" s="22"/>
      <c r="U1702" s="28"/>
    </row>
    <row r="1703" ht="15.75" customHeight="1">
      <c r="A1703" s="189"/>
      <c r="B1703" s="22"/>
      <c r="C1703" s="22"/>
      <c r="D1703" s="22"/>
      <c r="E1703" s="22"/>
      <c r="F1703" s="22"/>
      <c r="G1703" s="22"/>
      <c r="H1703" s="22"/>
      <c r="I1703" s="24"/>
      <c r="J1703" s="24"/>
      <c r="K1703" s="24"/>
      <c r="L1703" s="24"/>
      <c r="M1703" s="26"/>
      <c r="N1703" s="26"/>
      <c r="O1703" s="26"/>
      <c r="P1703" s="27"/>
      <c r="Q1703" s="27"/>
      <c r="R1703" s="27"/>
      <c r="S1703" s="22"/>
      <c r="T1703" s="22"/>
      <c r="U1703" s="28"/>
    </row>
    <row r="1704" ht="15.75" customHeight="1">
      <c r="A1704" s="189"/>
      <c r="B1704" s="22"/>
      <c r="C1704" s="22"/>
      <c r="D1704" s="22"/>
      <c r="E1704" s="22"/>
      <c r="F1704" s="22"/>
      <c r="G1704" s="22"/>
      <c r="H1704" s="22"/>
      <c r="I1704" s="24"/>
      <c r="J1704" s="24"/>
      <c r="K1704" s="24"/>
      <c r="L1704" s="24"/>
      <c r="M1704" s="26"/>
      <c r="N1704" s="26"/>
      <c r="O1704" s="26"/>
      <c r="P1704" s="27"/>
      <c r="Q1704" s="27"/>
      <c r="R1704" s="27"/>
      <c r="S1704" s="22"/>
      <c r="T1704" s="22"/>
      <c r="U1704" s="28"/>
    </row>
    <row r="1705" ht="15.75" customHeight="1">
      <c r="A1705" s="189"/>
      <c r="B1705" s="22"/>
      <c r="C1705" s="22"/>
      <c r="D1705" s="22"/>
      <c r="E1705" s="22"/>
      <c r="F1705" s="22"/>
      <c r="G1705" s="22"/>
      <c r="H1705" s="22"/>
      <c r="I1705" s="24"/>
      <c r="J1705" s="24"/>
      <c r="K1705" s="24"/>
      <c r="L1705" s="24"/>
      <c r="M1705" s="26"/>
      <c r="N1705" s="26"/>
      <c r="O1705" s="26"/>
      <c r="P1705" s="27"/>
      <c r="Q1705" s="27"/>
      <c r="R1705" s="27"/>
      <c r="S1705" s="22"/>
      <c r="T1705" s="22"/>
      <c r="U1705" s="28"/>
    </row>
    <row r="1706" ht="15.75" customHeight="1">
      <c r="A1706" s="189"/>
      <c r="B1706" s="22"/>
      <c r="C1706" s="22"/>
      <c r="D1706" s="22"/>
      <c r="E1706" s="22"/>
      <c r="F1706" s="22"/>
      <c r="G1706" s="22"/>
      <c r="H1706" s="22"/>
      <c r="I1706" s="24"/>
      <c r="J1706" s="24"/>
      <c r="K1706" s="24"/>
      <c r="L1706" s="24"/>
      <c r="M1706" s="26"/>
      <c r="N1706" s="26"/>
      <c r="O1706" s="26"/>
      <c r="P1706" s="27"/>
      <c r="Q1706" s="27"/>
      <c r="R1706" s="27"/>
      <c r="S1706" s="22"/>
      <c r="T1706" s="22"/>
      <c r="U1706" s="28"/>
    </row>
    <row r="1707" ht="15.75" customHeight="1">
      <c r="A1707" s="189"/>
      <c r="B1707" s="22"/>
      <c r="C1707" s="22"/>
      <c r="D1707" s="22"/>
      <c r="E1707" s="22"/>
      <c r="F1707" s="22"/>
      <c r="G1707" s="22"/>
      <c r="H1707" s="22"/>
      <c r="I1707" s="24"/>
      <c r="J1707" s="24"/>
      <c r="K1707" s="24"/>
      <c r="L1707" s="24"/>
      <c r="M1707" s="26"/>
      <c r="N1707" s="26"/>
      <c r="O1707" s="26"/>
      <c r="P1707" s="27"/>
      <c r="Q1707" s="27"/>
      <c r="R1707" s="27"/>
      <c r="S1707" s="22"/>
      <c r="T1707" s="22"/>
      <c r="U1707" s="28"/>
    </row>
    <row r="1708" ht="15.75" customHeight="1">
      <c r="A1708" s="189"/>
      <c r="B1708" s="22"/>
      <c r="C1708" s="22"/>
      <c r="D1708" s="22"/>
      <c r="E1708" s="22"/>
      <c r="F1708" s="22"/>
      <c r="G1708" s="22"/>
      <c r="H1708" s="22"/>
      <c r="I1708" s="24"/>
      <c r="J1708" s="24"/>
      <c r="K1708" s="24"/>
      <c r="L1708" s="24"/>
      <c r="M1708" s="26"/>
      <c r="N1708" s="26"/>
      <c r="O1708" s="26"/>
      <c r="P1708" s="27"/>
      <c r="Q1708" s="27"/>
      <c r="R1708" s="27"/>
      <c r="S1708" s="22"/>
      <c r="T1708" s="22"/>
      <c r="U1708" s="28"/>
    </row>
    <row r="1709" ht="15.75" customHeight="1">
      <c r="A1709" s="189"/>
      <c r="B1709" s="22"/>
      <c r="C1709" s="22"/>
      <c r="D1709" s="22"/>
      <c r="E1709" s="22"/>
      <c r="F1709" s="22"/>
      <c r="G1709" s="22"/>
      <c r="H1709" s="22"/>
      <c r="I1709" s="24"/>
      <c r="J1709" s="24"/>
      <c r="K1709" s="24"/>
      <c r="L1709" s="24"/>
      <c r="M1709" s="26"/>
      <c r="N1709" s="26"/>
      <c r="O1709" s="26"/>
      <c r="P1709" s="27"/>
      <c r="Q1709" s="27"/>
      <c r="R1709" s="27"/>
      <c r="S1709" s="22"/>
      <c r="T1709" s="22"/>
      <c r="U1709" s="28"/>
    </row>
    <row r="1710" ht="15.75" customHeight="1">
      <c r="A1710" s="189"/>
      <c r="B1710" s="22"/>
      <c r="C1710" s="22"/>
      <c r="D1710" s="22"/>
      <c r="E1710" s="22"/>
      <c r="F1710" s="22"/>
      <c r="G1710" s="22"/>
      <c r="H1710" s="22"/>
      <c r="I1710" s="24"/>
      <c r="J1710" s="24"/>
      <c r="K1710" s="24"/>
      <c r="L1710" s="24"/>
      <c r="M1710" s="26"/>
      <c r="N1710" s="26"/>
      <c r="O1710" s="26"/>
      <c r="P1710" s="27"/>
      <c r="Q1710" s="27"/>
      <c r="R1710" s="27"/>
      <c r="S1710" s="22"/>
      <c r="T1710" s="22"/>
      <c r="U1710" s="28"/>
    </row>
    <row r="1711" ht="15.75" customHeight="1">
      <c r="A1711" s="189"/>
      <c r="B1711" s="22"/>
      <c r="C1711" s="22"/>
      <c r="D1711" s="22"/>
      <c r="E1711" s="22"/>
      <c r="F1711" s="22"/>
      <c r="G1711" s="22"/>
      <c r="H1711" s="22"/>
      <c r="I1711" s="24"/>
      <c r="J1711" s="24"/>
      <c r="K1711" s="24"/>
      <c r="L1711" s="24"/>
      <c r="M1711" s="26"/>
      <c r="N1711" s="26"/>
      <c r="O1711" s="26"/>
      <c r="P1711" s="27"/>
      <c r="Q1711" s="27"/>
      <c r="R1711" s="27"/>
      <c r="S1711" s="22"/>
      <c r="T1711" s="22"/>
      <c r="U1711" s="28"/>
    </row>
    <row r="1712" ht="15.75" customHeight="1">
      <c r="A1712" s="189"/>
      <c r="B1712" s="22"/>
      <c r="C1712" s="22"/>
      <c r="D1712" s="22"/>
      <c r="E1712" s="22"/>
      <c r="F1712" s="22"/>
      <c r="G1712" s="22"/>
      <c r="H1712" s="22"/>
      <c r="I1712" s="24"/>
      <c r="J1712" s="24"/>
      <c r="K1712" s="24"/>
      <c r="L1712" s="24"/>
      <c r="M1712" s="26"/>
      <c r="N1712" s="26"/>
      <c r="O1712" s="26"/>
      <c r="P1712" s="27"/>
      <c r="Q1712" s="27"/>
      <c r="R1712" s="27"/>
      <c r="S1712" s="22"/>
      <c r="T1712" s="22"/>
      <c r="U1712" s="28"/>
    </row>
    <row r="1713" ht="15.75" customHeight="1">
      <c r="A1713" s="189"/>
      <c r="B1713" s="22"/>
      <c r="C1713" s="22"/>
      <c r="D1713" s="22"/>
      <c r="E1713" s="22"/>
      <c r="F1713" s="22"/>
      <c r="G1713" s="22"/>
      <c r="H1713" s="22"/>
      <c r="I1713" s="24"/>
      <c r="J1713" s="24"/>
      <c r="K1713" s="24"/>
      <c r="L1713" s="24"/>
      <c r="M1713" s="26"/>
      <c r="N1713" s="26"/>
      <c r="O1713" s="26"/>
      <c r="P1713" s="27"/>
      <c r="Q1713" s="27"/>
      <c r="R1713" s="27"/>
      <c r="S1713" s="22"/>
      <c r="T1713" s="22"/>
      <c r="U1713" s="28"/>
    </row>
    <row r="1714" ht="15.75" customHeight="1">
      <c r="A1714" s="189"/>
      <c r="B1714" s="22"/>
      <c r="C1714" s="22"/>
      <c r="D1714" s="22"/>
      <c r="E1714" s="22"/>
      <c r="F1714" s="22"/>
      <c r="G1714" s="22"/>
      <c r="H1714" s="22"/>
      <c r="I1714" s="24"/>
      <c r="J1714" s="24"/>
      <c r="K1714" s="24"/>
      <c r="L1714" s="24"/>
      <c r="M1714" s="26"/>
      <c r="N1714" s="26"/>
      <c r="O1714" s="26"/>
      <c r="P1714" s="27"/>
      <c r="Q1714" s="27"/>
      <c r="R1714" s="27"/>
      <c r="S1714" s="22"/>
      <c r="T1714" s="22"/>
      <c r="U1714" s="28"/>
    </row>
    <row r="1715" ht="15.75" customHeight="1">
      <c r="A1715" s="189"/>
      <c r="B1715" s="22"/>
      <c r="C1715" s="22"/>
      <c r="D1715" s="22"/>
      <c r="E1715" s="22"/>
      <c r="F1715" s="22"/>
      <c r="G1715" s="22"/>
      <c r="H1715" s="22"/>
      <c r="I1715" s="24"/>
      <c r="J1715" s="24"/>
      <c r="K1715" s="24"/>
      <c r="L1715" s="24"/>
      <c r="M1715" s="26"/>
      <c r="N1715" s="26"/>
      <c r="O1715" s="26"/>
      <c r="P1715" s="27"/>
      <c r="Q1715" s="27"/>
      <c r="R1715" s="27"/>
      <c r="S1715" s="22"/>
      <c r="T1715" s="22"/>
      <c r="U1715" s="28"/>
    </row>
    <row r="1716" ht="15.75" customHeight="1">
      <c r="A1716" s="189"/>
      <c r="B1716" s="22"/>
      <c r="C1716" s="22"/>
      <c r="D1716" s="22"/>
      <c r="E1716" s="22"/>
      <c r="F1716" s="22"/>
      <c r="G1716" s="22"/>
      <c r="H1716" s="22"/>
      <c r="I1716" s="24"/>
      <c r="J1716" s="24"/>
      <c r="K1716" s="24"/>
      <c r="L1716" s="24"/>
      <c r="M1716" s="26"/>
      <c r="N1716" s="26"/>
      <c r="O1716" s="26"/>
      <c r="P1716" s="27"/>
      <c r="Q1716" s="27"/>
      <c r="R1716" s="27"/>
      <c r="S1716" s="22"/>
      <c r="T1716" s="22"/>
      <c r="U1716" s="28"/>
    </row>
    <row r="1717" ht="15.75" customHeight="1">
      <c r="A1717" s="189"/>
      <c r="B1717" s="22"/>
      <c r="C1717" s="22"/>
      <c r="D1717" s="22"/>
      <c r="E1717" s="22"/>
      <c r="F1717" s="22"/>
      <c r="G1717" s="22"/>
      <c r="H1717" s="22"/>
      <c r="I1717" s="24"/>
      <c r="J1717" s="24"/>
      <c r="K1717" s="24"/>
      <c r="L1717" s="24"/>
      <c r="M1717" s="26"/>
      <c r="N1717" s="26"/>
      <c r="O1717" s="26"/>
      <c r="P1717" s="27"/>
      <c r="Q1717" s="27"/>
      <c r="R1717" s="27"/>
      <c r="S1717" s="22"/>
      <c r="T1717" s="22"/>
      <c r="U1717" s="28"/>
    </row>
    <row r="1718" ht="15.75" customHeight="1">
      <c r="A1718" s="189"/>
      <c r="B1718" s="22"/>
      <c r="C1718" s="22"/>
      <c r="D1718" s="22"/>
      <c r="E1718" s="22"/>
      <c r="F1718" s="22"/>
      <c r="G1718" s="22"/>
      <c r="H1718" s="22"/>
      <c r="I1718" s="24"/>
      <c r="J1718" s="24"/>
      <c r="K1718" s="24"/>
      <c r="L1718" s="24"/>
      <c r="M1718" s="26"/>
      <c r="N1718" s="26"/>
      <c r="O1718" s="26"/>
      <c r="P1718" s="27"/>
      <c r="Q1718" s="27"/>
      <c r="R1718" s="27"/>
      <c r="S1718" s="22"/>
      <c r="T1718" s="22"/>
      <c r="U1718" s="28"/>
    </row>
    <row r="1719" ht="15.75" customHeight="1">
      <c r="A1719" s="189"/>
      <c r="B1719" s="22"/>
      <c r="C1719" s="22"/>
      <c r="D1719" s="22"/>
      <c r="E1719" s="22"/>
      <c r="F1719" s="22"/>
      <c r="G1719" s="22"/>
      <c r="H1719" s="22"/>
      <c r="I1719" s="24"/>
      <c r="J1719" s="24"/>
      <c r="K1719" s="24"/>
      <c r="L1719" s="24"/>
      <c r="M1719" s="26"/>
      <c r="N1719" s="26"/>
      <c r="O1719" s="26"/>
      <c r="P1719" s="27"/>
      <c r="Q1719" s="27"/>
      <c r="R1719" s="27"/>
      <c r="S1719" s="22"/>
      <c r="T1719" s="22"/>
      <c r="U1719" s="28"/>
    </row>
    <row r="1720" ht="15.75" customHeight="1">
      <c r="A1720" s="189"/>
      <c r="B1720" s="22"/>
      <c r="C1720" s="22"/>
      <c r="D1720" s="22"/>
      <c r="E1720" s="22"/>
      <c r="F1720" s="22"/>
      <c r="G1720" s="22"/>
      <c r="H1720" s="22"/>
      <c r="I1720" s="24"/>
      <c r="J1720" s="24"/>
      <c r="K1720" s="24"/>
      <c r="L1720" s="24"/>
      <c r="M1720" s="26"/>
      <c r="N1720" s="26"/>
      <c r="O1720" s="26"/>
      <c r="P1720" s="27"/>
      <c r="Q1720" s="27"/>
      <c r="R1720" s="27"/>
      <c r="S1720" s="22"/>
      <c r="T1720" s="22"/>
      <c r="U1720" s="28"/>
    </row>
    <row r="1721" ht="15.75" customHeight="1">
      <c r="A1721" s="189"/>
      <c r="B1721" s="22"/>
      <c r="C1721" s="22"/>
      <c r="D1721" s="22"/>
      <c r="E1721" s="22"/>
      <c r="F1721" s="22"/>
      <c r="G1721" s="22"/>
      <c r="H1721" s="22"/>
      <c r="I1721" s="24"/>
      <c r="J1721" s="24"/>
      <c r="K1721" s="24"/>
      <c r="L1721" s="24"/>
      <c r="M1721" s="26"/>
      <c r="N1721" s="26"/>
      <c r="O1721" s="26"/>
      <c r="P1721" s="27"/>
      <c r="Q1721" s="27"/>
      <c r="R1721" s="27"/>
      <c r="S1721" s="22"/>
      <c r="T1721" s="22"/>
      <c r="U1721" s="28"/>
    </row>
    <row r="1722" ht="15.75" customHeight="1">
      <c r="A1722" s="189"/>
      <c r="B1722" s="22"/>
      <c r="C1722" s="22"/>
      <c r="D1722" s="22"/>
      <c r="E1722" s="22"/>
      <c r="F1722" s="22"/>
      <c r="G1722" s="22"/>
      <c r="H1722" s="22"/>
      <c r="I1722" s="24"/>
      <c r="J1722" s="24"/>
      <c r="K1722" s="24"/>
      <c r="L1722" s="24"/>
      <c r="M1722" s="26"/>
      <c r="N1722" s="26"/>
      <c r="O1722" s="26"/>
      <c r="P1722" s="27"/>
      <c r="Q1722" s="27"/>
      <c r="R1722" s="27"/>
      <c r="S1722" s="22"/>
      <c r="T1722" s="22"/>
      <c r="U1722" s="28"/>
    </row>
    <row r="1723" ht="15.75" customHeight="1">
      <c r="A1723" s="189"/>
      <c r="B1723" s="22"/>
      <c r="C1723" s="22"/>
      <c r="D1723" s="22"/>
      <c r="E1723" s="22"/>
      <c r="F1723" s="22"/>
      <c r="G1723" s="22"/>
      <c r="H1723" s="22"/>
      <c r="I1723" s="24"/>
      <c r="J1723" s="24"/>
      <c r="K1723" s="24"/>
      <c r="L1723" s="24"/>
      <c r="M1723" s="26"/>
      <c r="N1723" s="26"/>
      <c r="O1723" s="26"/>
      <c r="P1723" s="27"/>
      <c r="Q1723" s="27"/>
      <c r="R1723" s="27"/>
      <c r="S1723" s="22"/>
      <c r="T1723" s="22"/>
      <c r="U1723" s="28"/>
    </row>
    <row r="1724" ht="15.75" customHeight="1">
      <c r="A1724" s="189"/>
      <c r="B1724" s="22"/>
      <c r="C1724" s="22"/>
      <c r="D1724" s="22"/>
      <c r="E1724" s="22"/>
      <c r="F1724" s="22"/>
      <c r="G1724" s="22"/>
      <c r="H1724" s="22"/>
      <c r="I1724" s="24"/>
      <c r="J1724" s="24"/>
      <c r="K1724" s="24"/>
      <c r="L1724" s="24"/>
      <c r="M1724" s="26"/>
      <c r="N1724" s="26"/>
      <c r="O1724" s="26"/>
      <c r="P1724" s="27"/>
      <c r="Q1724" s="27"/>
      <c r="R1724" s="27"/>
      <c r="S1724" s="22"/>
      <c r="T1724" s="22"/>
      <c r="U1724" s="28"/>
    </row>
    <row r="1725" ht="15.75" customHeight="1">
      <c r="A1725" s="189"/>
      <c r="B1725" s="22"/>
      <c r="C1725" s="22"/>
      <c r="D1725" s="22"/>
      <c r="E1725" s="22"/>
      <c r="F1725" s="22"/>
      <c r="G1725" s="22"/>
      <c r="H1725" s="22"/>
      <c r="I1725" s="24"/>
      <c r="J1725" s="24"/>
      <c r="K1725" s="24"/>
      <c r="L1725" s="24"/>
      <c r="M1725" s="26"/>
      <c r="N1725" s="26"/>
      <c r="O1725" s="26"/>
      <c r="P1725" s="27"/>
      <c r="Q1725" s="27"/>
      <c r="R1725" s="27"/>
      <c r="S1725" s="22"/>
      <c r="T1725" s="22"/>
      <c r="U1725" s="28"/>
    </row>
    <row r="1726" ht="15.75" customHeight="1">
      <c r="A1726" s="189"/>
      <c r="B1726" s="22"/>
      <c r="C1726" s="22"/>
      <c r="D1726" s="22"/>
      <c r="E1726" s="22"/>
      <c r="F1726" s="22"/>
      <c r="G1726" s="22"/>
      <c r="H1726" s="22"/>
      <c r="I1726" s="24"/>
      <c r="J1726" s="24"/>
      <c r="K1726" s="24"/>
      <c r="L1726" s="24"/>
      <c r="M1726" s="26"/>
      <c r="N1726" s="26"/>
      <c r="O1726" s="26"/>
      <c r="P1726" s="27"/>
      <c r="Q1726" s="27"/>
      <c r="R1726" s="27"/>
      <c r="S1726" s="22"/>
      <c r="T1726" s="22"/>
      <c r="U1726" s="28"/>
    </row>
    <row r="1727" ht="15.75" customHeight="1">
      <c r="A1727" s="189"/>
      <c r="B1727" s="22"/>
      <c r="C1727" s="22"/>
      <c r="D1727" s="22"/>
      <c r="E1727" s="22"/>
      <c r="F1727" s="22"/>
      <c r="G1727" s="22"/>
      <c r="H1727" s="22"/>
      <c r="I1727" s="24"/>
      <c r="J1727" s="24"/>
      <c r="K1727" s="24"/>
      <c r="L1727" s="24"/>
      <c r="M1727" s="26"/>
      <c r="N1727" s="26"/>
      <c r="O1727" s="26"/>
      <c r="P1727" s="27"/>
      <c r="Q1727" s="27"/>
      <c r="R1727" s="27"/>
      <c r="S1727" s="22"/>
      <c r="T1727" s="22"/>
      <c r="U1727" s="28"/>
    </row>
    <row r="1728" ht="15.75" customHeight="1">
      <c r="A1728" s="189"/>
      <c r="B1728" s="22"/>
      <c r="C1728" s="22"/>
      <c r="D1728" s="22"/>
      <c r="E1728" s="22"/>
      <c r="F1728" s="22"/>
      <c r="G1728" s="22"/>
      <c r="H1728" s="22"/>
      <c r="I1728" s="24"/>
      <c r="J1728" s="24"/>
      <c r="K1728" s="24"/>
      <c r="L1728" s="24"/>
      <c r="M1728" s="26"/>
      <c r="N1728" s="26"/>
      <c r="O1728" s="26"/>
      <c r="P1728" s="27"/>
      <c r="Q1728" s="27"/>
      <c r="R1728" s="27"/>
      <c r="S1728" s="22"/>
      <c r="T1728" s="22"/>
      <c r="U1728" s="28"/>
    </row>
    <row r="1729" ht="15.75" customHeight="1">
      <c r="A1729" s="189"/>
      <c r="B1729" s="22"/>
      <c r="C1729" s="22"/>
      <c r="D1729" s="22"/>
      <c r="E1729" s="22"/>
      <c r="F1729" s="22"/>
      <c r="G1729" s="22"/>
      <c r="H1729" s="22"/>
      <c r="I1729" s="24"/>
      <c r="J1729" s="24"/>
      <c r="K1729" s="24"/>
      <c r="L1729" s="24"/>
      <c r="M1729" s="26"/>
      <c r="N1729" s="26"/>
      <c r="O1729" s="26"/>
      <c r="P1729" s="27"/>
      <c r="Q1729" s="27"/>
      <c r="R1729" s="27"/>
      <c r="S1729" s="22"/>
      <c r="T1729" s="22"/>
      <c r="U1729" s="28"/>
    </row>
    <row r="1730" ht="15.75" customHeight="1">
      <c r="A1730" s="189"/>
      <c r="B1730" s="22"/>
      <c r="C1730" s="22"/>
      <c r="D1730" s="22"/>
      <c r="E1730" s="22"/>
      <c r="F1730" s="22"/>
      <c r="G1730" s="22"/>
      <c r="H1730" s="22"/>
      <c r="I1730" s="24"/>
      <c r="J1730" s="24"/>
      <c r="K1730" s="24"/>
      <c r="L1730" s="24"/>
      <c r="M1730" s="26"/>
      <c r="N1730" s="26"/>
      <c r="O1730" s="26"/>
      <c r="P1730" s="27"/>
      <c r="Q1730" s="27"/>
      <c r="R1730" s="27"/>
      <c r="S1730" s="22"/>
      <c r="T1730" s="22"/>
      <c r="U1730" s="28"/>
    </row>
    <row r="1731" ht="15.75" customHeight="1">
      <c r="A1731" s="189"/>
      <c r="B1731" s="22"/>
      <c r="C1731" s="22"/>
      <c r="D1731" s="22"/>
      <c r="E1731" s="22"/>
      <c r="F1731" s="22"/>
      <c r="G1731" s="22"/>
      <c r="H1731" s="22"/>
      <c r="I1731" s="24"/>
      <c r="J1731" s="24"/>
      <c r="K1731" s="24"/>
      <c r="L1731" s="24"/>
      <c r="M1731" s="26"/>
      <c r="N1731" s="26"/>
      <c r="O1731" s="26"/>
      <c r="P1731" s="27"/>
      <c r="Q1731" s="27"/>
      <c r="R1731" s="27"/>
      <c r="S1731" s="22"/>
      <c r="T1731" s="22"/>
      <c r="U1731" s="28"/>
    </row>
    <row r="1732" ht="15.75" customHeight="1">
      <c r="A1732" s="189"/>
      <c r="B1732" s="22"/>
      <c r="C1732" s="22"/>
      <c r="D1732" s="22"/>
      <c r="E1732" s="22"/>
      <c r="F1732" s="22"/>
      <c r="G1732" s="22"/>
      <c r="H1732" s="22"/>
      <c r="I1732" s="24"/>
      <c r="J1732" s="24"/>
      <c r="K1732" s="24"/>
      <c r="L1732" s="24"/>
      <c r="M1732" s="26"/>
      <c r="N1732" s="26"/>
      <c r="O1732" s="26"/>
      <c r="P1732" s="27"/>
      <c r="Q1732" s="27"/>
      <c r="R1732" s="27"/>
      <c r="S1732" s="22"/>
      <c r="T1732" s="22"/>
      <c r="U1732" s="28"/>
    </row>
    <row r="1733" ht="15.75" customHeight="1">
      <c r="A1733" s="189"/>
      <c r="B1733" s="22"/>
      <c r="C1733" s="22"/>
      <c r="D1733" s="22"/>
      <c r="E1733" s="22"/>
      <c r="F1733" s="22"/>
      <c r="G1733" s="22"/>
      <c r="H1733" s="22"/>
      <c r="I1733" s="24"/>
      <c r="J1733" s="24"/>
      <c r="K1733" s="24"/>
      <c r="L1733" s="24"/>
      <c r="M1733" s="26"/>
      <c r="N1733" s="26"/>
      <c r="O1733" s="26"/>
      <c r="P1733" s="27"/>
      <c r="Q1733" s="27"/>
      <c r="R1733" s="27"/>
      <c r="S1733" s="22"/>
      <c r="T1733" s="22"/>
      <c r="U1733" s="28"/>
    </row>
    <row r="1734" ht="15.75" customHeight="1">
      <c r="A1734" s="189"/>
      <c r="B1734" s="22"/>
      <c r="C1734" s="22"/>
      <c r="D1734" s="22"/>
      <c r="E1734" s="22"/>
      <c r="F1734" s="22"/>
      <c r="G1734" s="22"/>
      <c r="H1734" s="22"/>
      <c r="I1734" s="24"/>
      <c r="J1734" s="24"/>
      <c r="K1734" s="24"/>
      <c r="L1734" s="24"/>
      <c r="M1734" s="26"/>
      <c r="N1734" s="26"/>
      <c r="O1734" s="26"/>
      <c r="P1734" s="27"/>
      <c r="Q1734" s="27"/>
      <c r="R1734" s="27"/>
      <c r="S1734" s="22"/>
      <c r="T1734" s="22"/>
      <c r="U1734" s="28"/>
    </row>
    <row r="1735" ht="15.75" customHeight="1">
      <c r="A1735" s="189"/>
      <c r="B1735" s="22"/>
      <c r="C1735" s="22"/>
      <c r="D1735" s="22"/>
      <c r="E1735" s="22"/>
      <c r="F1735" s="22"/>
      <c r="G1735" s="22"/>
      <c r="H1735" s="22"/>
      <c r="I1735" s="24"/>
      <c r="J1735" s="24"/>
      <c r="K1735" s="24"/>
      <c r="L1735" s="24"/>
      <c r="M1735" s="26"/>
      <c r="N1735" s="26"/>
      <c r="O1735" s="26"/>
      <c r="P1735" s="27"/>
      <c r="Q1735" s="27"/>
      <c r="R1735" s="27"/>
      <c r="S1735" s="22"/>
      <c r="T1735" s="22"/>
      <c r="U1735" s="28"/>
    </row>
    <row r="1736" ht="15.75" customHeight="1">
      <c r="A1736" s="189"/>
      <c r="B1736" s="22"/>
      <c r="C1736" s="22"/>
      <c r="D1736" s="22"/>
      <c r="E1736" s="22"/>
      <c r="F1736" s="22"/>
      <c r="G1736" s="22"/>
      <c r="H1736" s="22"/>
      <c r="I1736" s="24"/>
      <c r="J1736" s="24"/>
      <c r="K1736" s="24"/>
      <c r="L1736" s="24"/>
      <c r="M1736" s="26"/>
      <c r="N1736" s="26"/>
      <c r="O1736" s="26"/>
      <c r="P1736" s="27"/>
      <c r="Q1736" s="27"/>
      <c r="R1736" s="27"/>
      <c r="S1736" s="22"/>
      <c r="T1736" s="22"/>
      <c r="U1736" s="28"/>
    </row>
    <row r="1737" ht="15.75" customHeight="1">
      <c r="A1737" s="189"/>
      <c r="B1737" s="22"/>
      <c r="C1737" s="22"/>
      <c r="D1737" s="22"/>
      <c r="E1737" s="22"/>
      <c r="F1737" s="22"/>
      <c r="G1737" s="22"/>
      <c r="H1737" s="22"/>
      <c r="I1737" s="24"/>
      <c r="J1737" s="24"/>
      <c r="K1737" s="24"/>
      <c r="L1737" s="24"/>
      <c r="M1737" s="26"/>
      <c r="N1737" s="26"/>
      <c r="O1737" s="26"/>
      <c r="P1737" s="27"/>
      <c r="Q1737" s="27"/>
      <c r="R1737" s="27"/>
      <c r="S1737" s="22"/>
      <c r="T1737" s="22"/>
      <c r="U1737" s="28"/>
    </row>
    <row r="1738" ht="15.75" customHeight="1">
      <c r="A1738" s="189"/>
      <c r="B1738" s="22"/>
      <c r="C1738" s="22"/>
      <c r="D1738" s="22"/>
      <c r="E1738" s="22"/>
      <c r="F1738" s="22"/>
      <c r="G1738" s="22"/>
      <c r="H1738" s="22"/>
      <c r="I1738" s="24"/>
      <c r="J1738" s="24"/>
      <c r="K1738" s="24"/>
      <c r="L1738" s="24"/>
      <c r="M1738" s="26"/>
      <c r="N1738" s="26"/>
      <c r="O1738" s="26"/>
      <c r="P1738" s="27"/>
      <c r="Q1738" s="27"/>
      <c r="R1738" s="27"/>
      <c r="S1738" s="22"/>
      <c r="T1738" s="22"/>
      <c r="U1738" s="28"/>
    </row>
    <row r="1739" ht="15.75" customHeight="1">
      <c r="A1739" s="189"/>
      <c r="B1739" s="22"/>
      <c r="C1739" s="22"/>
      <c r="D1739" s="22"/>
      <c r="E1739" s="22"/>
      <c r="F1739" s="22"/>
      <c r="G1739" s="22"/>
      <c r="H1739" s="22"/>
      <c r="I1739" s="24"/>
      <c r="J1739" s="24"/>
      <c r="K1739" s="24"/>
      <c r="L1739" s="24"/>
      <c r="M1739" s="26"/>
      <c r="N1739" s="26"/>
      <c r="O1739" s="26"/>
      <c r="P1739" s="27"/>
      <c r="Q1739" s="27"/>
      <c r="R1739" s="27"/>
      <c r="S1739" s="22"/>
      <c r="T1739" s="22"/>
      <c r="U1739" s="28"/>
    </row>
    <row r="1740" ht="15.75" customHeight="1">
      <c r="A1740" s="189"/>
      <c r="B1740" s="22"/>
      <c r="C1740" s="22"/>
      <c r="D1740" s="22"/>
      <c r="E1740" s="22"/>
      <c r="F1740" s="22"/>
      <c r="G1740" s="22"/>
      <c r="H1740" s="22"/>
      <c r="I1740" s="24"/>
      <c r="J1740" s="24"/>
      <c r="K1740" s="24"/>
      <c r="L1740" s="24"/>
      <c r="M1740" s="26"/>
      <c r="N1740" s="26"/>
      <c r="O1740" s="26"/>
      <c r="P1740" s="27"/>
      <c r="Q1740" s="27"/>
      <c r="R1740" s="27"/>
      <c r="S1740" s="22"/>
      <c r="T1740" s="22"/>
      <c r="U1740" s="28"/>
    </row>
    <row r="1741" ht="15.75" customHeight="1">
      <c r="A1741" s="189"/>
      <c r="B1741" s="22"/>
      <c r="C1741" s="22"/>
      <c r="D1741" s="22"/>
      <c r="E1741" s="22"/>
      <c r="F1741" s="22"/>
      <c r="G1741" s="22"/>
      <c r="H1741" s="22"/>
      <c r="I1741" s="24"/>
      <c r="J1741" s="24"/>
      <c r="K1741" s="24"/>
      <c r="L1741" s="24"/>
      <c r="M1741" s="26"/>
      <c r="N1741" s="26"/>
      <c r="O1741" s="26"/>
      <c r="P1741" s="27"/>
      <c r="Q1741" s="27"/>
      <c r="R1741" s="27"/>
      <c r="S1741" s="22"/>
      <c r="T1741" s="22"/>
      <c r="U1741" s="28"/>
    </row>
    <row r="1742" ht="15.75" customHeight="1">
      <c r="A1742" s="189"/>
      <c r="B1742" s="22"/>
      <c r="C1742" s="22"/>
      <c r="D1742" s="22"/>
      <c r="E1742" s="22"/>
      <c r="F1742" s="22"/>
      <c r="G1742" s="22"/>
      <c r="H1742" s="22"/>
      <c r="I1742" s="24"/>
      <c r="J1742" s="24"/>
      <c r="K1742" s="24"/>
      <c r="L1742" s="24"/>
      <c r="M1742" s="26"/>
      <c r="N1742" s="26"/>
      <c r="O1742" s="26"/>
      <c r="P1742" s="27"/>
      <c r="Q1742" s="27"/>
      <c r="R1742" s="27"/>
      <c r="S1742" s="22"/>
      <c r="T1742" s="22"/>
      <c r="U1742" s="28"/>
    </row>
    <row r="1743" ht="15.75" customHeight="1">
      <c r="A1743" s="189"/>
      <c r="B1743" s="22"/>
      <c r="C1743" s="22"/>
      <c r="D1743" s="22"/>
      <c r="E1743" s="22"/>
      <c r="F1743" s="22"/>
      <c r="G1743" s="22"/>
      <c r="H1743" s="22"/>
      <c r="I1743" s="24"/>
      <c r="J1743" s="24"/>
      <c r="K1743" s="24"/>
      <c r="L1743" s="24"/>
      <c r="M1743" s="26"/>
      <c r="N1743" s="26"/>
      <c r="O1743" s="26"/>
      <c r="P1743" s="27"/>
      <c r="Q1743" s="27"/>
      <c r="R1743" s="27"/>
      <c r="S1743" s="22"/>
      <c r="T1743" s="22"/>
      <c r="U1743" s="28"/>
    </row>
    <row r="1744" ht="15.75" customHeight="1">
      <c r="A1744" s="189"/>
      <c r="B1744" s="22"/>
      <c r="C1744" s="22"/>
      <c r="D1744" s="22"/>
      <c r="E1744" s="22"/>
      <c r="F1744" s="22"/>
      <c r="G1744" s="22"/>
      <c r="H1744" s="22"/>
      <c r="I1744" s="24"/>
      <c r="J1744" s="24"/>
      <c r="K1744" s="24"/>
      <c r="L1744" s="24"/>
      <c r="M1744" s="26"/>
      <c r="N1744" s="26"/>
      <c r="O1744" s="26"/>
      <c r="P1744" s="27"/>
      <c r="Q1744" s="27"/>
      <c r="R1744" s="27"/>
      <c r="S1744" s="22"/>
      <c r="T1744" s="22"/>
      <c r="U1744" s="28"/>
    </row>
    <row r="1745" ht="15.75" customHeight="1">
      <c r="A1745" s="189"/>
      <c r="B1745" s="22"/>
      <c r="C1745" s="22"/>
      <c r="D1745" s="22"/>
      <c r="E1745" s="22"/>
      <c r="F1745" s="22"/>
      <c r="G1745" s="22"/>
      <c r="H1745" s="22"/>
      <c r="I1745" s="24"/>
      <c r="J1745" s="24"/>
      <c r="K1745" s="24"/>
      <c r="L1745" s="24"/>
      <c r="M1745" s="26"/>
      <c r="N1745" s="26"/>
      <c r="O1745" s="26"/>
      <c r="P1745" s="27"/>
      <c r="Q1745" s="27"/>
      <c r="R1745" s="27"/>
      <c r="S1745" s="22"/>
      <c r="T1745" s="22"/>
      <c r="U1745" s="28"/>
    </row>
    <row r="1746" ht="15.75" customHeight="1">
      <c r="A1746" s="189"/>
      <c r="B1746" s="22"/>
      <c r="C1746" s="22"/>
      <c r="D1746" s="22"/>
      <c r="E1746" s="22"/>
      <c r="F1746" s="22"/>
      <c r="G1746" s="22"/>
      <c r="H1746" s="22"/>
      <c r="I1746" s="24"/>
      <c r="J1746" s="24"/>
      <c r="K1746" s="24"/>
      <c r="L1746" s="24"/>
      <c r="M1746" s="26"/>
      <c r="N1746" s="26"/>
      <c r="O1746" s="26"/>
      <c r="P1746" s="27"/>
      <c r="Q1746" s="27"/>
      <c r="R1746" s="27"/>
      <c r="S1746" s="22"/>
      <c r="T1746" s="22"/>
      <c r="U1746" s="28"/>
    </row>
    <row r="1747" ht="15.75" customHeight="1">
      <c r="A1747" s="189"/>
      <c r="B1747" s="22"/>
      <c r="C1747" s="22"/>
      <c r="D1747" s="22"/>
      <c r="E1747" s="22"/>
      <c r="F1747" s="22"/>
      <c r="G1747" s="22"/>
      <c r="H1747" s="22"/>
      <c r="I1747" s="24"/>
      <c r="J1747" s="24"/>
      <c r="K1747" s="24"/>
      <c r="L1747" s="24"/>
      <c r="M1747" s="26"/>
      <c r="N1747" s="26"/>
      <c r="O1747" s="26"/>
      <c r="P1747" s="27"/>
      <c r="Q1747" s="27"/>
      <c r="R1747" s="27"/>
      <c r="S1747" s="22"/>
      <c r="T1747" s="22"/>
      <c r="U1747" s="28"/>
    </row>
    <row r="1748" ht="15.75" customHeight="1">
      <c r="A1748" s="189"/>
      <c r="B1748" s="22"/>
      <c r="C1748" s="22"/>
      <c r="D1748" s="22"/>
      <c r="E1748" s="22"/>
      <c r="F1748" s="22"/>
      <c r="G1748" s="22"/>
      <c r="H1748" s="22"/>
      <c r="I1748" s="24"/>
      <c r="J1748" s="24"/>
      <c r="K1748" s="24"/>
      <c r="L1748" s="24"/>
      <c r="M1748" s="26"/>
      <c r="N1748" s="26"/>
      <c r="O1748" s="26"/>
      <c r="P1748" s="27"/>
      <c r="Q1748" s="27"/>
      <c r="R1748" s="27"/>
      <c r="S1748" s="22"/>
      <c r="T1748" s="22"/>
      <c r="U1748" s="28"/>
    </row>
    <row r="1749" ht="15.75" customHeight="1">
      <c r="A1749" s="189"/>
      <c r="B1749" s="22"/>
      <c r="C1749" s="22"/>
      <c r="D1749" s="22"/>
      <c r="E1749" s="22"/>
      <c r="F1749" s="22"/>
      <c r="G1749" s="22"/>
      <c r="H1749" s="22"/>
      <c r="I1749" s="24"/>
      <c r="J1749" s="24"/>
      <c r="K1749" s="24"/>
      <c r="L1749" s="24"/>
      <c r="M1749" s="26"/>
      <c r="N1749" s="26"/>
      <c r="O1749" s="26"/>
      <c r="P1749" s="27"/>
      <c r="Q1749" s="27"/>
      <c r="R1749" s="27"/>
      <c r="S1749" s="22"/>
      <c r="T1749" s="22"/>
      <c r="U1749" s="28"/>
    </row>
    <row r="1750" ht="15.75" customHeight="1">
      <c r="A1750" s="189"/>
      <c r="B1750" s="22"/>
      <c r="C1750" s="22"/>
      <c r="D1750" s="22"/>
      <c r="E1750" s="22"/>
      <c r="F1750" s="22"/>
      <c r="G1750" s="22"/>
      <c r="H1750" s="22"/>
      <c r="I1750" s="24"/>
      <c r="J1750" s="24"/>
      <c r="K1750" s="24"/>
      <c r="L1750" s="24"/>
      <c r="M1750" s="26"/>
      <c r="N1750" s="26"/>
      <c r="O1750" s="26"/>
      <c r="P1750" s="27"/>
      <c r="Q1750" s="27"/>
      <c r="R1750" s="27"/>
      <c r="S1750" s="22"/>
      <c r="T1750" s="22"/>
      <c r="U1750" s="28"/>
    </row>
    <row r="1751" ht="15.75" customHeight="1">
      <c r="A1751" s="189"/>
      <c r="B1751" s="22"/>
      <c r="C1751" s="22"/>
      <c r="D1751" s="22"/>
      <c r="E1751" s="22"/>
      <c r="F1751" s="22"/>
      <c r="G1751" s="22"/>
      <c r="H1751" s="22"/>
      <c r="I1751" s="24"/>
      <c r="J1751" s="24"/>
      <c r="K1751" s="24"/>
      <c r="L1751" s="24"/>
      <c r="M1751" s="26"/>
      <c r="N1751" s="26"/>
      <c r="O1751" s="26"/>
      <c r="P1751" s="27"/>
      <c r="Q1751" s="27"/>
      <c r="R1751" s="27"/>
      <c r="S1751" s="22"/>
      <c r="T1751" s="22"/>
      <c r="U1751" s="28"/>
    </row>
    <row r="1752" ht="15.75" customHeight="1">
      <c r="A1752" s="189"/>
      <c r="B1752" s="22"/>
      <c r="C1752" s="22"/>
      <c r="D1752" s="22"/>
      <c r="E1752" s="22"/>
      <c r="F1752" s="22"/>
      <c r="G1752" s="22"/>
      <c r="H1752" s="22"/>
      <c r="I1752" s="24"/>
      <c r="J1752" s="24"/>
      <c r="K1752" s="24"/>
      <c r="L1752" s="24"/>
      <c r="M1752" s="26"/>
      <c r="N1752" s="26"/>
      <c r="O1752" s="26"/>
      <c r="P1752" s="27"/>
      <c r="Q1752" s="27"/>
      <c r="R1752" s="27"/>
      <c r="S1752" s="22"/>
      <c r="T1752" s="22"/>
      <c r="U1752" s="28"/>
    </row>
    <row r="1753" ht="15.75" customHeight="1">
      <c r="A1753" s="189"/>
      <c r="B1753" s="22"/>
      <c r="C1753" s="22"/>
      <c r="D1753" s="22"/>
      <c r="E1753" s="22"/>
      <c r="F1753" s="22"/>
      <c r="G1753" s="22"/>
      <c r="H1753" s="22"/>
      <c r="I1753" s="24"/>
      <c r="J1753" s="24"/>
      <c r="K1753" s="24"/>
      <c r="L1753" s="24"/>
      <c r="M1753" s="26"/>
      <c r="N1753" s="26"/>
      <c r="O1753" s="26"/>
      <c r="P1753" s="27"/>
      <c r="Q1753" s="27"/>
      <c r="R1753" s="27"/>
      <c r="S1753" s="22"/>
      <c r="T1753" s="22"/>
      <c r="U1753" s="28"/>
    </row>
    <row r="1754" ht="15.75" customHeight="1">
      <c r="A1754" s="189"/>
      <c r="B1754" s="22"/>
      <c r="C1754" s="22"/>
      <c r="D1754" s="22"/>
      <c r="E1754" s="22"/>
      <c r="F1754" s="22"/>
      <c r="G1754" s="22"/>
      <c r="H1754" s="22"/>
      <c r="I1754" s="24"/>
      <c r="J1754" s="24"/>
      <c r="K1754" s="24"/>
      <c r="L1754" s="24"/>
      <c r="M1754" s="26"/>
      <c r="N1754" s="26"/>
      <c r="O1754" s="26"/>
      <c r="P1754" s="27"/>
      <c r="Q1754" s="27"/>
      <c r="R1754" s="27"/>
      <c r="S1754" s="22"/>
      <c r="T1754" s="22"/>
      <c r="U1754" s="28"/>
    </row>
    <row r="1755" ht="15.75" customHeight="1">
      <c r="A1755" s="189"/>
      <c r="B1755" s="22"/>
      <c r="C1755" s="22"/>
      <c r="D1755" s="22"/>
      <c r="E1755" s="22"/>
      <c r="F1755" s="22"/>
      <c r="G1755" s="22"/>
      <c r="H1755" s="22"/>
      <c r="I1755" s="24"/>
      <c r="J1755" s="24"/>
      <c r="K1755" s="24"/>
      <c r="L1755" s="24"/>
      <c r="M1755" s="26"/>
      <c r="N1755" s="26"/>
      <c r="O1755" s="26"/>
      <c r="P1755" s="27"/>
      <c r="Q1755" s="27"/>
      <c r="R1755" s="27"/>
      <c r="S1755" s="22"/>
      <c r="T1755" s="22"/>
      <c r="U1755" s="28"/>
    </row>
    <row r="1756" ht="15.75" customHeight="1">
      <c r="A1756" s="189"/>
      <c r="B1756" s="22"/>
      <c r="C1756" s="22"/>
      <c r="D1756" s="22"/>
      <c r="E1756" s="22"/>
      <c r="F1756" s="22"/>
      <c r="G1756" s="22"/>
      <c r="H1756" s="22"/>
      <c r="I1756" s="24"/>
      <c r="J1756" s="24"/>
      <c r="K1756" s="24"/>
      <c r="L1756" s="24"/>
      <c r="M1756" s="26"/>
      <c r="N1756" s="26"/>
      <c r="O1756" s="26"/>
      <c r="P1756" s="27"/>
      <c r="Q1756" s="27"/>
      <c r="R1756" s="27"/>
      <c r="S1756" s="22"/>
      <c r="T1756" s="22"/>
      <c r="U1756" s="28"/>
    </row>
    <row r="1757" ht="15.75" customHeight="1">
      <c r="A1757" s="189"/>
      <c r="B1757" s="22"/>
      <c r="C1757" s="22"/>
      <c r="D1757" s="22"/>
      <c r="E1757" s="22"/>
      <c r="F1757" s="22"/>
      <c r="G1757" s="22"/>
      <c r="H1757" s="22"/>
      <c r="I1757" s="24"/>
      <c r="J1757" s="24"/>
      <c r="K1757" s="24"/>
      <c r="L1757" s="24"/>
      <c r="M1757" s="26"/>
      <c r="N1757" s="26"/>
      <c r="O1757" s="26"/>
      <c r="P1757" s="27"/>
      <c r="Q1757" s="27"/>
      <c r="R1757" s="27"/>
      <c r="S1757" s="22"/>
      <c r="T1757" s="22"/>
      <c r="U1757" s="28"/>
    </row>
    <row r="1758" ht="15.75" customHeight="1">
      <c r="A1758" s="189"/>
      <c r="B1758" s="22"/>
      <c r="C1758" s="22"/>
      <c r="D1758" s="22"/>
      <c r="E1758" s="22"/>
      <c r="F1758" s="22"/>
      <c r="G1758" s="22"/>
      <c r="H1758" s="22"/>
      <c r="I1758" s="24"/>
      <c r="J1758" s="24"/>
      <c r="K1758" s="24"/>
      <c r="L1758" s="24"/>
      <c r="M1758" s="26"/>
      <c r="N1758" s="26"/>
      <c r="O1758" s="26"/>
      <c r="P1758" s="27"/>
      <c r="Q1758" s="27"/>
      <c r="R1758" s="27"/>
      <c r="S1758" s="22"/>
      <c r="T1758" s="22"/>
      <c r="U1758" s="28"/>
    </row>
    <row r="1759" ht="15.75" customHeight="1">
      <c r="A1759" s="189"/>
      <c r="B1759" s="22"/>
      <c r="C1759" s="22"/>
      <c r="D1759" s="22"/>
      <c r="E1759" s="22"/>
      <c r="F1759" s="22"/>
      <c r="G1759" s="22"/>
      <c r="H1759" s="22"/>
      <c r="I1759" s="24"/>
      <c r="J1759" s="24"/>
      <c r="K1759" s="24"/>
      <c r="L1759" s="24"/>
      <c r="M1759" s="26"/>
      <c r="N1759" s="26"/>
      <c r="O1759" s="26"/>
      <c r="P1759" s="27"/>
      <c r="Q1759" s="27"/>
      <c r="R1759" s="27"/>
      <c r="S1759" s="22"/>
      <c r="T1759" s="22"/>
      <c r="U1759" s="28"/>
    </row>
    <row r="1760" ht="15.75" customHeight="1">
      <c r="A1760" s="189"/>
      <c r="B1760" s="22"/>
      <c r="C1760" s="22"/>
      <c r="D1760" s="22"/>
      <c r="E1760" s="22"/>
      <c r="F1760" s="22"/>
      <c r="G1760" s="22"/>
      <c r="H1760" s="22"/>
      <c r="I1760" s="24"/>
      <c r="J1760" s="24"/>
      <c r="K1760" s="24"/>
      <c r="L1760" s="24"/>
      <c r="M1760" s="26"/>
      <c r="N1760" s="26"/>
      <c r="O1760" s="26"/>
      <c r="P1760" s="27"/>
      <c r="Q1760" s="27"/>
      <c r="R1760" s="27"/>
      <c r="S1760" s="22"/>
      <c r="T1760" s="22"/>
      <c r="U1760" s="28"/>
    </row>
    <row r="1761" ht="15.75" customHeight="1">
      <c r="A1761" s="189"/>
      <c r="B1761" s="22"/>
      <c r="C1761" s="22"/>
      <c r="D1761" s="22"/>
      <c r="E1761" s="22"/>
      <c r="F1761" s="22"/>
      <c r="G1761" s="22"/>
      <c r="H1761" s="22"/>
      <c r="I1761" s="24"/>
      <c r="J1761" s="24"/>
      <c r="K1761" s="24"/>
      <c r="L1761" s="24"/>
      <c r="M1761" s="26"/>
      <c r="N1761" s="26"/>
      <c r="O1761" s="26"/>
      <c r="P1761" s="27"/>
      <c r="Q1761" s="27"/>
      <c r="R1761" s="27"/>
      <c r="S1761" s="22"/>
      <c r="T1761" s="22"/>
      <c r="U1761" s="28"/>
    </row>
    <row r="1762" ht="15.75" customHeight="1">
      <c r="A1762" s="189"/>
      <c r="B1762" s="22"/>
      <c r="C1762" s="22"/>
      <c r="D1762" s="22"/>
      <c r="E1762" s="22"/>
      <c r="F1762" s="22"/>
      <c r="G1762" s="22"/>
      <c r="H1762" s="22"/>
      <c r="I1762" s="24"/>
      <c r="J1762" s="24"/>
      <c r="K1762" s="24"/>
      <c r="L1762" s="24"/>
      <c r="M1762" s="26"/>
      <c r="N1762" s="26"/>
      <c r="O1762" s="26"/>
      <c r="P1762" s="27"/>
      <c r="Q1762" s="27"/>
      <c r="R1762" s="27"/>
      <c r="S1762" s="22"/>
      <c r="T1762" s="22"/>
      <c r="U1762" s="28"/>
    </row>
    <row r="1763" ht="15.75" customHeight="1">
      <c r="A1763" s="189"/>
      <c r="B1763" s="22"/>
      <c r="C1763" s="22"/>
      <c r="D1763" s="22"/>
      <c r="E1763" s="22"/>
      <c r="F1763" s="22"/>
      <c r="G1763" s="22"/>
      <c r="H1763" s="22"/>
      <c r="I1763" s="24"/>
      <c r="J1763" s="24"/>
      <c r="K1763" s="24"/>
      <c r="L1763" s="24"/>
      <c r="M1763" s="26"/>
      <c r="N1763" s="26"/>
      <c r="O1763" s="26"/>
      <c r="P1763" s="27"/>
      <c r="Q1763" s="27"/>
      <c r="R1763" s="27"/>
      <c r="S1763" s="22"/>
      <c r="T1763" s="22"/>
      <c r="U1763" s="28"/>
    </row>
    <row r="1764" ht="15.75" customHeight="1">
      <c r="A1764" s="189"/>
      <c r="B1764" s="22"/>
      <c r="C1764" s="22"/>
      <c r="D1764" s="22"/>
      <c r="E1764" s="22"/>
      <c r="F1764" s="22"/>
      <c r="G1764" s="22"/>
      <c r="H1764" s="22"/>
      <c r="I1764" s="24"/>
      <c r="J1764" s="24"/>
      <c r="K1764" s="24"/>
      <c r="L1764" s="24"/>
      <c r="M1764" s="26"/>
      <c r="N1764" s="26"/>
      <c r="O1764" s="26"/>
      <c r="P1764" s="27"/>
      <c r="Q1764" s="27"/>
      <c r="R1764" s="27"/>
      <c r="S1764" s="22"/>
      <c r="T1764" s="22"/>
      <c r="U1764" s="28"/>
    </row>
    <row r="1765" ht="15.75" customHeight="1">
      <c r="A1765" s="189"/>
      <c r="B1765" s="22"/>
      <c r="C1765" s="22"/>
      <c r="D1765" s="22"/>
      <c r="E1765" s="22"/>
      <c r="F1765" s="22"/>
      <c r="G1765" s="22"/>
      <c r="H1765" s="22"/>
      <c r="I1765" s="24"/>
      <c r="J1765" s="24"/>
      <c r="K1765" s="24"/>
      <c r="L1765" s="24"/>
      <c r="M1765" s="26"/>
      <c r="N1765" s="26"/>
      <c r="O1765" s="26"/>
      <c r="P1765" s="27"/>
      <c r="Q1765" s="27"/>
      <c r="R1765" s="27"/>
      <c r="S1765" s="22"/>
      <c r="T1765" s="22"/>
      <c r="U1765" s="28"/>
    </row>
    <row r="1766" ht="15.75" customHeight="1">
      <c r="A1766" s="189"/>
      <c r="B1766" s="22"/>
      <c r="C1766" s="22"/>
      <c r="D1766" s="22"/>
      <c r="E1766" s="22"/>
      <c r="F1766" s="22"/>
      <c r="G1766" s="22"/>
      <c r="H1766" s="22"/>
      <c r="I1766" s="24"/>
      <c r="J1766" s="24"/>
      <c r="K1766" s="24"/>
      <c r="L1766" s="24"/>
      <c r="M1766" s="26"/>
      <c r="N1766" s="26"/>
      <c r="O1766" s="26"/>
      <c r="P1766" s="27"/>
      <c r="Q1766" s="27"/>
      <c r="R1766" s="27"/>
      <c r="S1766" s="22"/>
      <c r="T1766" s="22"/>
      <c r="U1766" s="28"/>
    </row>
    <row r="1767" ht="15.75" customHeight="1">
      <c r="A1767" s="189"/>
      <c r="B1767" s="22"/>
      <c r="C1767" s="22"/>
      <c r="D1767" s="22"/>
      <c r="E1767" s="22"/>
      <c r="F1767" s="22"/>
      <c r="G1767" s="22"/>
      <c r="H1767" s="22"/>
      <c r="I1767" s="24"/>
      <c r="J1767" s="24"/>
      <c r="K1767" s="24"/>
      <c r="L1767" s="24"/>
      <c r="M1767" s="26"/>
      <c r="N1767" s="26"/>
      <c r="O1767" s="26"/>
      <c r="P1767" s="27"/>
      <c r="Q1767" s="27"/>
      <c r="R1767" s="27"/>
      <c r="S1767" s="22"/>
      <c r="T1767" s="22"/>
      <c r="U1767" s="28"/>
    </row>
    <row r="1768" ht="15.75" customHeight="1">
      <c r="A1768" s="189"/>
      <c r="B1768" s="22"/>
      <c r="C1768" s="22"/>
      <c r="D1768" s="22"/>
      <c r="E1768" s="22"/>
      <c r="F1768" s="22"/>
      <c r="G1768" s="22"/>
      <c r="H1768" s="22"/>
      <c r="I1768" s="24"/>
      <c r="J1768" s="24"/>
      <c r="K1768" s="24"/>
      <c r="L1768" s="24"/>
      <c r="M1768" s="26"/>
      <c r="N1768" s="26"/>
      <c r="O1768" s="26"/>
      <c r="P1768" s="27"/>
      <c r="Q1768" s="27"/>
      <c r="R1768" s="27"/>
      <c r="S1768" s="22"/>
      <c r="T1768" s="22"/>
      <c r="U1768" s="28"/>
    </row>
    <row r="1769" ht="15.75" customHeight="1">
      <c r="A1769" s="189"/>
      <c r="B1769" s="22"/>
      <c r="C1769" s="22"/>
      <c r="D1769" s="22"/>
      <c r="E1769" s="22"/>
      <c r="F1769" s="22"/>
      <c r="G1769" s="22"/>
      <c r="H1769" s="22"/>
      <c r="I1769" s="24"/>
      <c r="J1769" s="24"/>
      <c r="K1769" s="24"/>
      <c r="L1769" s="24"/>
      <c r="M1769" s="26"/>
      <c r="N1769" s="26"/>
      <c r="O1769" s="26"/>
      <c r="P1769" s="27"/>
      <c r="Q1769" s="27"/>
      <c r="R1769" s="27"/>
      <c r="S1769" s="22"/>
      <c r="T1769" s="22"/>
      <c r="U1769" s="28"/>
    </row>
    <row r="1770" ht="15.75" customHeight="1">
      <c r="A1770" s="189"/>
      <c r="B1770" s="22"/>
      <c r="C1770" s="22"/>
      <c r="D1770" s="22"/>
      <c r="E1770" s="22"/>
      <c r="F1770" s="22"/>
      <c r="G1770" s="22"/>
      <c r="H1770" s="22"/>
      <c r="I1770" s="24"/>
      <c r="J1770" s="24"/>
      <c r="K1770" s="24"/>
      <c r="L1770" s="24"/>
      <c r="M1770" s="26"/>
      <c r="N1770" s="26"/>
      <c r="O1770" s="26"/>
      <c r="P1770" s="27"/>
      <c r="Q1770" s="27"/>
      <c r="R1770" s="27"/>
      <c r="S1770" s="22"/>
      <c r="T1770" s="22"/>
      <c r="U1770" s="28"/>
    </row>
    <row r="1771" ht="15.75" customHeight="1">
      <c r="A1771" s="189"/>
      <c r="B1771" s="22"/>
      <c r="C1771" s="22"/>
      <c r="D1771" s="22"/>
      <c r="E1771" s="22"/>
      <c r="F1771" s="22"/>
      <c r="G1771" s="22"/>
      <c r="H1771" s="22"/>
      <c r="I1771" s="24"/>
      <c r="J1771" s="24"/>
      <c r="K1771" s="24"/>
      <c r="L1771" s="24"/>
      <c r="M1771" s="26"/>
      <c r="N1771" s="26"/>
      <c r="O1771" s="26"/>
      <c r="P1771" s="27"/>
      <c r="Q1771" s="27"/>
      <c r="R1771" s="27"/>
      <c r="S1771" s="22"/>
      <c r="T1771" s="22"/>
      <c r="U1771" s="28"/>
    </row>
    <row r="1772" ht="15.75" customHeight="1">
      <c r="A1772" s="189"/>
      <c r="B1772" s="22"/>
      <c r="C1772" s="22"/>
      <c r="D1772" s="22"/>
      <c r="E1772" s="22"/>
      <c r="F1772" s="22"/>
      <c r="G1772" s="22"/>
      <c r="H1772" s="22"/>
      <c r="I1772" s="24"/>
      <c r="J1772" s="24"/>
      <c r="K1772" s="24"/>
      <c r="L1772" s="24"/>
      <c r="M1772" s="26"/>
      <c r="N1772" s="26"/>
      <c r="O1772" s="26"/>
      <c r="P1772" s="27"/>
      <c r="Q1772" s="27"/>
      <c r="R1772" s="27"/>
      <c r="S1772" s="22"/>
      <c r="T1772" s="22"/>
      <c r="U1772" s="28"/>
    </row>
    <row r="1773" ht="15.75" customHeight="1">
      <c r="A1773" s="189"/>
      <c r="B1773" s="22"/>
      <c r="C1773" s="22"/>
      <c r="D1773" s="22"/>
      <c r="E1773" s="22"/>
      <c r="F1773" s="22"/>
      <c r="G1773" s="22"/>
      <c r="H1773" s="22"/>
      <c r="I1773" s="24"/>
      <c r="J1773" s="24"/>
      <c r="K1773" s="24"/>
      <c r="L1773" s="24"/>
      <c r="M1773" s="26"/>
      <c r="N1773" s="26"/>
      <c r="O1773" s="26"/>
      <c r="P1773" s="27"/>
      <c r="Q1773" s="27"/>
      <c r="R1773" s="27"/>
      <c r="S1773" s="22"/>
      <c r="T1773" s="22"/>
      <c r="U1773" s="28"/>
    </row>
    <row r="1774" ht="15.75" customHeight="1">
      <c r="A1774" s="189"/>
      <c r="B1774" s="22"/>
      <c r="C1774" s="22"/>
      <c r="D1774" s="22"/>
      <c r="E1774" s="22"/>
      <c r="F1774" s="22"/>
      <c r="G1774" s="22"/>
      <c r="H1774" s="22"/>
      <c r="I1774" s="24"/>
      <c r="J1774" s="24"/>
      <c r="K1774" s="24"/>
      <c r="L1774" s="24"/>
      <c r="M1774" s="26"/>
      <c r="N1774" s="26"/>
      <c r="O1774" s="26"/>
      <c r="P1774" s="27"/>
      <c r="Q1774" s="27"/>
      <c r="R1774" s="27"/>
      <c r="S1774" s="22"/>
      <c r="T1774" s="22"/>
      <c r="U1774" s="28"/>
    </row>
    <row r="1775" ht="15.75" customHeight="1">
      <c r="A1775" s="189"/>
      <c r="B1775" s="22"/>
      <c r="C1775" s="22"/>
      <c r="D1775" s="22"/>
      <c r="E1775" s="22"/>
      <c r="F1775" s="22"/>
      <c r="G1775" s="22"/>
      <c r="H1775" s="22"/>
      <c r="I1775" s="24"/>
      <c r="J1775" s="24"/>
      <c r="K1775" s="24"/>
      <c r="L1775" s="24"/>
      <c r="M1775" s="26"/>
      <c r="N1775" s="26"/>
      <c r="O1775" s="26"/>
      <c r="P1775" s="27"/>
      <c r="Q1775" s="27"/>
      <c r="R1775" s="27"/>
      <c r="S1775" s="22"/>
      <c r="T1775" s="22"/>
      <c r="U1775" s="28"/>
    </row>
    <row r="1776" ht="15.75" customHeight="1">
      <c r="A1776" s="189"/>
      <c r="B1776" s="22"/>
      <c r="C1776" s="22"/>
      <c r="D1776" s="22"/>
      <c r="E1776" s="22"/>
      <c r="F1776" s="22"/>
      <c r="G1776" s="22"/>
      <c r="H1776" s="22"/>
      <c r="I1776" s="24"/>
      <c r="J1776" s="24"/>
      <c r="K1776" s="24"/>
      <c r="L1776" s="24"/>
      <c r="M1776" s="26"/>
      <c r="N1776" s="26"/>
      <c r="O1776" s="26"/>
      <c r="P1776" s="27"/>
      <c r="Q1776" s="27"/>
      <c r="R1776" s="27"/>
      <c r="S1776" s="22"/>
      <c r="T1776" s="22"/>
      <c r="U1776" s="28"/>
    </row>
    <row r="1777" ht="15.75" customHeight="1">
      <c r="A1777" s="189"/>
      <c r="B1777" s="22"/>
      <c r="C1777" s="22"/>
      <c r="D1777" s="22"/>
      <c r="E1777" s="22"/>
      <c r="F1777" s="22"/>
      <c r="G1777" s="22"/>
      <c r="H1777" s="22"/>
      <c r="I1777" s="24"/>
      <c r="J1777" s="24"/>
      <c r="K1777" s="24"/>
      <c r="L1777" s="24"/>
      <c r="M1777" s="26"/>
      <c r="N1777" s="26"/>
      <c r="O1777" s="26"/>
      <c r="P1777" s="27"/>
      <c r="Q1777" s="27"/>
      <c r="R1777" s="27"/>
      <c r="S1777" s="22"/>
      <c r="T1777" s="22"/>
      <c r="U1777" s="28"/>
    </row>
    <row r="1778" ht="15.75" customHeight="1">
      <c r="A1778" s="189"/>
      <c r="B1778" s="22"/>
      <c r="C1778" s="22"/>
      <c r="D1778" s="22"/>
      <c r="E1778" s="22"/>
      <c r="F1778" s="22"/>
      <c r="G1778" s="22"/>
      <c r="H1778" s="22"/>
      <c r="I1778" s="24"/>
      <c r="J1778" s="24"/>
      <c r="K1778" s="24"/>
      <c r="L1778" s="24"/>
      <c r="M1778" s="26"/>
      <c r="N1778" s="26"/>
      <c r="O1778" s="26"/>
      <c r="P1778" s="27"/>
      <c r="Q1778" s="27"/>
      <c r="R1778" s="27"/>
      <c r="S1778" s="22"/>
      <c r="T1778" s="22"/>
      <c r="U1778" s="28"/>
    </row>
    <row r="1779" ht="15.75" customHeight="1">
      <c r="A1779" s="189"/>
      <c r="B1779" s="22"/>
      <c r="C1779" s="22"/>
      <c r="D1779" s="22"/>
      <c r="E1779" s="22"/>
      <c r="F1779" s="22"/>
      <c r="G1779" s="22"/>
      <c r="H1779" s="22"/>
      <c r="I1779" s="24"/>
      <c r="J1779" s="24"/>
      <c r="K1779" s="24"/>
      <c r="L1779" s="24"/>
      <c r="M1779" s="26"/>
      <c r="N1779" s="26"/>
      <c r="O1779" s="26"/>
      <c r="P1779" s="27"/>
      <c r="Q1779" s="27"/>
      <c r="R1779" s="27"/>
      <c r="S1779" s="22"/>
      <c r="T1779" s="22"/>
      <c r="U1779" s="28"/>
    </row>
    <row r="1780" ht="15.75" customHeight="1">
      <c r="A1780" s="189"/>
      <c r="B1780" s="22"/>
      <c r="C1780" s="22"/>
      <c r="D1780" s="22"/>
      <c r="E1780" s="22"/>
      <c r="F1780" s="22"/>
      <c r="G1780" s="22"/>
      <c r="H1780" s="22"/>
      <c r="I1780" s="24"/>
      <c r="J1780" s="24"/>
      <c r="K1780" s="24"/>
      <c r="L1780" s="24"/>
      <c r="M1780" s="26"/>
      <c r="N1780" s="26"/>
      <c r="O1780" s="26"/>
      <c r="P1780" s="27"/>
      <c r="Q1780" s="27"/>
      <c r="R1780" s="27"/>
      <c r="S1780" s="22"/>
      <c r="T1780" s="22"/>
      <c r="U1780" s="28"/>
    </row>
    <row r="1781" ht="15.75" customHeight="1">
      <c r="A1781" s="189"/>
      <c r="B1781" s="22"/>
      <c r="C1781" s="22"/>
      <c r="D1781" s="22"/>
      <c r="E1781" s="22"/>
      <c r="F1781" s="22"/>
      <c r="G1781" s="22"/>
      <c r="H1781" s="22"/>
      <c r="I1781" s="24"/>
      <c r="J1781" s="24"/>
      <c r="K1781" s="24"/>
      <c r="L1781" s="24"/>
      <c r="M1781" s="26"/>
      <c r="N1781" s="26"/>
      <c r="O1781" s="26"/>
      <c r="P1781" s="27"/>
      <c r="Q1781" s="27"/>
      <c r="R1781" s="27"/>
      <c r="S1781" s="22"/>
      <c r="T1781" s="22"/>
      <c r="U1781" s="28"/>
    </row>
    <row r="1782" ht="15.75" customHeight="1">
      <c r="A1782" s="189"/>
      <c r="B1782" s="22"/>
      <c r="C1782" s="22"/>
      <c r="D1782" s="22"/>
      <c r="E1782" s="22"/>
      <c r="F1782" s="22"/>
      <c r="G1782" s="22"/>
      <c r="H1782" s="22"/>
      <c r="I1782" s="24"/>
      <c r="J1782" s="24"/>
      <c r="K1782" s="24"/>
      <c r="L1782" s="24"/>
      <c r="M1782" s="26"/>
      <c r="N1782" s="26"/>
      <c r="O1782" s="26"/>
      <c r="P1782" s="27"/>
      <c r="Q1782" s="27"/>
      <c r="R1782" s="27"/>
      <c r="S1782" s="22"/>
      <c r="T1782" s="22"/>
      <c r="U1782" s="28"/>
    </row>
    <row r="1783" ht="15.75" customHeight="1">
      <c r="A1783" s="189"/>
      <c r="B1783" s="22"/>
      <c r="C1783" s="22"/>
      <c r="D1783" s="22"/>
      <c r="E1783" s="22"/>
      <c r="F1783" s="22"/>
      <c r="G1783" s="22"/>
      <c r="H1783" s="22"/>
      <c r="I1783" s="24"/>
      <c r="J1783" s="24"/>
      <c r="K1783" s="24"/>
      <c r="L1783" s="24"/>
      <c r="M1783" s="26"/>
      <c r="N1783" s="26"/>
      <c r="O1783" s="26"/>
      <c r="P1783" s="27"/>
      <c r="Q1783" s="27"/>
      <c r="R1783" s="27"/>
      <c r="S1783" s="22"/>
      <c r="T1783" s="22"/>
      <c r="U1783" s="28"/>
    </row>
    <row r="1784" ht="15.75" customHeight="1">
      <c r="A1784" s="189"/>
      <c r="B1784" s="22"/>
      <c r="C1784" s="22"/>
      <c r="D1784" s="22"/>
      <c r="E1784" s="22"/>
      <c r="F1784" s="22"/>
      <c r="G1784" s="22"/>
      <c r="H1784" s="22"/>
      <c r="I1784" s="24"/>
      <c r="J1784" s="24"/>
      <c r="K1784" s="24"/>
      <c r="L1784" s="24"/>
      <c r="M1784" s="26"/>
      <c r="N1784" s="26"/>
      <c r="O1784" s="26"/>
      <c r="P1784" s="27"/>
      <c r="Q1784" s="27"/>
      <c r="R1784" s="27"/>
      <c r="S1784" s="22"/>
      <c r="T1784" s="22"/>
      <c r="U1784" s="28"/>
    </row>
    <row r="1785" ht="15.75" customHeight="1">
      <c r="A1785" s="189"/>
      <c r="B1785" s="22"/>
      <c r="C1785" s="22"/>
      <c r="D1785" s="22"/>
      <c r="E1785" s="22"/>
      <c r="F1785" s="22"/>
      <c r="G1785" s="22"/>
      <c r="H1785" s="22"/>
      <c r="I1785" s="24"/>
      <c r="J1785" s="24"/>
      <c r="K1785" s="24"/>
      <c r="L1785" s="24"/>
      <c r="M1785" s="26"/>
      <c r="N1785" s="26"/>
      <c r="O1785" s="26"/>
      <c r="P1785" s="27"/>
      <c r="Q1785" s="27"/>
      <c r="R1785" s="27"/>
      <c r="S1785" s="22"/>
      <c r="T1785" s="22"/>
      <c r="U1785" s="28"/>
    </row>
    <row r="1786" ht="15.75" customHeight="1">
      <c r="A1786" s="189"/>
      <c r="B1786" s="22"/>
      <c r="C1786" s="22"/>
      <c r="D1786" s="22"/>
      <c r="E1786" s="22"/>
      <c r="F1786" s="22"/>
      <c r="G1786" s="22"/>
      <c r="H1786" s="22"/>
      <c r="I1786" s="24"/>
      <c r="J1786" s="24"/>
      <c r="K1786" s="24"/>
      <c r="L1786" s="24"/>
      <c r="M1786" s="26"/>
      <c r="N1786" s="26"/>
      <c r="O1786" s="26"/>
      <c r="P1786" s="27"/>
      <c r="Q1786" s="27"/>
      <c r="R1786" s="27"/>
      <c r="S1786" s="22"/>
      <c r="T1786" s="22"/>
      <c r="U1786" s="28"/>
    </row>
    <row r="1787" ht="15.75" customHeight="1">
      <c r="A1787" s="189"/>
      <c r="B1787" s="22"/>
      <c r="C1787" s="22"/>
      <c r="D1787" s="22"/>
      <c r="E1787" s="22"/>
      <c r="F1787" s="22"/>
      <c r="G1787" s="22"/>
      <c r="H1787" s="22"/>
      <c r="I1787" s="24"/>
      <c r="J1787" s="24"/>
      <c r="K1787" s="24"/>
      <c r="L1787" s="24"/>
      <c r="M1787" s="26"/>
      <c r="N1787" s="26"/>
      <c r="O1787" s="26"/>
      <c r="P1787" s="27"/>
      <c r="Q1787" s="27"/>
      <c r="R1787" s="27"/>
      <c r="S1787" s="22"/>
      <c r="T1787" s="22"/>
      <c r="U1787" s="28"/>
    </row>
    <row r="1788" ht="15.75" customHeight="1">
      <c r="A1788" s="189"/>
      <c r="B1788" s="22"/>
      <c r="C1788" s="22"/>
      <c r="D1788" s="22"/>
      <c r="E1788" s="22"/>
      <c r="F1788" s="22"/>
      <c r="G1788" s="22"/>
      <c r="H1788" s="22"/>
      <c r="I1788" s="24"/>
      <c r="J1788" s="24"/>
      <c r="K1788" s="24"/>
      <c r="L1788" s="24"/>
      <c r="M1788" s="26"/>
      <c r="N1788" s="26"/>
      <c r="O1788" s="26"/>
      <c r="P1788" s="27"/>
      <c r="Q1788" s="27"/>
      <c r="R1788" s="27"/>
      <c r="S1788" s="22"/>
      <c r="T1788" s="22"/>
      <c r="U1788" s="28"/>
    </row>
    <row r="1789" ht="15.75" customHeight="1">
      <c r="A1789" s="189"/>
      <c r="B1789" s="22"/>
      <c r="C1789" s="22"/>
      <c r="D1789" s="22"/>
      <c r="E1789" s="22"/>
      <c r="F1789" s="22"/>
      <c r="G1789" s="22"/>
      <c r="H1789" s="22"/>
      <c r="I1789" s="24"/>
      <c r="J1789" s="24"/>
      <c r="K1789" s="24"/>
      <c r="L1789" s="24"/>
      <c r="M1789" s="26"/>
      <c r="N1789" s="26"/>
      <c r="O1789" s="26"/>
      <c r="P1789" s="27"/>
      <c r="Q1789" s="27"/>
      <c r="R1789" s="27"/>
      <c r="S1789" s="22"/>
      <c r="T1789" s="22"/>
      <c r="U1789" s="28"/>
    </row>
    <row r="1790" ht="15.75" customHeight="1">
      <c r="A1790" s="189"/>
      <c r="B1790" s="22"/>
      <c r="C1790" s="22"/>
      <c r="D1790" s="22"/>
      <c r="E1790" s="22"/>
      <c r="F1790" s="22"/>
      <c r="G1790" s="22"/>
      <c r="H1790" s="22"/>
      <c r="I1790" s="24"/>
      <c r="J1790" s="24"/>
      <c r="K1790" s="24"/>
      <c r="L1790" s="24"/>
      <c r="M1790" s="26"/>
      <c r="N1790" s="26"/>
      <c r="O1790" s="26"/>
      <c r="P1790" s="27"/>
      <c r="Q1790" s="27"/>
      <c r="R1790" s="27"/>
      <c r="S1790" s="22"/>
      <c r="T1790" s="22"/>
      <c r="U1790" s="28"/>
    </row>
    <row r="1791" ht="15.75" customHeight="1">
      <c r="A1791" s="189"/>
      <c r="B1791" s="22"/>
      <c r="C1791" s="22"/>
      <c r="D1791" s="22"/>
      <c r="E1791" s="22"/>
      <c r="F1791" s="22"/>
      <c r="G1791" s="22"/>
      <c r="H1791" s="22"/>
      <c r="I1791" s="24"/>
      <c r="J1791" s="24"/>
      <c r="K1791" s="24"/>
      <c r="L1791" s="24"/>
      <c r="M1791" s="26"/>
      <c r="N1791" s="26"/>
      <c r="O1791" s="26"/>
      <c r="P1791" s="27"/>
      <c r="Q1791" s="27"/>
      <c r="R1791" s="27"/>
      <c r="S1791" s="22"/>
      <c r="T1791" s="22"/>
      <c r="U1791" s="28"/>
    </row>
    <row r="1792" ht="15.75" customHeight="1">
      <c r="A1792" s="189"/>
      <c r="B1792" s="22"/>
      <c r="C1792" s="22"/>
      <c r="D1792" s="22"/>
      <c r="E1792" s="22"/>
      <c r="F1792" s="22"/>
      <c r="G1792" s="22"/>
      <c r="H1792" s="22"/>
      <c r="I1792" s="24"/>
      <c r="J1792" s="24"/>
      <c r="K1792" s="24"/>
      <c r="L1792" s="24"/>
      <c r="M1792" s="26"/>
      <c r="N1792" s="26"/>
      <c r="O1792" s="26"/>
      <c r="P1792" s="27"/>
      <c r="Q1792" s="27"/>
      <c r="R1792" s="27"/>
      <c r="S1792" s="22"/>
      <c r="T1792" s="22"/>
      <c r="U1792" s="28"/>
    </row>
    <row r="1793" ht="15.75" customHeight="1">
      <c r="A1793" s="189"/>
      <c r="B1793" s="22"/>
      <c r="C1793" s="22"/>
      <c r="D1793" s="22"/>
      <c r="E1793" s="22"/>
      <c r="F1793" s="22"/>
      <c r="G1793" s="22"/>
      <c r="H1793" s="22"/>
      <c r="I1793" s="24"/>
      <c r="J1793" s="24"/>
      <c r="K1793" s="24"/>
      <c r="L1793" s="24"/>
      <c r="M1793" s="26"/>
      <c r="N1793" s="26"/>
      <c r="O1793" s="26"/>
      <c r="P1793" s="27"/>
      <c r="Q1793" s="27"/>
      <c r="R1793" s="27"/>
      <c r="S1793" s="22"/>
      <c r="T1793" s="22"/>
      <c r="U1793" s="28"/>
    </row>
    <row r="1794" ht="15.75" customHeight="1">
      <c r="A1794" s="189"/>
      <c r="B1794" s="22"/>
      <c r="C1794" s="22"/>
      <c r="D1794" s="22"/>
      <c r="E1794" s="22"/>
      <c r="F1794" s="22"/>
      <c r="G1794" s="22"/>
      <c r="H1794" s="22"/>
      <c r="I1794" s="24"/>
      <c r="J1794" s="24"/>
      <c r="K1794" s="24"/>
      <c r="L1794" s="24"/>
      <c r="M1794" s="26"/>
      <c r="N1794" s="26"/>
      <c r="O1794" s="26"/>
      <c r="P1794" s="27"/>
      <c r="Q1794" s="27"/>
      <c r="R1794" s="27"/>
      <c r="S1794" s="22"/>
      <c r="T1794" s="22"/>
      <c r="U1794" s="28"/>
    </row>
    <row r="1795" ht="15.75" customHeight="1">
      <c r="A1795" s="189"/>
      <c r="B1795" s="22"/>
      <c r="C1795" s="22"/>
      <c r="D1795" s="22"/>
      <c r="E1795" s="22"/>
      <c r="F1795" s="22"/>
      <c r="G1795" s="22"/>
      <c r="H1795" s="22"/>
      <c r="I1795" s="24"/>
      <c r="J1795" s="24"/>
      <c r="K1795" s="24"/>
      <c r="L1795" s="24"/>
      <c r="M1795" s="26"/>
      <c r="N1795" s="26"/>
      <c r="O1795" s="26"/>
      <c r="P1795" s="27"/>
      <c r="Q1795" s="27"/>
      <c r="R1795" s="27"/>
      <c r="S1795" s="22"/>
      <c r="T1795" s="22"/>
      <c r="U1795" s="28"/>
    </row>
    <row r="1796" ht="15.75" customHeight="1">
      <c r="A1796" s="189"/>
      <c r="B1796" s="22"/>
      <c r="C1796" s="22"/>
      <c r="D1796" s="22"/>
      <c r="E1796" s="22"/>
      <c r="F1796" s="22"/>
      <c r="G1796" s="22"/>
      <c r="H1796" s="22"/>
      <c r="I1796" s="24"/>
      <c r="J1796" s="24"/>
      <c r="K1796" s="24"/>
      <c r="L1796" s="24"/>
      <c r="M1796" s="26"/>
      <c r="N1796" s="26"/>
      <c r="O1796" s="26"/>
      <c r="P1796" s="27"/>
      <c r="Q1796" s="27"/>
      <c r="R1796" s="27"/>
      <c r="S1796" s="22"/>
      <c r="T1796" s="22"/>
      <c r="U1796" s="28"/>
    </row>
    <row r="1797" ht="15.75" customHeight="1">
      <c r="A1797" s="189"/>
      <c r="B1797" s="22"/>
      <c r="C1797" s="22"/>
      <c r="D1797" s="22"/>
      <c r="E1797" s="22"/>
      <c r="F1797" s="22"/>
      <c r="G1797" s="22"/>
      <c r="H1797" s="22"/>
      <c r="I1797" s="24"/>
      <c r="J1797" s="24"/>
      <c r="K1797" s="24"/>
      <c r="L1797" s="24"/>
      <c r="M1797" s="26"/>
      <c r="N1797" s="26"/>
      <c r="O1797" s="26"/>
      <c r="P1797" s="27"/>
      <c r="Q1797" s="27"/>
      <c r="R1797" s="27"/>
      <c r="S1797" s="22"/>
      <c r="T1797" s="22"/>
      <c r="U1797" s="28"/>
    </row>
    <row r="1798" ht="15.75" customHeight="1">
      <c r="A1798" s="189"/>
      <c r="B1798" s="22"/>
      <c r="C1798" s="22"/>
      <c r="D1798" s="22"/>
      <c r="E1798" s="22"/>
      <c r="F1798" s="22"/>
      <c r="G1798" s="22"/>
      <c r="H1798" s="22"/>
      <c r="I1798" s="24"/>
      <c r="J1798" s="24"/>
      <c r="K1798" s="24"/>
      <c r="L1798" s="24"/>
      <c r="M1798" s="26"/>
      <c r="N1798" s="26"/>
      <c r="O1798" s="26"/>
      <c r="P1798" s="27"/>
      <c r="Q1798" s="27"/>
      <c r="R1798" s="27"/>
      <c r="S1798" s="22"/>
      <c r="T1798" s="22"/>
      <c r="U1798" s="28"/>
    </row>
    <row r="1799" ht="15.75" customHeight="1">
      <c r="A1799" s="189"/>
      <c r="B1799" s="22"/>
      <c r="C1799" s="22"/>
      <c r="D1799" s="22"/>
      <c r="E1799" s="22"/>
      <c r="F1799" s="22"/>
      <c r="G1799" s="22"/>
      <c r="H1799" s="22"/>
      <c r="I1799" s="24"/>
      <c r="J1799" s="24"/>
      <c r="K1799" s="24"/>
      <c r="L1799" s="24"/>
      <c r="M1799" s="26"/>
      <c r="N1799" s="26"/>
      <c r="O1799" s="26"/>
      <c r="P1799" s="27"/>
      <c r="Q1799" s="27"/>
      <c r="R1799" s="27"/>
      <c r="S1799" s="22"/>
      <c r="T1799" s="22"/>
      <c r="U1799" s="28"/>
    </row>
    <row r="1800" ht="15.75" customHeight="1">
      <c r="A1800" s="189"/>
      <c r="B1800" s="22"/>
      <c r="C1800" s="22"/>
      <c r="D1800" s="22"/>
      <c r="E1800" s="22"/>
      <c r="F1800" s="22"/>
      <c r="G1800" s="22"/>
      <c r="H1800" s="22"/>
      <c r="I1800" s="24"/>
      <c r="J1800" s="24"/>
      <c r="K1800" s="24"/>
      <c r="L1800" s="24"/>
      <c r="M1800" s="26"/>
      <c r="N1800" s="26"/>
      <c r="O1800" s="26"/>
      <c r="P1800" s="27"/>
      <c r="Q1800" s="27"/>
      <c r="R1800" s="27"/>
      <c r="S1800" s="22"/>
      <c r="T1800" s="22"/>
      <c r="U1800" s="28"/>
    </row>
    <row r="1801" ht="15.75" customHeight="1">
      <c r="A1801" s="189"/>
      <c r="B1801" s="22"/>
      <c r="C1801" s="22"/>
      <c r="D1801" s="22"/>
      <c r="E1801" s="22"/>
      <c r="F1801" s="22"/>
      <c r="G1801" s="22"/>
      <c r="H1801" s="22"/>
      <c r="I1801" s="24"/>
      <c r="J1801" s="24"/>
      <c r="K1801" s="24"/>
      <c r="L1801" s="24"/>
      <c r="M1801" s="26"/>
      <c r="N1801" s="26"/>
      <c r="O1801" s="26"/>
      <c r="P1801" s="27"/>
      <c r="Q1801" s="27"/>
      <c r="R1801" s="27"/>
      <c r="S1801" s="22"/>
      <c r="T1801" s="22"/>
      <c r="U1801" s="28"/>
    </row>
    <row r="1802" ht="15.75" customHeight="1">
      <c r="A1802" s="189"/>
      <c r="B1802" s="22"/>
      <c r="C1802" s="22"/>
      <c r="D1802" s="22"/>
      <c r="E1802" s="22"/>
      <c r="F1802" s="22"/>
      <c r="G1802" s="22"/>
      <c r="H1802" s="22"/>
      <c r="I1802" s="24"/>
      <c r="J1802" s="24"/>
      <c r="K1802" s="24"/>
      <c r="L1802" s="24"/>
      <c r="M1802" s="26"/>
      <c r="N1802" s="26"/>
      <c r="O1802" s="26"/>
      <c r="P1802" s="27"/>
      <c r="Q1802" s="27"/>
      <c r="R1802" s="27"/>
      <c r="S1802" s="22"/>
      <c r="T1802" s="22"/>
      <c r="U1802" s="28"/>
    </row>
    <row r="1803" ht="15.75" customHeight="1">
      <c r="A1803" s="189"/>
      <c r="B1803" s="22"/>
      <c r="C1803" s="22"/>
      <c r="D1803" s="22"/>
      <c r="E1803" s="22"/>
      <c r="F1803" s="22"/>
      <c r="G1803" s="22"/>
      <c r="H1803" s="22"/>
      <c r="I1803" s="24"/>
      <c r="J1803" s="24"/>
      <c r="K1803" s="24"/>
      <c r="L1803" s="24"/>
      <c r="M1803" s="26"/>
      <c r="N1803" s="26"/>
      <c r="O1803" s="26"/>
      <c r="P1803" s="27"/>
      <c r="Q1803" s="27"/>
      <c r="R1803" s="27"/>
      <c r="S1803" s="22"/>
      <c r="T1803" s="22"/>
      <c r="U1803" s="28"/>
    </row>
    <row r="1804" ht="15.75" customHeight="1">
      <c r="A1804" s="189"/>
      <c r="B1804" s="22"/>
      <c r="C1804" s="22"/>
      <c r="D1804" s="22"/>
      <c r="E1804" s="22"/>
      <c r="F1804" s="22"/>
      <c r="G1804" s="22"/>
      <c r="H1804" s="22"/>
      <c r="I1804" s="24"/>
      <c r="J1804" s="24"/>
      <c r="K1804" s="24"/>
      <c r="L1804" s="24"/>
      <c r="M1804" s="26"/>
      <c r="N1804" s="26"/>
      <c r="O1804" s="26"/>
      <c r="P1804" s="27"/>
      <c r="Q1804" s="27"/>
      <c r="R1804" s="27"/>
      <c r="S1804" s="22"/>
      <c r="T1804" s="22"/>
      <c r="U1804" s="28"/>
    </row>
    <row r="1805" ht="15.75" customHeight="1">
      <c r="A1805" s="189"/>
      <c r="B1805" s="22"/>
      <c r="C1805" s="22"/>
      <c r="D1805" s="22"/>
      <c r="E1805" s="22"/>
      <c r="F1805" s="22"/>
      <c r="G1805" s="22"/>
      <c r="H1805" s="22"/>
      <c r="I1805" s="24"/>
      <c r="J1805" s="24"/>
      <c r="K1805" s="24"/>
      <c r="L1805" s="24"/>
      <c r="M1805" s="26"/>
      <c r="N1805" s="26"/>
      <c r="O1805" s="26"/>
      <c r="P1805" s="27"/>
      <c r="Q1805" s="27"/>
      <c r="R1805" s="27"/>
      <c r="S1805" s="22"/>
      <c r="T1805" s="22"/>
      <c r="U1805" s="28"/>
    </row>
    <row r="1806" ht="15.75" customHeight="1">
      <c r="A1806" s="189"/>
      <c r="B1806" s="22"/>
      <c r="C1806" s="22"/>
      <c r="D1806" s="22"/>
      <c r="E1806" s="22"/>
      <c r="F1806" s="22"/>
      <c r="G1806" s="22"/>
      <c r="H1806" s="22"/>
      <c r="I1806" s="24"/>
      <c r="J1806" s="24"/>
      <c r="K1806" s="24"/>
      <c r="L1806" s="24"/>
      <c r="M1806" s="26"/>
      <c r="N1806" s="26"/>
      <c r="O1806" s="26"/>
      <c r="P1806" s="27"/>
      <c r="Q1806" s="27"/>
      <c r="R1806" s="27"/>
      <c r="S1806" s="22"/>
      <c r="T1806" s="22"/>
      <c r="U1806" s="28"/>
    </row>
    <row r="1807" ht="15.75" customHeight="1">
      <c r="A1807" s="189"/>
      <c r="B1807" s="22"/>
      <c r="C1807" s="22"/>
      <c r="D1807" s="22"/>
      <c r="E1807" s="22"/>
      <c r="F1807" s="22"/>
      <c r="G1807" s="22"/>
      <c r="H1807" s="22"/>
      <c r="I1807" s="24"/>
      <c r="J1807" s="24"/>
      <c r="K1807" s="24"/>
      <c r="L1807" s="24"/>
      <c r="M1807" s="26"/>
      <c r="N1807" s="26"/>
      <c r="O1807" s="26"/>
      <c r="P1807" s="27"/>
      <c r="Q1807" s="27"/>
      <c r="R1807" s="27"/>
      <c r="S1807" s="22"/>
      <c r="T1807" s="22"/>
      <c r="U1807" s="28"/>
    </row>
    <row r="1808" ht="15.75" customHeight="1">
      <c r="A1808" s="189"/>
      <c r="B1808" s="22"/>
      <c r="C1808" s="22"/>
      <c r="D1808" s="22"/>
      <c r="E1808" s="22"/>
      <c r="F1808" s="22"/>
      <c r="G1808" s="22"/>
      <c r="H1808" s="22"/>
      <c r="I1808" s="24"/>
      <c r="J1808" s="24"/>
      <c r="K1808" s="24"/>
      <c r="L1808" s="24"/>
      <c r="M1808" s="26"/>
      <c r="N1808" s="26"/>
      <c r="O1808" s="26"/>
      <c r="P1808" s="27"/>
      <c r="Q1808" s="27"/>
      <c r="R1808" s="27"/>
      <c r="S1808" s="22"/>
      <c r="T1808" s="22"/>
      <c r="U1808" s="28"/>
    </row>
    <row r="1809" ht="15.75" customHeight="1">
      <c r="A1809" s="189"/>
      <c r="B1809" s="22"/>
      <c r="C1809" s="22"/>
      <c r="D1809" s="22"/>
      <c r="E1809" s="22"/>
      <c r="F1809" s="22"/>
      <c r="G1809" s="22"/>
      <c r="H1809" s="22"/>
      <c r="I1809" s="24"/>
      <c r="J1809" s="24"/>
      <c r="K1809" s="24"/>
      <c r="L1809" s="24"/>
      <c r="M1809" s="26"/>
      <c r="N1809" s="26"/>
      <c r="O1809" s="26"/>
      <c r="P1809" s="27"/>
      <c r="Q1809" s="27"/>
      <c r="R1809" s="27"/>
      <c r="S1809" s="22"/>
      <c r="T1809" s="22"/>
      <c r="U1809" s="28"/>
    </row>
    <row r="1810" ht="15.75" customHeight="1">
      <c r="A1810" s="189"/>
      <c r="B1810" s="22"/>
      <c r="C1810" s="22"/>
      <c r="D1810" s="22"/>
      <c r="E1810" s="22"/>
      <c r="F1810" s="22"/>
      <c r="G1810" s="22"/>
      <c r="H1810" s="22"/>
      <c r="I1810" s="24"/>
      <c r="J1810" s="24"/>
      <c r="K1810" s="24"/>
      <c r="L1810" s="24"/>
      <c r="M1810" s="26"/>
      <c r="N1810" s="26"/>
      <c r="O1810" s="26"/>
      <c r="P1810" s="27"/>
      <c r="Q1810" s="27"/>
      <c r="R1810" s="27"/>
      <c r="S1810" s="22"/>
      <c r="T1810" s="22"/>
      <c r="U1810" s="28"/>
    </row>
    <row r="1811" ht="15.75" customHeight="1">
      <c r="A1811" s="189"/>
      <c r="B1811" s="22"/>
      <c r="C1811" s="22"/>
      <c r="D1811" s="22"/>
      <c r="E1811" s="22"/>
      <c r="F1811" s="22"/>
      <c r="G1811" s="22"/>
      <c r="H1811" s="22"/>
      <c r="I1811" s="24"/>
      <c r="J1811" s="24"/>
      <c r="K1811" s="24"/>
      <c r="L1811" s="24"/>
      <c r="M1811" s="26"/>
      <c r="N1811" s="26"/>
      <c r="O1811" s="26"/>
      <c r="P1811" s="27"/>
      <c r="Q1811" s="27"/>
      <c r="R1811" s="27"/>
      <c r="S1811" s="22"/>
      <c r="T1811" s="22"/>
      <c r="U1811" s="28"/>
    </row>
    <row r="1812" ht="15.75" customHeight="1">
      <c r="A1812" s="189"/>
      <c r="B1812" s="22"/>
      <c r="C1812" s="22"/>
      <c r="D1812" s="22"/>
      <c r="E1812" s="22"/>
      <c r="F1812" s="22"/>
      <c r="G1812" s="22"/>
      <c r="H1812" s="22"/>
      <c r="I1812" s="24"/>
      <c r="J1812" s="24"/>
      <c r="K1812" s="24"/>
      <c r="L1812" s="24"/>
      <c r="M1812" s="26"/>
      <c r="N1812" s="26"/>
      <c r="O1812" s="26"/>
      <c r="P1812" s="27"/>
      <c r="Q1812" s="27"/>
      <c r="R1812" s="27"/>
      <c r="S1812" s="22"/>
      <c r="T1812" s="22"/>
      <c r="U1812" s="28"/>
    </row>
    <row r="1813" ht="15.75" customHeight="1">
      <c r="A1813" s="189"/>
      <c r="B1813" s="22"/>
      <c r="C1813" s="22"/>
      <c r="D1813" s="22"/>
      <c r="E1813" s="22"/>
      <c r="F1813" s="22"/>
      <c r="G1813" s="22"/>
      <c r="H1813" s="22"/>
      <c r="I1813" s="24"/>
      <c r="J1813" s="24"/>
      <c r="K1813" s="24"/>
      <c r="L1813" s="24"/>
      <c r="M1813" s="26"/>
      <c r="N1813" s="26"/>
      <c r="O1813" s="26"/>
      <c r="P1813" s="27"/>
      <c r="Q1813" s="27"/>
      <c r="R1813" s="27"/>
      <c r="S1813" s="22"/>
      <c r="T1813" s="22"/>
      <c r="U1813" s="28"/>
    </row>
    <row r="1814" ht="15.75" customHeight="1">
      <c r="A1814" s="189"/>
      <c r="B1814" s="22"/>
      <c r="C1814" s="22"/>
      <c r="D1814" s="22"/>
      <c r="E1814" s="22"/>
      <c r="F1814" s="22"/>
      <c r="G1814" s="22"/>
      <c r="H1814" s="22"/>
      <c r="I1814" s="24"/>
      <c r="J1814" s="24"/>
      <c r="K1814" s="24"/>
      <c r="L1814" s="24"/>
      <c r="M1814" s="26"/>
      <c r="N1814" s="26"/>
      <c r="O1814" s="26"/>
      <c r="P1814" s="27"/>
      <c r="Q1814" s="27"/>
      <c r="R1814" s="27"/>
      <c r="S1814" s="22"/>
      <c r="T1814" s="22"/>
      <c r="U1814" s="28"/>
    </row>
    <row r="1815" ht="15.75" customHeight="1">
      <c r="A1815" s="189"/>
      <c r="B1815" s="22"/>
      <c r="C1815" s="22"/>
      <c r="D1815" s="22"/>
      <c r="E1815" s="22"/>
      <c r="F1815" s="22"/>
      <c r="G1815" s="22"/>
      <c r="H1815" s="22"/>
      <c r="I1815" s="24"/>
      <c r="J1815" s="24"/>
      <c r="K1815" s="24"/>
      <c r="L1815" s="24"/>
      <c r="M1815" s="26"/>
      <c r="N1815" s="26"/>
      <c r="O1815" s="26"/>
      <c r="P1815" s="27"/>
      <c r="Q1815" s="27"/>
      <c r="R1815" s="27"/>
      <c r="S1815" s="22"/>
      <c r="T1815" s="22"/>
      <c r="U1815" s="28"/>
    </row>
    <row r="1816" ht="15.75" customHeight="1">
      <c r="A1816" s="189"/>
      <c r="B1816" s="22"/>
      <c r="C1816" s="22"/>
      <c r="D1816" s="22"/>
      <c r="E1816" s="22"/>
      <c r="F1816" s="22"/>
      <c r="G1816" s="22"/>
      <c r="H1816" s="22"/>
      <c r="I1816" s="24"/>
      <c r="J1816" s="24"/>
      <c r="K1816" s="24"/>
      <c r="L1816" s="24"/>
      <c r="M1816" s="26"/>
      <c r="N1816" s="26"/>
      <c r="O1816" s="26"/>
      <c r="P1816" s="27"/>
      <c r="Q1816" s="27"/>
      <c r="R1816" s="27"/>
      <c r="S1816" s="22"/>
      <c r="T1816" s="22"/>
      <c r="U1816" s="28"/>
    </row>
    <row r="1817" ht="15.75" customHeight="1">
      <c r="A1817" s="189"/>
      <c r="B1817" s="22"/>
      <c r="C1817" s="22"/>
      <c r="D1817" s="22"/>
      <c r="E1817" s="22"/>
      <c r="F1817" s="22"/>
      <c r="G1817" s="22"/>
      <c r="H1817" s="22"/>
      <c r="I1817" s="24"/>
      <c r="J1817" s="24"/>
      <c r="K1817" s="24"/>
      <c r="L1817" s="24"/>
      <c r="M1817" s="26"/>
      <c r="N1817" s="26"/>
      <c r="O1817" s="26"/>
      <c r="P1817" s="27"/>
      <c r="Q1817" s="27"/>
      <c r="R1817" s="27"/>
      <c r="S1817" s="22"/>
      <c r="T1817" s="22"/>
      <c r="U1817" s="28"/>
    </row>
    <row r="1818" ht="15.75" customHeight="1">
      <c r="A1818" s="189"/>
      <c r="B1818" s="22"/>
      <c r="C1818" s="22"/>
      <c r="D1818" s="22"/>
      <c r="E1818" s="22"/>
      <c r="F1818" s="22"/>
      <c r="G1818" s="22"/>
      <c r="H1818" s="22"/>
      <c r="I1818" s="24"/>
      <c r="J1818" s="24"/>
      <c r="K1818" s="24"/>
      <c r="L1818" s="24"/>
      <c r="M1818" s="26"/>
      <c r="N1818" s="26"/>
      <c r="O1818" s="26"/>
      <c r="P1818" s="27"/>
      <c r="Q1818" s="27"/>
      <c r="R1818" s="27"/>
      <c r="S1818" s="22"/>
      <c r="T1818" s="22"/>
      <c r="U1818" s="28"/>
    </row>
    <row r="1819" ht="15.75" customHeight="1">
      <c r="A1819" s="189"/>
      <c r="B1819" s="22"/>
      <c r="C1819" s="22"/>
      <c r="D1819" s="22"/>
      <c r="E1819" s="22"/>
      <c r="F1819" s="22"/>
      <c r="G1819" s="22"/>
      <c r="H1819" s="22"/>
      <c r="I1819" s="24"/>
      <c r="J1819" s="24"/>
      <c r="K1819" s="24"/>
      <c r="L1819" s="24"/>
      <c r="M1819" s="26"/>
      <c r="N1819" s="26"/>
      <c r="O1819" s="26"/>
      <c r="P1819" s="27"/>
      <c r="Q1819" s="27"/>
      <c r="R1819" s="27"/>
      <c r="S1819" s="22"/>
      <c r="T1819" s="22"/>
      <c r="U1819" s="28"/>
    </row>
    <row r="1820" ht="15.75" customHeight="1">
      <c r="A1820" s="189"/>
      <c r="B1820" s="22"/>
      <c r="C1820" s="22"/>
      <c r="D1820" s="22"/>
      <c r="E1820" s="22"/>
      <c r="F1820" s="22"/>
      <c r="G1820" s="22"/>
      <c r="H1820" s="22"/>
      <c r="I1820" s="24"/>
      <c r="J1820" s="24"/>
      <c r="K1820" s="24"/>
      <c r="L1820" s="24"/>
      <c r="M1820" s="26"/>
      <c r="N1820" s="26"/>
      <c r="O1820" s="26"/>
      <c r="P1820" s="27"/>
      <c r="Q1820" s="27"/>
      <c r="R1820" s="27"/>
      <c r="S1820" s="22"/>
      <c r="T1820" s="22"/>
      <c r="U1820" s="28"/>
    </row>
    <row r="1821" ht="15.75" customHeight="1">
      <c r="A1821" s="189"/>
      <c r="B1821" s="22"/>
      <c r="C1821" s="22"/>
      <c r="D1821" s="22"/>
      <c r="E1821" s="22"/>
      <c r="F1821" s="22"/>
      <c r="G1821" s="22"/>
      <c r="H1821" s="22"/>
      <c r="I1821" s="24"/>
      <c r="J1821" s="24"/>
      <c r="K1821" s="24"/>
      <c r="L1821" s="24"/>
      <c r="M1821" s="26"/>
      <c r="N1821" s="26"/>
      <c r="O1821" s="26"/>
      <c r="P1821" s="27"/>
      <c r="Q1821" s="27"/>
      <c r="R1821" s="27"/>
      <c r="S1821" s="22"/>
      <c r="T1821" s="22"/>
      <c r="U1821" s="28"/>
    </row>
    <row r="1822" ht="15.75" customHeight="1">
      <c r="A1822" s="189"/>
      <c r="B1822" s="22"/>
      <c r="C1822" s="22"/>
      <c r="D1822" s="22"/>
      <c r="E1822" s="22"/>
      <c r="F1822" s="22"/>
      <c r="G1822" s="22"/>
      <c r="H1822" s="22"/>
      <c r="I1822" s="24"/>
      <c r="J1822" s="24"/>
      <c r="K1822" s="24"/>
      <c r="L1822" s="24"/>
      <c r="M1822" s="26"/>
      <c r="N1822" s="26"/>
      <c r="O1822" s="26"/>
      <c r="P1822" s="27"/>
      <c r="Q1822" s="27"/>
      <c r="R1822" s="27"/>
      <c r="S1822" s="22"/>
      <c r="T1822" s="22"/>
      <c r="U1822" s="28"/>
    </row>
    <row r="1823" ht="15.75" customHeight="1">
      <c r="A1823" s="189"/>
      <c r="B1823" s="22"/>
      <c r="C1823" s="22"/>
      <c r="D1823" s="22"/>
      <c r="E1823" s="22"/>
      <c r="F1823" s="22"/>
      <c r="G1823" s="22"/>
      <c r="H1823" s="22"/>
      <c r="I1823" s="24"/>
      <c r="J1823" s="24"/>
      <c r="K1823" s="24"/>
      <c r="L1823" s="24"/>
      <c r="M1823" s="26"/>
      <c r="N1823" s="26"/>
      <c r="O1823" s="26"/>
      <c r="P1823" s="27"/>
      <c r="Q1823" s="27"/>
      <c r="R1823" s="27"/>
      <c r="S1823" s="22"/>
      <c r="T1823" s="22"/>
      <c r="U1823" s="28"/>
    </row>
    <row r="1824" ht="15.75" customHeight="1">
      <c r="A1824" s="189"/>
      <c r="B1824" s="22"/>
      <c r="C1824" s="22"/>
      <c r="D1824" s="22"/>
      <c r="E1824" s="22"/>
      <c r="F1824" s="22"/>
      <c r="G1824" s="22"/>
      <c r="H1824" s="22"/>
      <c r="I1824" s="24"/>
      <c r="J1824" s="24"/>
      <c r="K1824" s="24"/>
      <c r="L1824" s="24"/>
      <c r="M1824" s="26"/>
      <c r="N1824" s="26"/>
      <c r="O1824" s="26"/>
      <c r="P1824" s="27"/>
      <c r="Q1824" s="27"/>
      <c r="R1824" s="27"/>
      <c r="S1824" s="22"/>
      <c r="T1824" s="22"/>
      <c r="U1824" s="28"/>
    </row>
    <row r="1825" ht="15.75" customHeight="1">
      <c r="A1825" s="189"/>
      <c r="B1825" s="22"/>
      <c r="C1825" s="22"/>
      <c r="D1825" s="22"/>
      <c r="E1825" s="22"/>
      <c r="F1825" s="22"/>
      <c r="G1825" s="22"/>
      <c r="H1825" s="22"/>
      <c r="I1825" s="24"/>
      <c r="J1825" s="24"/>
      <c r="K1825" s="24"/>
      <c r="L1825" s="24"/>
      <c r="M1825" s="26"/>
      <c r="N1825" s="26"/>
      <c r="O1825" s="26"/>
      <c r="P1825" s="27"/>
      <c r="Q1825" s="27"/>
      <c r="R1825" s="27"/>
      <c r="S1825" s="22"/>
      <c r="T1825" s="22"/>
      <c r="U1825" s="28"/>
    </row>
    <row r="1826" ht="15.75" customHeight="1">
      <c r="A1826" s="189"/>
      <c r="B1826" s="22"/>
      <c r="C1826" s="22"/>
      <c r="D1826" s="22"/>
      <c r="E1826" s="22"/>
      <c r="F1826" s="22"/>
      <c r="G1826" s="22"/>
      <c r="H1826" s="22"/>
      <c r="I1826" s="24"/>
      <c r="J1826" s="24"/>
      <c r="K1826" s="24"/>
      <c r="L1826" s="24"/>
      <c r="M1826" s="26"/>
      <c r="N1826" s="26"/>
      <c r="O1826" s="26"/>
      <c r="P1826" s="27"/>
      <c r="Q1826" s="27"/>
      <c r="R1826" s="27"/>
      <c r="S1826" s="22"/>
      <c r="T1826" s="22"/>
      <c r="U1826" s="28"/>
    </row>
    <row r="1827" ht="15.75" customHeight="1">
      <c r="A1827" s="189"/>
      <c r="B1827" s="22"/>
      <c r="C1827" s="22"/>
      <c r="D1827" s="22"/>
      <c r="E1827" s="22"/>
      <c r="F1827" s="22"/>
      <c r="G1827" s="22"/>
      <c r="H1827" s="22"/>
      <c r="I1827" s="24"/>
      <c r="J1827" s="24"/>
      <c r="K1827" s="24"/>
      <c r="L1827" s="24"/>
      <c r="M1827" s="26"/>
      <c r="N1827" s="26"/>
      <c r="O1827" s="26"/>
      <c r="P1827" s="27"/>
      <c r="Q1827" s="27"/>
      <c r="R1827" s="27"/>
      <c r="S1827" s="22"/>
      <c r="T1827" s="22"/>
      <c r="U1827" s="28"/>
    </row>
    <row r="1828" ht="15.75" customHeight="1">
      <c r="A1828" s="189"/>
      <c r="B1828" s="22"/>
      <c r="C1828" s="22"/>
      <c r="D1828" s="22"/>
      <c r="E1828" s="22"/>
      <c r="F1828" s="22"/>
      <c r="G1828" s="22"/>
      <c r="H1828" s="22"/>
      <c r="I1828" s="24"/>
      <c r="J1828" s="24"/>
      <c r="K1828" s="24"/>
      <c r="L1828" s="24"/>
      <c r="M1828" s="26"/>
      <c r="N1828" s="26"/>
      <c r="O1828" s="26"/>
      <c r="P1828" s="27"/>
      <c r="Q1828" s="27"/>
      <c r="R1828" s="27"/>
      <c r="S1828" s="22"/>
      <c r="T1828" s="22"/>
      <c r="U1828" s="28"/>
    </row>
    <row r="1829" ht="15.75" customHeight="1">
      <c r="A1829" s="189"/>
      <c r="B1829" s="22"/>
      <c r="C1829" s="22"/>
      <c r="D1829" s="22"/>
      <c r="E1829" s="22"/>
      <c r="F1829" s="22"/>
      <c r="G1829" s="22"/>
      <c r="H1829" s="22"/>
      <c r="I1829" s="24"/>
      <c r="J1829" s="24"/>
      <c r="K1829" s="24"/>
      <c r="L1829" s="24"/>
      <c r="M1829" s="26"/>
      <c r="N1829" s="26"/>
      <c r="O1829" s="26"/>
      <c r="P1829" s="27"/>
      <c r="Q1829" s="27"/>
      <c r="R1829" s="27"/>
      <c r="S1829" s="22"/>
      <c r="T1829" s="22"/>
      <c r="U1829" s="28"/>
    </row>
    <row r="1830" ht="15.75" customHeight="1">
      <c r="A1830" s="189"/>
      <c r="B1830" s="22"/>
      <c r="C1830" s="22"/>
      <c r="D1830" s="22"/>
      <c r="E1830" s="22"/>
      <c r="F1830" s="22"/>
      <c r="G1830" s="22"/>
      <c r="H1830" s="22"/>
      <c r="I1830" s="24"/>
      <c r="J1830" s="24"/>
      <c r="K1830" s="24"/>
      <c r="L1830" s="24"/>
      <c r="M1830" s="26"/>
      <c r="N1830" s="26"/>
      <c r="O1830" s="26"/>
      <c r="P1830" s="27"/>
      <c r="Q1830" s="27"/>
      <c r="R1830" s="27"/>
      <c r="S1830" s="22"/>
      <c r="T1830" s="22"/>
      <c r="U1830" s="28"/>
    </row>
    <row r="1831" ht="15.75" customHeight="1">
      <c r="A1831" s="189"/>
      <c r="B1831" s="22"/>
      <c r="C1831" s="22"/>
      <c r="D1831" s="22"/>
      <c r="E1831" s="22"/>
      <c r="F1831" s="22"/>
      <c r="G1831" s="22"/>
      <c r="H1831" s="22"/>
      <c r="I1831" s="24"/>
      <c r="J1831" s="24"/>
      <c r="K1831" s="24"/>
      <c r="L1831" s="24"/>
      <c r="M1831" s="26"/>
      <c r="N1831" s="26"/>
      <c r="O1831" s="26"/>
      <c r="P1831" s="27"/>
      <c r="Q1831" s="27"/>
      <c r="R1831" s="27"/>
      <c r="S1831" s="22"/>
      <c r="T1831" s="22"/>
      <c r="U1831" s="28"/>
    </row>
    <row r="1832" ht="15.75" customHeight="1">
      <c r="A1832" s="189"/>
      <c r="B1832" s="22"/>
      <c r="C1832" s="22"/>
      <c r="D1832" s="22"/>
      <c r="E1832" s="22"/>
      <c r="F1832" s="22"/>
      <c r="G1832" s="22"/>
      <c r="H1832" s="22"/>
      <c r="I1832" s="24"/>
      <c r="J1832" s="24"/>
      <c r="K1832" s="24"/>
      <c r="L1832" s="24"/>
      <c r="M1832" s="26"/>
      <c r="N1832" s="26"/>
      <c r="O1832" s="26"/>
      <c r="P1832" s="27"/>
      <c r="Q1832" s="27"/>
      <c r="R1832" s="27"/>
      <c r="S1832" s="22"/>
      <c r="T1832" s="22"/>
      <c r="U1832" s="28"/>
    </row>
    <row r="1833" ht="15.75" customHeight="1">
      <c r="A1833" s="189"/>
      <c r="B1833" s="22"/>
      <c r="C1833" s="22"/>
      <c r="D1833" s="22"/>
      <c r="E1833" s="22"/>
      <c r="F1833" s="22"/>
      <c r="G1833" s="22"/>
      <c r="H1833" s="22"/>
      <c r="I1833" s="24"/>
      <c r="J1833" s="24"/>
      <c r="K1833" s="24"/>
      <c r="L1833" s="24"/>
      <c r="M1833" s="26"/>
      <c r="N1833" s="26"/>
      <c r="O1833" s="26"/>
      <c r="P1833" s="27"/>
      <c r="Q1833" s="27"/>
      <c r="R1833" s="27"/>
      <c r="S1833" s="22"/>
      <c r="T1833" s="22"/>
      <c r="U1833" s="28"/>
    </row>
    <row r="1834" ht="15.75" customHeight="1">
      <c r="A1834" s="189"/>
      <c r="B1834" s="22"/>
      <c r="C1834" s="22"/>
      <c r="D1834" s="22"/>
      <c r="E1834" s="22"/>
      <c r="F1834" s="22"/>
      <c r="G1834" s="22"/>
      <c r="H1834" s="22"/>
      <c r="I1834" s="24"/>
      <c r="J1834" s="24"/>
      <c r="K1834" s="24"/>
      <c r="L1834" s="24"/>
      <c r="M1834" s="26"/>
      <c r="N1834" s="26"/>
      <c r="O1834" s="26"/>
      <c r="P1834" s="27"/>
      <c r="Q1834" s="27"/>
      <c r="R1834" s="27"/>
      <c r="S1834" s="22"/>
      <c r="T1834" s="22"/>
      <c r="U1834" s="28"/>
    </row>
    <row r="1835" ht="15.75" customHeight="1">
      <c r="A1835" s="189"/>
      <c r="B1835" s="22"/>
      <c r="C1835" s="22"/>
      <c r="D1835" s="22"/>
      <c r="E1835" s="22"/>
      <c r="F1835" s="22"/>
      <c r="G1835" s="22"/>
      <c r="H1835" s="22"/>
      <c r="I1835" s="24"/>
      <c r="J1835" s="24"/>
      <c r="K1835" s="24"/>
      <c r="L1835" s="24"/>
      <c r="M1835" s="26"/>
      <c r="N1835" s="26"/>
      <c r="O1835" s="26"/>
      <c r="P1835" s="27"/>
      <c r="Q1835" s="27"/>
      <c r="R1835" s="27"/>
      <c r="S1835" s="22"/>
      <c r="T1835" s="22"/>
      <c r="U1835" s="28"/>
    </row>
    <row r="1836" ht="15.75" customHeight="1">
      <c r="A1836" s="189"/>
      <c r="B1836" s="22"/>
      <c r="C1836" s="22"/>
      <c r="D1836" s="22"/>
      <c r="E1836" s="22"/>
      <c r="F1836" s="22"/>
      <c r="G1836" s="22"/>
      <c r="H1836" s="22"/>
      <c r="I1836" s="24"/>
      <c r="J1836" s="24"/>
      <c r="K1836" s="24"/>
      <c r="L1836" s="24"/>
      <c r="M1836" s="26"/>
      <c r="N1836" s="26"/>
      <c r="O1836" s="26"/>
      <c r="P1836" s="27"/>
      <c r="Q1836" s="27"/>
      <c r="R1836" s="27"/>
      <c r="S1836" s="22"/>
      <c r="T1836" s="22"/>
      <c r="U1836" s="28"/>
    </row>
    <row r="1837" ht="15.75" customHeight="1">
      <c r="A1837" s="189"/>
      <c r="B1837" s="22"/>
      <c r="C1837" s="22"/>
      <c r="D1837" s="22"/>
      <c r="E1837" s="22"/>
      <c r="F1837" s="22"/>
      <c r="G1837" s="22"/>
      <c r="H1837" s="22"/>
      <c r="I1837" s="24"/>
      <c r="J1837" s="24"/>
      <c r="K1837" s="24"/>
      <c r="L1837" s="24"/>
      <c r="M1837" s="26"/>
      <c r="N1837" s="26"/>
      <c r="O1837" s="26"/>
      <c r="P1837" s="27"/>
      <c r="Q1837" s="27"/>
      <c r="R1837" s="27"/>
      <c r="S1837" s="22"/>
      <c r="T1837" s="22"/>
      <c r="U1837" s="28"/>
    </row>
    <row r="1838" ht="15.75" customHeight="1">
      <c r="A1838" s="189"/>
      <c r="B1838" s="22"/>
      <c r="C1838" s="22"/>
      <c r="D1838" s="22"/>
      <c r="E1838" s="22"/>
      <c r="F1838" s="22"/>
      <c r="G1838" s="22"/>
      <c r="H1838" s="22"/>
      <c r="I1838" s="24"/>
      <c r="J1838" s="24"/>
      <c r="K1838" s="24"/>
      <c r="L1838" s="24"/>
      <c r="M1838" s="26"/>
      <c r="N1838" s="26"/>
      <c r="O1838" s="26"/>
      <c r="P1838" s="27"/>
      <c r="Q1838" s="27"/>
      <c r="R1838" s="27"/>
      <c r="S1838" s="22"/>
      <c r="T1838" s="22"/>
      <c r="U1838" s="28"/>
    </row>
    <row r="1839" ht="15.75" customHeight="1">
      <c r="A1839" s="189"/>
      <c r="B1839" s="22"/>
      <c r="C1839" s="22"/>
      <c r="D1839" s="22"/>
      <c r="E1839" s="22"/>
      <c r="F1839" s="22"/>
      <c r="G1839" s="22"/>
      <c r="H1839" s="22"/>
      <c r="I1839" s="24"/>
      <c r="J1839" s="24"/>
      <c r="K1839" s="24"/>
      <c r="L1839" s="24"/>
      <c r="M1839" s="26"/>
      <c r="N1839" s="26"/>
      <c r="O1839" s="26"/>
      <c r="P1839" s="27"/>
      <c r="Q1839" s="27"/>
      <c r="R1839" s="27"/>
      <c r="S1839" s="22"/>
      <c r="T1839" s="22"/>
      <c r="U1839" s="28"/>
    </row>
    <row r="1840" ht="15.75" customHeight="1">
      <c r="A1840" s="189"/>
      <c r="B1840" s="22"/>
      <c r="C1840" s="22"/>
      <c r="D1840" s="22"/>
      <c r="E1840" s="22"/>
      <c r="F1840" s="22"/>
      <c r="G1840" s="22"/>
      <c r="H1840" s="22"/>
      <c r="I1840" s="24"/>
      <c r="J1840" s="24"/>
      <c r="K1840" s="24"/>
      <c r="L1840" s="24"/>
      <c r="M1840" s="26"/>
      <c r="N1840" s="26"/>
      <c r="O1840" s="26"/>
      <c r="P1840" s="27"/>
      <c r="Q1840" s="27"/>
      <c r="R1840" s="27"/>
      <c r="S1840" s="22"/>
      <c r="T1840" s="22"/>
      <c r="U1840" s="28"/>
    </row>
    <row r="1841" ht="15.75" customHeight="1">
      <c r="A1841" s="189"/>
      <c r="B1841" s="22"/>
      <c r="C1841" s="22"/>
      <c r="D1841" s="22"/>
      <c r="E1841" s="22"/>
      <c r="F1841" s="22"/>
      <c r="G1841" s="22"/>
      <c r="H1841" s="22"/>
      <c r="I1841" s="24"/>
      <c r="J1841" s="24"/>
      <c r="K1841" s="24"/>
      <c r="L1841" s="24"/>
      <c r="M1841" s="26"/>
      <c r="N1841" s="26"/>
      <c r="O1841" s="26"/>
      <c r="P1841" s="27"/>
      <c r="Q1841" s="27"/>
      <c r="R1841" s="27"/>
      <c r="S1841" s="22"/>
      <c r="T1841" s="22"/>
      <c r="U1841" s="28"/>
    </row>
    <row r="1842" ht="15.75" customHeight="1">
      <c r="A1842" s="189"/>
      <c r="B1842" s="22"/>
      <c r="C1842" s="22"/>
      <c r="D1842" s="22"/>
      <c r="E1842" s="22"/>
      <c r="F1842" s="22"/>
      <c r="G1842" s="22"/>
      <c r="H1842" s="22"/>
      <c r="I1842" s="24"/>
      <c r="J1842" s="24"/>
      <c r="K1842" s="24"/>
      <c r="L1842" s="24"/>
      <c r="M1842" s="26"/>
      <c r="N1842" s="26"/>
      <c r="O1842" s="26"/>
      <c r="P1842" s="27"/>
      <c r="Q1842" s="27"/>
      <c r="R1842" s="27"/>
      <c r="S1842" s="22"/>
      <c r="T1842" s="22"/>
      <c r="U1842" s="28"/>
    </row>
    <row r="1843" ht="15.75" customHeight="1">
      <c r="A1843" s="189"/>
      <c r="B1843" s="22"/>
      <c r="C1843" s="22"/>
      <c r="D1843" s="22"/>
      <c r="E1843" s="22"/>
      <c r="F1843" s="22"/>
      <c r="G1843" s="22"/>
      <c r="H1843" s="22"/>
      <c r="I1843" s="24"/>
      <c r="J1843" s="24"/>
      <c r="K1843" s="24"/>
      <c r="L1843" s="24"/>
      <c r="M1843" s="26"/>
      <c r="N1843" s="26"/>
      <c r="O1843" s="26"/>
      <c r="P1843" s="27"/>
      <c r="Q1843" s="27"/>
      <c r="R1843" s="27"/>
      <c r="S1843" s="22"/>
      <c r="T1843" s="22"/>
      <c r="U1843" s="28"/>
    </row>
    <row r="1844" ht="15.75" customHeight="1">
      <c r="A1844" s="189"/>
      <c r="B1844" s="22"/>
      <c r="C1844" s="22"/>
      <c r="D1844" s="22"/>
      <c r="E1844" s="22"/>
      <c r="F1844" s="22"/>
      <c r="G1844" s="22"/>
      <c r="H1844" s="22"/>
      <c r="I1844" s="24"/>
      <c r="J1844" s="24"/>
      <c r="K1844" s="24"/>
      <c r="L1844" s="24"/>
      <c r="M1844" s="26"/>
      <c r="N1844" s="26"/>
      <c r="O1844" s="26"/>
      <c r="P1844" s="27"/>
      <c r="Q1844" s="27"/>
      <c r="R1844" s="27"/>
      <c r="S1844" s="22"/>
      <c r="T1844" s="22"/>
      <c r="U1844" s="28"/>
    </row>
    <row r="1845" ht="15.75" customHeight="1">
      <c r="A1845" s="189"/>
      <c r="B1845" s="22"/>
      <c r="C1845" s="22"/>
      <c r="D1845" s="22"/>
      <c r="E1845" s="22"/>
      <c r="F1845" s="22"/>
      <c r="G1845" s="22"/>
      <c r="H1845" s="22"/>
      <c r="I1845" s="24"/>
      <c r="J1845" s="24"/>
      <c r="K1845" s="24"/>
      <c r="L1845" s="24"/>
      <c r="M1845" s="26"/>
      <c r="N1845" s="26"/>
      <c r="O1845" s="26"/>
      <c r="P1845" s="27"/>
      <c r="Q1845" s="27"/>
      <c r="R1845" s="27"/>
      <c r="S1845" s="22"/>
      <c r="T1845" s="22"/>
      <c r="U1845" s="28"/>
    </row>
    <row r="1846" ht="15.75" customHeight="1">
      <c r="A1846" s="189"/>
      <c r="B1846" s="22"/>
      <c r="C1846" s="22"/>
      <c r="D1846" s="22"/>
      <c r="E1846" s="22"/>
      <c r="F1846" s="22"/>
      <c r="G1846" s="22"/>
      <c r="H1846" s="22"/>
      <c r="I1846" s="24"/>
      <c r="J1846" s="24"/>
      <c r="K1846" s="24"/>
      <c r="L1846" s="24"/>
      <c r="M1846" s="26"/>
      <c r="N1846" s="26"/>
      <c r="O1846" s="26"/>
      <c r="P1846" s="27"/>
      <c r="Q1846" s="27"/>
      <c r="R1846" s="27"/>
      <c r="S1846" s="22"/>
      <c r="T1846" s="22"/>
      <c r="U1846" s="28"/>
    </row>
    <row r="1847" ht="15.75" customHeight="1">
      <c r="A1847" s="189"/>
      <c r="B1847" s="22"/>
      <c r="C1847" s="22"/>
      <c r="D1847" s="22"/>
      <c r="E1847" s="22"/>
      <c r="F1847" s="22"/>
      <c r="G1847" s="22"/>
      <c r="H1847" s="22"/>
      <c r="I1847" s="24"/>
      <c r="J1847" s="24"/>
      <c r="K1847" s="24"/>
      <c r="L1847" s="24"/>
      <c r="M1847" s="26"/>
      <c r="N1847" s="26"/>
      <c r="O1847" s="26"/>
      <c r="P1847" s="27"/>
      <c r="Q1847" s="27"/>
      <c r="R1847" s="27"/>
      <c r="S1847" s="22"/>
      <c r="T1847" s="22"/>
      <c r="U1847" s="28"/>
    </row>
    <row r="1848" ht="15.75" customHeight="1">
      <c r="A1848" s="189"/>
      <c r="B1848" s="22"/>
      <c r="C1848" s="22"/>
      <c r="D1848" s="22"/>
      <c r="E1848" s="22"/>
      <c r="F1848" s="22"/>
      <c r="G1848" s="22"/>
      <c r="H1848" s="22"/>
      <c r="I1848" s="24"/>
      <c r="J1848" s="24"/>
      <c r="K1848" s="24"/>
      <c r="L1848" s="24"/>
      <c r="M1848" s="26"/>
      <c r="N1848" s="26"/>
      <c r="O1848" s="26"/>
      <c r="P1848" s="27"/>
      <c r="Q1848" s="27"/>
      <c r="R1848" s="27"/>
      <c r="S1848" s="22"/>
      <c r="T1848" s="22"/>
      <c r="U1848" s="28"/>
    </row>
    <row r="1849" ht="15.75" customHeight="1">
      <c r="A1849" s="189"/>
      <c r="B1849" s="22"/>
      <c r="C1849" s="22"/>
      <c r="D1849" s="22"/>
      <c r="E1849" s="22"/>
      <c r="F1849" s="22"/>
      <c r="G1849" s="22"/>
      <c r="H1849" s="22"/>
      <c r="I1849" s="24"/>
      <c r="J1849" s="24"/>
      <c r="K1849" s="24"/>
      <c r="L1849" s="24"/>
      <c r="M1849" s="26"/>
      <c r="N1849" s="26"/>
      <c r="O1849" s="26"/>
      <c r="P1849" s="27"/>
      <c r="Q1849" s="27"/>
      <c r="R1849" s="27"/>
      <c r="S1849" s="22"/>
      <c r="T1849" s="22"/>
      <c r="U1849" s="28"/>
    </row>
    <row r="1850" ht="15.75" customHeight="1">
      <c r="A1850" s="189"/>
      <c r="B1850" s="22"/>
      <c r="C1850" s="22"/>
      <c r="D1850" s="22"/>
      <c r="E1850" s="22"/>
      <c r="F1850" s="22"/>
      <c r="G1850" s="22"/>
      <c r="H1850" s="22"/>
      <c r="I1850" s="24"/>
      <c r="J1850" s="24"/>
      <c r="K1850" s="24"/>
      <c r="L1850" s="24"/>
      <c r="M1850" s="26"/>
      <c r="N1850" s="26"/>
      <c r="O1850" s="26"/>
      <c r="P1850" s="27"/>
      <c r="Q1850" s="27"/>
      <c r="R1850" s="27"/>
      <c r="S1850" s="22"/>
      <c r="T1850" s="22"/>
      <c r="U1850" s="28"/>
    </row>
    <row r="1851" ht="15.75" customHeight="1">
      <c r="A1851" s="189"/>
      <c r="B1851" s="22"/>
      <c r="C1851" s="22"/>
      <c r="D1851" s="22"/>
      <c r="E1851" s="22"/>
      <c r="F1851" s="22"/>
      <c r="G1851" s="22"/>
      <c r="H1851" s="22"/>
      <c r="I1851" s="24"/>
      <c r="J1851" s="24"/>
      <c r="K1851" s="24"/>
      <c r="L1851" s="24"/>
      <c r="M1851" s="26"/>
      <c r="N1851" s="26"/>
      <c r="O1851" s="26"/>
      <c r="P1851" s="27"/>
      <c r="Q1851" s="27"/>
      <c r="R1851" s="27"/>
      <c r="S1851" s="22"/>
      <c r="T1851" s="22"/>
      <c r="U1851" s="28"/>
    </row>
    <row r="1852" ht="15.75" customHeight="1">
      <c r="A1852" s="189"/>
      <c r="B1852" s="22"/>
      <c r="C1852" s="22"/>
      <c r="D1852" s="22"/>
      <c r="E1852" s="22"/>
      <c r="F1852" s="22"/>
      <c r="G1852" s="22"/>
      <c r="H1852" s="22"/>
      <c r="I1852" s="24"/>
      <c r="J1852" s="24"/>
      <c r="K1852" s="24"/>
      <c r="L1852" s="24"/>
      <c r="M1852" s="26"/>
      <c r="N1852" s="26"/>
      <c r="O1852" s="26"/>
      <c r="P1852" s="27"/>
      <c r="Q1852" s="27"/>
      <c r="R1852" s="27"/>
      <c r="S1852" s="22"/>
      <c r="T1852" s="22"/>
      <c r="U1852" s="28"/>
    </row>
    <row r="1853" ht="15.75" customHeight="1">
      <c r="A1853" s="189"/>
      <c r="B1853" s="22"/>
      <c r="C1853" s="22"/>
      <c r="D1853" s="22"/>
      <c r="E1853" s="22"/>
      <c r="F1853" s="22"/>
      <c r="G1853" s="22"/>
      <c r="H1853" s="22"/>
      <c r="I1853" s="24"/>
      <c r="J1853" s="24"/>
      <c r="K1853" s="24"/>
      <c r="L1853" s="24"/>
      <c r="M1853" s="26"/>
      <c r="N1853" s="26"/>
      <c r="O1853" s="26"/>
      <c r="P1853" s="27"/>
      <c r="Q1853" s="27"/>
      <c r="R1853" s="27"/>
      <c r="S1853" s="22"/>
      <c r="T1853" s="22"/>
      <c r="U1853" s="28"/>
    </row>
    <row r="1854" ht="15.75" customHeight="1">
      <c r="A1854" s="189"/>
      <c r="B1854" s="22"/>
      <c r="C1854" s="22"/>
      <c r="D1854" s="22"/>
      <c r="E1854" s="22"/>
      <c r="F1854" s="22"/>
      <c r="G1854" s="22"/>
      <c r="H1854" s="22"/>
      <c r="I1854" s="24"/>
      <c r="J1854" s="24"/>
      <c r="K1854" s="24"/>
      <c r="L1854" s="24"/>
      <c r="M1854" s="26"/>
      <c r="N1854" s="26"/>
      <c r="O1854" s="26"/>
      <c r="P1854" s="27"/>
      <c r="Q1854" s="27"/>
      <c r="R1854" s="27"/>
      <c r="S1854" s="22"/>
      <c r="T1854" s="22"/>
      <c r="U1854" s="28"/>
    </row>
    <row r="1855" ht="15.75" customHeight="1">
      <c r="A1855" s="189"/>
      <c r="B1855" s="22"/>
      <c r="C1855" s="22"/>
      <c r="D1855" s="22"/>
      <c r="E1855" s="22"/>
      <c r="F1855" s="22"/>
      <c r="G1855" s="22"/>
      <c r="H1855" s="22"/>
      <c r="I1855" s="24"/>
      <c r="J1855" s="24"/>
      <c r="K1855" s="24"/>
      <c r="L1855" s="24"/>
      <c r="M1855" s="26"/>
      <c r="N1855" s="26"/>
      <c r="O1855" s="26"/>
      <c r="P1855" s="27"/>
      <c r="Q1855" s="27"/>
      <c r="R1855" s="27"/>
      <c r="S1855" s="22"/>
      <c r="T1855" s="22"/>
      <c r="U1855" s="28"/>
    </row>
    <row r="1856" ht="15.75" customHeight="1">
      <c r="A1856" s="189"/>
      <c r="B1856" s="22"/>
      <c r="C1856" s="22"/>
      <c r="D1856" s="22"/>
      <c r="E1856" s="22"/>
      <c r="F1856" s="22"/>
      <c r="G1856" s="22"/>
      <c r="H1856" s="22"/>
      <c r="I1856" s="24"/>
      <c r="J1856" s="24"/>
      <c r="K1856" s="24"/>
      <c r="L1856" s="24"/>
      <c r="M1856" s="26"/>
      <c r="N1856" s="26"/>
      <c r="O1856" s="26"/>
      <c r="P1856" s="27"/>
      <c r="Q1856" s="27"/>
      <c r="R1856" s="27"/>
      <c r="S1856" s="22"/>
      <c r="T1856" s="22"/>
      <c r="U1856" s="28"/>
    </row>
    <row r="1857" ht="15.75" customHeight="1">
      <c r="A1857" s="189"/>
      <c r="B1857" s="22"/>
      <c r="C1857" s="22"/>
      <c r="D1857" s="22"/>
      <c r="E1857" s="22"/>
      <c r="F1857" s="22"/>
      <c r="G1857" s="22"/>
      <c r="H1857" s="22"/>
      <c r="I1857" s="24"/>
      <c r="J1857" s="24"/>
      <c r="K1857" s="24"/>
      <c r="L1857" s="24"/>
      <c r="M1857" s="26"/>
      <c r="N1857" s="26"/>
      <c r="O1857" s="26"/>
      <c r="P1857" s="27"/>
      <c r="Q1857" s="27"/>
      <c r="R1857" s="27"/>
      <c r="S1857" s="22"/>
      <c r="T1857" s="22"/>
      <c r="U1857" s="28"/>
    </row>
    <row r="1858" ht="15.75" customHeight="1">
      <c r="A1858" s="189"/>
      <c r="B1858" s="22"/>
      <c r="C1858" s="22"/>
      <c r="D1858" s="22"/>
      <c r="E1858" s="22"/>
      <c r="F1858" s="22"/>
      <c r="G1858" s="22"/>
      <c r="H1858" s="22"/>
      <c r="I1858" s="24"/>
      <c r="J1858" s="24"/>
      <c r="K1858" s="24"/>
      <c r="L1858" s="24"/>
      <c r="M1858" s="26"/>
      <c r="N1858" s="26"/>
      <c r="O1858" s="26"/>
      <c r="P1858" s="27"/>
      <c r="Q1858" s="27"/>
      <c r="R1858" s="27"/>
      <c r="S1858" s="22"/>
      <c r="T1858" s="22"/>
      <c r="U1858" s="28"/>
    </row>
    <row r="1859" ht="15.75" customHeight="1">
      <c r="A1859" s="189"/>
      <c r="B1859" s="22"/>
      <c r="C1859" s="22"/>
      <c r="D1859" s="22"/>
      <c r="E1859" s="22"/>
      <c r="F1859" s="22"/>
      <c r="G1859" s="22"/>
      <c r="H1859" s="22"/>
      <c r="I1859" s="24"/>
      <c r="J1859" s="24"/>
      <c r="K1859" s="24"/>
      <c r="L1859" s="24"/>
      <c r="M1859" s="26"/>
      <c r="N1859" s="26"/>
      <c r="O1859" s="26"/>
      <c r="P1859" s="27"/>
      <c r="Q1859" s="27"/>
      <c r="R1859" s="27"/>
      <c r="S1859" s="22"/>
      <c r="T1859" s="22"/>
      <c r="U1859" s="28"/>
    </row>
    <row r="1860" ht="15.75" customHeight="1">
      <c r="A1860" s="189"/>
      <c r="B1860" s="22"/>
      <c r="C1860" s="22"/>
      <c r="D1860" s="22"/>
      <c r="E1860" s="22"/>
      <c r="F1860" s="22"/>
      <c r="G1860" s="22"/>
      <c r="H1860" s="22"/>
      <c r="I1860" s="24"/>
      <c r="J1860" s="24"/>
      <c r="K1860" s="24"/>
      <c r="L1860" s="24"/>
      <c r="M1860" s="26"/>
      <c r="N1860" s="26"/>
      <c r="O1860" s="26"/>
      <c r="P1860" s="27"/>
      <c r="Q1860" s="27"/>
      <c r="R1860" s="27"/>
      <c r="S1860" s="22"/>
      <c r="T1860" s="22"/>
      <c r="U1860" s="28"/>
    </row>
    <row r="1861" ht="15.75" customHeight="1">
      <c r="A1861" s="189"/>
      <c r="B1861" s="22"/>
      <c r="C1861" s="22"/>
      <c r="D1861" s="22"/>
      <c r="E1861" s="22"/>
      <c r="F1861" s="22"/>
      <c r="G1861" s="22"/>
      <c r="H1861" s="22"/>
      <c r="I1861" s="24"/>
      <c r="J1861" s="24"/>
      <c r="K1861" s="24"/>
      <c r="L1861" s="24"/>
      <c r="M1861" s="26"/>
      <c r="N1861" s="26"/>
      <c r="O1861" s="26"/>
      <c r="P1861" s="27"/>
      <c r="Q1861" s="27"/>
      <c r="R1861" s="27"/>
      <c r="S1861" s="22"/>
      <c r="T1861" s="22"/>
      <c r="U1861" s="28"/>
    </row>
    <row r="1862" ht="15.75" customHeight="1">
      <c r="A1862" s="189"/>
      <c r="B1862" s="22"/>
      <c r="C1862" s="22"/>
      <c r="D1862" s="22"/>
      <c r="E1862" s="22"/>
      <c r="F1862" s="22"/>
      <c r="G1862" s="22"/>
      <c r="H1862" s="22"/>
      <c r="I1862" s="24"/>
      <c r="J1862" s="24"/>
      <c r="K1862" s="24"/>
      <c r="L1862" s="24"/>
      <c r="M1862" s="26"/>
      <c r="N1862" s="26"/>
      <c r="O1862" s="26"/>
      <c r="P1862" s="27"/>
      <c r="Q1862" s="27"/>
      <c r="R1862" s="27"/>
      <c r="S1862" s="22"/>
      <c r="T1862" s="22"/>
      <c r="U1862" s="28"/>
    </row>
    <row r="1863" ht="15.75" customHeight="1">
      <c r="A1863" s="189"/>
      <c r="B1863" s="22"/>
      <c r="C1863" s="22"/>
      <c r="D1863" s="22"/>
      <c r="E1863" s="22"/>
      <c r="F1863" s="22"/>
      <c r="G1863" s="22"/>
      <c r="H1863" s="22"/>
      <c r="I1863" s="24"/>
      <c r="J1863" s="24"/>
      <c r="K1863" s="24"/>
      <c r="L1863" s="24"/>
      <c r="M1863" s="26"/>
      <c r="N1863" s="26"/>
      <c r="O1863" s="26"/>
      <c r="P1863" s="27"/>
      <c r="Q1863" s="27"/>
      <c r="R1863" s="27"/>
      <c r="S1863" s="22"/>
      <c r="T1863" s="22"/>
      <c r="U1863" s="28"/>
    </row>
    <row r="1864" ht="15.75" customHeight="1">
      <c r="A1864" s="189"/>
      <c r="B1864" s="22"/>
      <c r="C1864" s="22"/>
      <c r="D1864" s="22"/>
      <c r="E1864" s="22"/>
      <c r="F1864" s="22"/>
      <c r="G1864" s="22"/>
      <c r="H1864" s="22"/>
      <c r="I1864" s="24"/>
      <c r="J1864" s="24"/>
      <c r="K1864" s="24"/>
      <c r="L1864" s="24"/>
      <c r="M1864" s="26"/>
      <c r="N1864" s="26"/>
      <c r="O1864" s="26"/>
      <c r="P1864" s="27"/>
      <c r="Q1864" s="27"/>
      <c r="R1864" s="27"/>
      <c r="S1864" s="22"/>
      <c r="T1864" s="22"/>
      <c r="U1864" s="28"/>
    </row>
    <row r="1865" ht="15.75" customHeight="1">
      <c r="A1865" s="189"/>
      <c r="B1865" s="22"/>
      <c r="C1865" s="22"/>
      <c r="D1865" s="22"/>
      <c r="E1865" s="22"/>
      <c r="F1865" s="22"/>
      <c r="G1865" s="22"/>
      <c r="H1865" s="22"/>
      <c r="I1865" s="24"/>
      <c r="J1865" s="24"/>
      <c r="K1865" s="24"/>
      <c r="L1865" s="24"/>
      <c r="M1865" s="26"/>
      <c r="N1865" s="26"/>
      <c r="O1865" s="26"/>
      <c r="P1865" s="27"/>
      <c r="Q1865" s="27"/>
      <c r="R1865" s="27"/>
      <c r="S1865" s="22"/>
      <c r="T1865" s="22"/>
      <c r="U1865" s="28"/>
    </row>
    <row r="1866" ht="15.75" customHeight="1">
      <c r="A1866" s="189"/>
      <c r="B1866" s="22"/>
      <c r="C1866" s="22"/>
      <c r="D1866" s="22"/>
      <c r="E1866" s="22"/>
      <c r="F1866" s="22"/>
      <c r="G1866" s="22"/>
      <c r="H1866" s="22"/>
      <c r="I1866" s="24"/>
      <c r="J1866" s="24"/>
      <c r="K1866" s="24"/>
      <c r="L1866" s="24"/>
      <c r="M1866" s="26"/>
      <c r="N1866" s="26"/>
      <c r="O1866" s="26"/>
      <c r="P1866" s="27"/>
      <c r="Q1866" s="27"/>
      <c r="R1866" s="27"/>
      <c r="S1866" s="22"/>
      <c r="T1866" s="22"/>
      <c r="U1866" s="28"/>
    </row>
    <row r="1867" ht="15.75" customHeight="1">
      <c r="A1867" s="189"/>
      <c r="B1867" s="22"/>
      <c r="C1867" s="22"/>
      <c r="D1867" s="22"/>
      <c r="E1867" s="22"/>
      <c r="F1867" s="22"/>
      <c r="G1867" s="22"/>
      <c r="H1867" s="22"/>
      <c r="I1867" s="24"/>
      <c r="J1867" s="24"/>
      <c r="K1867" s="24"/>
      <c r="L1867" s="24"/>
      <c r="M1867" s="26"/>
      <c r="N1867" s="26"/>
      <c r="O1867" s="26"/>
      <c r="P1867" s="27"/>
      <c r="Q1867" s="27"/>
      <c r="R1867" s="27"/>
      <c r="S1867" s="22"/>
      <c r="T1867" s="22"/>
      <c r="U1867" s="28"/>
    </row>
    <row r="1868" ht="15.75" customHeight="1">
      <c r="A1868" s="189"/>
      <c r="B1868" s="22"/>
      <c r="C1868" s="22"/>
      <c r="D1868" s="22"/>
      <c r="E1868" s="22"/>
      <c r="F1868" s="22"/>
      <c r="G1868" s="22"/>
      <c r="H1868" s="22"/>
      <c r="I1868" s="24"/>
      <c r="J1868" s="24"/>
      <c r="K1868" s="24"/>
      <c r="L1868" s="24"/>
      <c r="M1868" s="26"/>
      <c r="N1868" s="26"/>
      <c r="O1868" s="26"/>
      <c r="P1868" s="27"/>
      <c r="Q1868" s="27"/>
      <c r="R1868" s="27"/>
      <c r="S1868" s="22"/>
      <c r="T1868" s="22"/>
      <c r="U1868" s="28"/>
    </row>
    <row r="1869" ht="15.75" customHeight="1">
      <c r="A1869" s="189"/>
      <c r="B1869" s="22"/>
      <c r="C1869" s="22"/>
      <c r="D1869" s="22"/>
      <c r="E1869" s="22"/>
      <c r="F1869" s="22"/>
      <c r="G1869" s="22"/>
      <c r="H1869" s="22"/>
      <c r="I1869" s="24"/>
      <c r="J1869" s="24"/>
      <c r="K1869" s="24"/>
      <c r="L1869" s="24"/>
      <c r="M1869" s="26"/>
      <c r="N1869" s="26"/>
      <c r="O1869" s="26"/>
      <c r="P1869" s="27"/>
      <c r="Q1869" s="27"/>
      <c r="R1869" s="27"/>
      <c r="S1869" s="22"/>
      <c r="T1869" s="22"/>
      <c r="U1869" s="28"/>
    </row>
    <row r="1870" ht="15.75" customHeight="1">
      <c r="A1870" s="189"/>
      <c r="B1870" s="22"/>
      <c r="C1870" s="22"/>
      <c r="D1870" s="22"/>
      <c r="E1870" s="22"/>
      <c r="F1870" s="22"/>
      <c r="G1870" s="22"/>
      <c r="H1870" s="22"/>
      <c r="I1870" s="24"/>
      <c r="J1870" s="24"/>
      <c r="K1870" s="24"/>
      <c r="L1870" s="24"/>
      <c r="M1870" s="26"/>
      <c r="N1870" s="26"/>
      <c r="O1870" s="26"/>
      <c r="P1870" s="27"/>
      <c r="Q1870" s="27"/>
      <c r="R1870" s="27"/>
      <c r="S1870" s="22"/>
      <c r="T1870" s="22"/>
      <c r="U1870" s="28"/>
    </row>
    <row r="1871" ht="15.75" customHeight="1">
      <c r="A1871" s="189"/>
      <c r="B1871" s="22"/>
      <c r="C1871" s="22"/>
      <c r="D1871" s="22"/>
      <c r="E1871" s="22"/>
      <c r="F1871" s="22"/>
      <c r="G1871" s="22"/>
      <c r="H1871" s="22"/>
      <c r="I1871" s="24"/>
      <c r="J1871" s="24"/>
      <c r="K1871" s="24"/>
      <c r="L1871" s="24"/>
      <c r="M1871" s="26"/>
      <c r="N1871" s="26"/>
      <c r="O1871" s="26"/>
      <c r="P1871" s="27"/>
      <c r="Q1871" s="27"/>
      <c r="R1871" s="27"/>
      <c r="S1871" s="22"/>
      <c r="T1871" s="22"/>
      <c r="U1871" s="28"/>
    </row>
    <row r="1872" ht="15.75" customHeight="1">
      <c r="A1872" s="189"/>
      <c r="B1872" s="22"/>
      <c r="C1872" s="22"/>
      <c r="D1872" s="22"/>
      <c r="E1872" s="22"/>
      <c r="F1872" s="22"/>
      <c r="G1872" s="22"/>
      <c r="H1872" s="22"/>
      <c r="I1872" s="24"/>
      <c r="J1872" s="24"/>
      <c r="K1872" s="24"/>
      <c r="L1872" s="24"/>
      <c r="M1872" s="26"/>
      <c r="N1872" s="26"/>
      <c r="O1872" s="26"/>
      <c r="P1872" s="27"/>
      <c r="Q1872" s="27"/>
      <c r="R1872" s="27"/>
      <c r="S1872" s="22"/>
      <c r="T1872" s="22"/>
      <c r="U1872" s="28"/>
    </row>
    <row r="1873" ht="15.75" customHeight="1">
      <c r="A1873" s="189"/>
      <c r="B1873" s="22"/>
      <c r="C1873" s="22"/>
      <c r="D1873" s="22"/>
      <c r="E1873" s="22"/>
      <c r="F1873" s="22"/>
      <c r="G1873" s="22"/>
      <c r="H1873" s="22"/>
      <c r="I1873" s="24"/>
      <c r="J1873" s="24"/>
      <c r="K1873" s="24"/>
      <c r="L1873" s="24"/>
      <c r="M1873" s="26"/>
      <c r="N1873" s="26"/>
      <c r="O1873" s="26"/>
      <c r="P1873" s="27"/>
      <c r="Q1873" s="27"/>
      <c r="R1873" s="27"/>
      <c r="S1873" s="22"/>
      <c r="T1873" s="22"/>
      <c r="U1873" s="28"/>
    </row>
    <row r="1874" ht="15.75" customHeight="1">
      <c r="A1874" s="189"/>
      <c r="B1874" s="22"/>
      <c r="C1874" s="22"/>
      <c r="D1874" s="22"/>
      <c r="E1874" s="22"/>
      <c r="F1874" s="22"/>
      <c r="G1874" s="22"/>
      <c r="H1874" s="22"/>
      <c r="I1874" s="24"/>
      <c r="J1874" s="24"/>
      <c r="K1874" s="24"/>
      <c r="L1874" s="24"/>
      <c r="M1874" s="26"/>
      <c r="N1874" s="26"/>
      <c r="O1874" s="26"/>
      <c r="P1874" s="27"/>
      <c r="Q1874" s="27"/>
      <c r="R1874" s="27"/>
      <c r="S1874" s="22"/>
      <c r="T1874" s="22"/>
      <c r="U1874" s="28"/>
    </row>
    <row r="1875" ht="15.75" customHeight="1">
      <c r="A1875" s="189"/>
      <c r="B1875" s="22"/>
      <c r="C1875" s="22"/>
      <c r="D1875" s="22"/>
      <c r="E1875" s="22"/>
      <c r="F1875" s="22"/>
      <c r="G1875" s="22"/>
      <c r="H1875" s="22"/>
      <c r="I1875" s="24"/>
      <c r="J1875" s="24"/>
      <c r="K1875" s="24"/>
      <c r="L1875" s="24"/>
      <c r="M1875" s="26"/>
      <c r="N1875" s="26"/>
      <c r="O1875" s="26"/>
      <c r="P1875" s="27"/>
      <c r="Q1875" s="27"/>
      <c r="R1875" s="27"/>
      <c r="S1875" s="22"/>
      <c r="T1875" s="22"/>
      <c r="U1875" s="28"/>
    </row>
    <row r="1876" ht="15.75" customHeight="1">
      <c r="A1876" s="189"/>
      <c r="B1876" s="22"/>
      <c r="C1876" s="22"/>
      <c r="D1876" s="22"/>
      <c r="E1876" s="22"/>
      <c r="F1876" s="22"/>
      <c r="G1876" s="22"/>
      <c r="H1876" s="22"/>
      <c r="I1876" s="24"/>
      <c r="J1876" s="24"/>
      <c r="K1876" s="24"/>
      <c r="L1876" s="24"/>
      <c r="M1876" s="26"/>
      <c r="N1876" s="26"/>
      <c r="O1876" s="26"/>
      <c r="P1876" s="27"/>
      <c r="Q1876" s="27"/>
      <c r="R1876" s="27"/>
      <c r="S1876" s="22"/>
      <c r="T1876" s="22"/>
      <c r="U1876" s="28"/>
    </row>
    <row r="1877" ht="15.75" customHeight="1">
      <c r="A1877" s="189"/>
      <c r="B1877" s="22"/>
      <c r="C1877" s="22"/>
      <c r="D1877" s="22"/>
      <c r="E1877" s="22"/>
      <c r="F1877" s="22"/>
      <c r="G1877" s="22"/>
      <c r="H1877" s="22"/>
      <c r="I1877" s="24"/>
      <c r="J1877" s="24"/>
      <c r="K1877" s="24"/>
      <c r="L1877" s="24"/>
      <c r="M1877" s="26"/>
      <c r="N1877" s="26"/>
      <c r="O1877" s="26"/>
      <c r="P1877" s="27"/>
      <c r="Q1877" s="27"/>
      <c r="R1877" s="27"/>
      <c r="S1877" s="22"/>
      <c r="T1877" s="22"/>
      <c r="U1877" s="28"/>
    </row>
    <row r="1878" ht="15.75" customHeight="1">
      <c r="A1878" s="189"/>
      <c r="B1878" s="22"/>
      <c r="C1878" s="22"/>
      <c r="D1878" s="22"/>
      <c r="E1878" s="22"/>
      <c r="F1878" s="22"/>
      <c r="G1878" s="22"/>
      <c r="H1878" s="22"/>
      <c r="I1878" s="24"/>
      <c r="J1878" s="24"/>
      <c r="K1878" s="24"/>
      <c r="L1878" s="24"/>
      <c r="M1878" s="26"/>
      <c r="N1878" s="26"/>
      <c r="O1878" s="26"/>
      <c r="P1878" s="27"/>
      <c r="Q1878" s="27"/>
      <c r="R1878" s="27"/>
      <c r="S1878" s="22"/>
      <c r="T1878" s="22"/>
      <c r="U1878" s="28"/>
    </row>
    <row r="1879" ht="15.75" customHeight="1">
      <c r="A1879" s="189"/>
      <c r="B1879" s="22"/>
      <c r="C1879" s="22"/>
      <c r="D1879" s="22"/>
      <c r="E1879" s="22"/>
      <c r="F1879" s="22"/>
      <c r="G1879" s="22"/>
      <c r="H1879" s="22"/>
      <c r="I1879" s="24"/>
      <c r="J1879" s="24"/>
      <c r="K1879" s="24"/>
      <c r="L1879" s="24"/>
      <c r="M1879" s="26"/>
      <c r="N1879" s="26"/>
      <c r="O1879" s="26"/>
      <c r="P1879" s="27"/>
      <c r="Q1879" s="27"/>
      <c r="R1879" s="27"/>
      <c r="S1879" s="22"/>
      <c r="T1879" s="22"/>
      <c r="U1879" s="28"/>
    </row>
    <row r="1880" ht="15.75" customHeight="1">
      <c r="A1880" s="189"/>
      <c r="B1880" s="22"/>
      <c r="C1880" s="22"/>
      <c r="D1880" s="22"/>
      <c r="E1880" s="22"/>
      <c r="F1880" s="22"/>
      <c r="G1880" s="22"/>
      <c r="H1880" s="22"/>
      <c r="I1880" s="24"/>
      <c r="J1880" s="24"/>
      <c r="K1880" s="24"/>
      <c r="L1880" s="24"/>
      <c r="M1880" s="26"/>
      <c r="N1880" s="26"/>
      <c r="O1880" s="26"/>
      <c r="P1880" s="27"/>
      <c r="Q1880" s="27"/>
      <c r="R1880" s="27"/>
      <c r="S1880" s="22"/>
      <c r="T1880" s="22"/>
      <c r="U1880" s="28"/>
    </row>
    <row r="1881" ht="15.75" customHeight="1">
      <c r="A1881" s="189"/>
      <c r="B1881" s="22"/>
      <c r="C1881" s="22"/>
      <c r="D1881" s="22"/>
      <c r="E1881" s="22"/>
      <c r="F1881" s="22"/>
      <c r="G1881" s="22"/>
      <c r="H1881" s="22"/>
      <c r="I1881" s="24"/>
      <c r="J1881" s="24"/>
      <c r="K1881" s="24"/>
      <c r="L1881" s="24"/>
      <c r="M1881" s="26"/>
      <c r="N1881" s="26"/>
      <c r="O1881" s="26"/>
      <c r="P1881" s="27"/>
      <c r="Q1881" s="27"/>
      <c r="R1881" s="27"/>
      <c r="S1881" s="22"/>
      <c r="T1881" s="22"/>
      <c r="U1881" s="28"/>
    </row>
    <row r="1882" ht="15.75" customHeight="1">
      <c r="A1882" s="189"/>
      <c r="B1882" s="22"/>
      <c r="C1882" s="22"/>
      <c r="D1882" s="22"/>
      <c r="E1882" s="22"/>
      <c r="F1882" s="22"/>
      <c r="G1882" s="22"/>
      <c r="H1882" s="22"/>
      <c r="I1882" s="24"/>
      <c r="J1882" s="24"/>
      <c r="K1882" s="24"/>
      <c r="L1882" s="24"/>
      <c r="M1882" s="26"/>
      <c r="N1882" s="26"/>
      <c r="O1882" s="26"/>
      <c r="P1882" s="27"/>
      <c r="Q1882" s="27"/>
      <c r="R1882" s="27"/>
      <c r="S1882" s="22"/>
      <c r="T1882" s="22"/>
      <c r="U1882" s="28"/>
    </row>
    <row r="1883" ht="15.75" customHeight="1">
      <c r="A1883" s="189"/>
      <c r="B1883" s="22"/>
      <c r="C1883" s="22"/>
      <c r="D1883" s="22"/>
      <c r="E1883" s="22"/>
      <c r="F1883" s="22"/>
      <c r="G1883" s="22"/>
      <c r="H1883" s="22"/>
      <c r="I1883" s="24"/>
      <c r="J1883" s="24"/>
      <c r="K1883" s="24"/>
      <c r="L1883" s="24"/>
      <c r="M1883" s="26"/>
      <c r="N1883" s="26"/>
      <c r="O1883" s="26"/>
      <c r="P1883" s="27"/>
      <c r="Q1883" s="27"/>
      <c r="R1883" s="27"/>
      <c r="S1883" s="22"/>
      <c r="T1883" s="22"/>
      <c r="U1883" s="28"/>
    </row>
    <row r="1884" ht="15.75" customHeight="1">
      <c r="A1884" s="189"/>
      <c r="B1884" s="22"/>
      <c r="C1884" s="22"/>
      <c r="D1884" s="22"/>
      <c r="E1884" s="22"/>
      <c r="F1884" s="22"/>
      <c r="G1884" s="22"/>
      <c r="H1884" s="22"/>
      <c r="I1884" s="24"/>
      <c r="J1884" s="24"/>
      <c r="K1884" s="24"/>
      <c r="L1884" s="24"/>
      <c r="M1884" s="26"/>
      <c r="N1884" s="26"/>
      <c r="O1884" s="26"/>
      <c r="P1884" s="27"/>
      <c r="Q1884" s="27"/>
      <c r="R1884" s="27"/>
      <c r="S1884" s="22"/>
      <c r="T1884" s="22"/>
      <c r="U1884" s="28"/>
    </row>
    <row r="1885" ht="15.75" customHeight="1">
      <c r="A1885" s="189"/>
      <c r="B1885" s="22"/>
      <c r="C1885" s="22"/>
      <c r="D1885" s="22"/>
      <c r="E1885" s="22"/>
      <c r="F1885" s="22"/>
      <c r="G1885" s="22"/>
      <c r="H1885" s="22"/>
      <c r="I1885" s="24"/>
      <c r="J1885" s="24"/>
      <c r="K1885" s="24"/>
      <c r="L1885" s="24"/>
      <c r="M1885" s="26"/>
      <c r="N1885" s="26"/>
      <c r="O1885" s="26"/>
      <c r="P1885" s="27"/>
      <c r="Q1885" s="27"/>
      <c r="R1885" s="27"/>
      <c r="S1885" s="22"/>
      <c r="T1885" s="22"/>
      <c r="U1885" s="28"/>
    </row>
    <row r="1886" ht="15.75" customHeight="1">
      <c r="A1886" s="189"/>
      <c r="B1886" s="22"/>
      <c r="C1886" s="22"/>
      <c r="D1886" s="22"/>
      <c r="E1886" s="22"/>
      <c r="F1886" s="22"/>
      <c r="G1886" s="22"/>
      <c r="H1886" s="22"/>
      <c r="I1886" s="24"/>
      <c r="J1886" s="24"/>
      <c r="K1886" s="24"/>
      <c r="L1886" s="24"/>
      <c r="M1886" s="26"/>
      <c r="N1886" s="26"/>
      <c r="O1886" s="26"/>
      <c r="P1886" s="27"/>
      <c r="Q1886" s="27"/>
      <c r="R1886" s="27"/>
      <c r="S1886" s="22"/>
      <c r="T1886" s="22"/>
      <c r="U1886" s="28"/>
    </row>
    <row r="1887" ht="15.75" customHeight="1">
      <c r="A1887" s="189"/>
      <c r="B1887" s="22"/>
      <c r="C1887" s="22"/>
      <c r="D1887" s="22"/>
      <c r="E1887" s="22"/>
      <c r="F1887" s="22"/>
      <c r="G1887" s="22"/>
      <c r="H1887" s="22"/>
      <c r="I1887" s="24"/>
      <c r="J1887" s="24"/>
      <c r="K1887" s="24"/>
      <c r="L1887" s="24"/>
      <c r="M1887" s="26"/>
      <c r="N1887" s="26"/>
      <c r="O1887" s="26"/>
      <c r="P1887" s="27"/>
      <c r="Q1887" s="27"/>
      <c r="R1887" s="27"/>
      <c r="S1887" s="22"/>
      <c r="T1887" s="22"/>
      <c r="U1887" s="28"/>
    </row>
    <row r="1888" ht="15.75" customHeight="1">
      <c r="A1888" s="189"/>
      <c r="B1888" s="22"/>
      <c r="C1888" s="22"/>
      <c r="D1888" s="22"/>
      <c r="E1888" s="22"/>
      <c r="F1888" s="22"/>
      <c r="G1888" s="22"/>
      <c r="H1888" s="22"/>
      <c r="I1888" s="24"/>
      <c r="J1888" s="24"/>
      <c r="K1888" s="24"/>
      <c r="L1888" s="24"/>
      <c r="M1888" s="26"/>
      <c r="N1888" s="26"/>
      <c r="O1888" s="26"/>
      <c r="P1888" s="27"/>
      <c r="Q1888" s="27"/>
      <c r="R1888" s="27"/>
      <c r="S1888" s="22"/>
      <c r="T1888" s="22"/>
      <c r="U1888" s="28"/>
    </row>
    <row r="1889" ht="15.75" customHeight="1">
      <c r="A1889" s="189"/>
      <c r="B1889" s="22"/>
      <c r="C1889" s="22"/>
      <c r="D1889" s="22"/>
      <c r="E1889" s="22"/>
      <c r="F1889" s="22"/>
      <c r="G1889" s="22"/>
      <c r="H1889" s="22"/>
      <c r="I1889" s="24"/>
      <c r="J1889" s="24"/>
      <c r="K1889" s="24"/>
      <c r="L1889" s="24"/>
      <c r="M1889" s="26"/>
      <c r="N1889" s="26"/>
      <c r="O1889" s="26"/>
      <c r="P1889" s="27"/>
      <c r="Q1889" s="27"/>
      <c r="R1889" s="27"/>
      <c r="S1889" s="22"/>
      <c r="T1889" s="22"/>
      <c r="U1889" s="28"/>
    </row>
    <row r="1890" ht="15.75" customHeight="1">
      <c r="A1890" s="189"/>
      <c r="B1890" s="22"/>
      <c r="C1890" s="22"/>
      <c r="D1890" s="22"/>
      <c r="E1890" s="22"/>
      <c r="F1890" s="22"/>
      <c r="G1890" s="22"/>
      <c r="H1890" s="22"/>
      <c r="I1890" s="24"/>
      <c r="J1890" s="24"/>
      <c r="K1890" s="24"/>
      <c r="L1890" s="24"/>
      <c r="M1890" s="26"/>
      <c r="N1890" s="26"/>
      <c r="O1890" s="26"/>
      <c r="P1890" s="27"/>
      <c r="Q1890" s="27"/>
      <c r="R1890" s="27"/>
      <c r="S1890" s="22"/>
      <c r="T1890" s="22"/>
      <c r="U1890" s="28"/>
    </row>
    <row r="1891" ht="15.75" customHeight="1">
      <c r="A1891" s="189"/>
      <c r="B1891" s="22"/>
      <c r="C1891" s="22"/>
      <c r="D1891" s="22"/>
      <c r="E1891" s="22"/>
      <c r="F1891" s="22"/>
      <c r="G1891" s="22"/>
      <c r="H1891" s="22"/>
      <c r="I1891" s="24"/>
      <c r="J1891" s="24"/>
      <c r="K1891" s="24"/>
      <c r="L1891" s="24"/>
      <c r="M1891" s="26"/>
      <c r="N1891" s="26"/>
      <c r="O1891" s="26"/>
      <c r="P1891" s="27"/>
      <c r="Q1891" s="27"/>
      <c r="R1891" s="27"/>
      <c r="S1891" s="22"/>
      <c r="T1891" s="22"/>
      <c r="U1891" s="28"/>
    </row>
    <row r="1892" ht="15.75" customHeight="1">
      <c r="A1892" s="189"/>
      <c r="B1892" s="22"/>
      <c r="C1892" s="22"/>
      <c r="D1892" s="22"/>
      <c r="E1892" s="22"/>
      <c r="F1892" s="22"/>
      <c r="G1892" s="22"/>
      <c r="H1892" s="22"/>
      <c r="I1892" s="24"/>
      <c r="J1892" s="24"/>
      <c r="K1892" s="24"/>
      <c r="L1892" s="24"/>
      <c r="M1892" s="26"/>
      <c r="N1892" s="26"/>
      <c r="O1892" s="26"/>
      <c r="P1892" s="27"/>
      <c r="Q1892" s="27"/>
      <c r="R1892" s="27"/>
      <c r="S1892" s="22"/>
      <c r="T1892" s="22"/>
      <c r="U1892" s="28"/>
    </row>
    <row r="1893" ht="15.75" customHeight="1">
      <c r="A1893" s="189"/>
      <c r="B1893" s="22"/>
      <c r="C1893" s="22"/>
      <c r="D1893" s="22"/>
      <c r="E1893" s="22"/>
      <c r="F1893" s="22"/>
      <c r="G1893" s="22"/>
      <c r="H1893" s="22"/>
      <c r="I1893" s="24"/>
      <c r="J1893" s="24"/>
      <c r="K1893" s="24"/>
      <c r="L1893" s="24"/>
      <c r="M1893" s="26"/>
      <c r="N1893" s="26"/>
      <c r="O1893" s="26"/>
      <c r="P1893" s="27"/>
      <c r="Q1893" s="27"/>
      <c r="R1893" s="27"/>
      <c r="S1893" s="22"/>
      <c r="T1893" s="22"/>
      <c r="U1893" s="28"/>
    </row>
    <row r="1894" ht="15.75" customHeight="1">
      <c r="A1894" s="189"/>
      <c r="B1894" s="22"/>
      <c r="C1894" s="22"/>
      <c r="D1894" s="22"/>
      <c r="E1894" s="22"/>
      <c r="F1894" s="22"/>
      <c r="G1894" s="22"/>
      <c r="H1894" s="22"/>
      <c r="I1894" s="24"/>
      <c r="J1894" s="24"/>
      <c r="K1894" s="24"/>
      <c r="L1894" s="24"/>
      <c r="M1894" s="26"/>
      <c r="N1894" s="26"/>
      <c r="O1894" s="26"/>
      <c r="P1894" s="27"/>
      <c r="Q1894" s="27"/>
      <c r="R1894" s="27"/>
      <c r="S1894" s="22"/>
      <c r="T1894" s="22"/>
      <c r="U1894" s="28"/>
    </row>
    <row r="1895" ht="15.75" customHeight="1">
      <c r="A1895" s="189"/>
      <c r="B1895" s="22"/>
      <c r="C1895" s="22"/>
      <c r="D1895" s="22"/>
      <c r="E1895" s="22"/>
      <c r="F1895" s="22"/>
      <c r="G1895" s="22"/>
      <c r="H1895" s="22"/>
      <c r="I1895" s="24"/>
      <c r="J1895" s="24"/>
      <c r="K1895" s="24"/>
      <c r="L1895" s="24"/>
      <c r="M1895" s="26"/>
      <c r="N1895" s="26"/>
      <c r="O1895" s="26"/>
      <c r="P1895" s="27"/>
      <c r="Q1895" s="27"/>
      <c r="R1895" s="27"/>
      <c r="S1895" s="22"/>
      <c r="T1895" s="22"/>
      <c r="U1895" s="28"/>
    </row>
    <row r="1896" ht="15.75" customHeight="1">
      <c r="A1896" s="189"/>
      <c r="B1896" s="22"/>
      <c r="C1896" s="22"/>
      <c r="D1896" s="22"/>
      <c r="E1896" s="22"/>
      <c r="F1896" s="22"/>
      <c r="G1896" s="22"/>
      <c r="H1896" s="22"/>
      <c r="I1896" s="24"/>
      <c r="J1896" s="24"/>
      <c r="K1896" s="24"/>
      <c r="L1896" s="24"/>
      <c r="M1896" s="26"/>
      <c r="N1896" s="26"/>
      <c r="O1896" s="26"/>
      <c r="P1896" s="27"/>
      <c r="Q1896" s="27"/>
      <c r="R1896" s="27"/>
      <c r="S1896" s="22"/>
      <c r="T1896" s="22"/>
      <c r="U1896" s="28"/>
    </row>
    <row r="1897" ht="15.75" customHeight="1">
      <c r="A1897" s="189"/>
      <c r="B1897" s="22"/>
      <c r="C1897" s="22"/>
      <c r="D1897" s="22"/>
      <c r="E1897" s="22"/>
      <c r="F1897" s="22"/>
      <c r="G1897" s="22"/>
      <c r="H1897" s="22"/>
      <c r="I1897" s="24"/>
      <c r="J1897" s="24"/>
      <c r="K1897" s="24"/>
      <c r="L1897" s="24"/>
      <c r="M1897" s="26"/>
      <c r="N1897" s="26"/>
      <c r="O1897" s="26"/>
      <c r="P1897" s="27"/>
      <c r="Q1897" s="27"/>
      <c r="R1897" s="27"/>
      <c r="S1897" s="22"/>
      <c r="T1897" s="22"/>
      <c r="U1897" s="28"/>
    </row>
    <row r="1898" ht="15.75" customHeight="1">
      <c r="A1898" s="189"/>
      <c r="B1898" s="22"/>
      <c r="C1898" s="22"/>
      <c r="D1898" s="22"/>
      <c r="E1898" s="22"/>
      <c r="F1898" s="22"/>
      <c r="G1898" s="22"/>
      <c r="H1898" s="22"/>
      <c r="I1898" s="24"/>
      <c r="J1898" s="24"/>
      <c r="K1898" s="24"/>
      <c r="L1898" s="24"/>
      <c r="M1898" s="26"/>
      <c r="N1898" s="26"/>
      <c r="O1898" s="26"/>
      <c r="P1898" s="27"/>
      <c r="Q1898" s="27"/>
      <c r="R1898" s="27"/>
      <c r="S1898" s="22"/>
      <c r="T1898" s="22"/>
      <c r="U1898" s="28"/>
    </row>
    <row r="1899" ht="15.75" customHeight="1">
      <c r="A1899" s="189"/>
      <c r="B1899" s="22"/>
      <c r="C1899" s="22"/>
      <c r="D1899" s="22"/>
      <c r="E1899" s="22"/>
      <c r="F1899" s="22"/>
      <c r="G1899" s="22"/>
      <c r="H1899" s="22"/>
      <c r="I1899" s="24"/>
      <c r="J1899" s="24"/>
      <c r="K1899" s="24"/>
      <c r="L1899" s="24"/>
      <c r="M1899" s="26"/>
      <c r="N1899" s="26"/>
      <c r="O1899" s="26"/>
      <c r="P1899" s="27"/>
      <c r="Q1899" s="27"/>
      <c r="R1899" s="27"/>
      <c r="S1899" s="22"/>
      <c r="T1899" s="22"/>
      <c r="U1899" s="28"/>
    </row>
    <row r="1900" ht="15.75" customHeight="1">
      <c r="A1900" s="189"/>
      <c r="B1900" s="22"/>
      <c r="C1900" s="22"/>
      <c r="D1900" s="22"/>
      <c r="E1900" s="22"/>
      <c r="F1900" s="22"/>
      <c r="G1900" s="22"/>
      <c r="H1900" s="22"/>
      <c r="I1900" s="24"/>
      <c r="J1900" s="24"/>
      <c r="K1900" s="24"/>
      <c r="L1900" s="24"/>
      <c r="M1900" s="26"/>
      <c r="N1900" s="26"/>
      <c r="O1900" s="26"/>
      <c r="P1900" s="27"/>
      <c r="Q1900" s="27"/>
      <c r="R1900" s="27"/>
      <c r="S1900" s="22"/>
      <c r="T1900" s="22"/>
      <c r="U1900" s="28"/>
    </row>
    <row r="1901" ht="15.75" customHeight="1">
      <c r="A1901" s="189"/>
      <c r="B1901" s="22"/>
      <c r="C1901" s="22"/>
      <c r="D1901" s="22"/>
      <c r="E1901" s="22"/>
      <c r="F1901" s="22"/>
      <c r="G1901" s="22"/>
      <c r="H1901" s="22"/>
      <c r="I1901" s="24"/>
      <c r="J1901" s="24"/>
      <c r="K1901" s="24"/>
      <c r="L1901" s="24"/>
      <c r="M1901" s="26"/>
      <c r="N1901" s="26"/>
      <c r="O1901" s="26"/>
      <c r="P1901" s="27"/>
      <c r="Q1901" s="27"/>
      <c r="R1901" s="27"/>
      <c r="S1901" s="22"/>
      <c r="T1901" s="22"/>
      <c r="U1901" s="28"/>
    </row>
    <row r="1902" ht="15.75" customHeight="1">
      <c r="A1902" s="189"/>
      <c r="B1902" s="22"/>
      <c r="C1902" s="22"/>
      <c r="D1902" s="22"/>
      <c r="E1902" s="22"/>
      <c r="F1902" s="22"/>
      <c r="G1902" s="22"/>
      <c r="H1902" s="22"/>
      <c r="I1902" s="24"/>
      <c r="J1902" s="24"/>
      <c r="K1902" s="24"/>
      <c r="L1902" s="24"/>
      <c r="M1902" s="26"/>
      <c r="N1902" s="26"/>
      <c r="O1902" s="26"/>
      <c r="P1902" s="27"/>
      <c r="Q1902" s="27"/>
      <c r="R1902" s="27"/>
      <c r="S1902" s="22"/>
      <c r="T1902" s="22"/>
      <c r="U1902" s="28"/>
    </row>
    <row r="1903" ht="15.75" customHeight="1">
      <c r="A1903" s="189"/>
      <c r="B1903" s="22"/>
      <c r="C1903" s="22"/>
      <c r="D1903" s="22"/>
      <c r="E1903" s="22"/>
      <c r="F1903" s="22"/>
      <c r="G1903" s="22"/>
      <c r="H1903" s="22"/>
      <c r="I1903" s="24"/>
      <c r="J1903" s="24"/>
      <c r="K1903" s="24"/>
      <c r="L1903" s="24"/>
      <c r="M1903" s="26"/>
      <c r="N1903" s="26"/>
      <c r="O1903" s="26"/>
      <c r="P1903" s="27"/>
      <c r="Q1903" s="27"/>
      <c r="R1903" s="27"/>
      <c r="S1903" s="22"/>
      <c r="T1903" s="22"/>
      <c r="U1903" s="28"/>
    </row>
    <row r="1904" ht="15.75" customHeight="1">
      <c r="A1904" s="189"/>
      <c r="B1904" s="22"/>
      <c r="C1904" s="22"/>
      <c r="D1904" s="22"/>
      <c r="E1904" s="22"/>
      <c r="F1904" s="22"/>
      <c r="G1904" s="22"/>
      <c r="H1904" s="22"/>
      <c r="I1904" s="24"/>
      <c r="J1904" s="24"/>
      <c r="K1904" s="24"/>
      <c r="L1904" s="24"/>
      <c r="M1904" s="26"/>
      <c r="N1904" s="26"/>
      <c r="O1904" s="26"/>
      <c r="P1904" s="27"/>
      <c r="Q1904" s="27"/>
      <c r="R1904" s="27"/>
      <c r="S1904" s="22"/>
      <c r="T1904" s="22"/>
      <c r="U1904" s="28"/>
    </row>
    <row r="1905" ht="15.75" customHeight="1">
      <c r="A1905" s="189"/>
      <c r="B1905" s="22"/>
      <c r="C1905" s="22"/>
      <c r="D1905" s="22"/>
      <c r="E1905" s="22"/>
      <c r="F1905" s="22"/>
      <c r="G1905" s="22"/>
      <c r="H1905" s="22"/>
      <c r="I1905" s="24"/>
      <c r="J1905" s="24"/>
      <c r="K1905" s="24"/>
      <c r="L1905" s="24"/>
      <c r="M1905" s="26"/>
      <c r="N1905" s="26"/>
      <c r="O1905" s="26"/>
      <c r="P1905" s="27"/>
      <c r="Q1905" s="27"/>
      <c r="R1905" s="27"/>
      <c r="S1905" s="22"/>
      <c r="T1905" s="22"/>
      <c r="U1905" s="28"/>
    </row>
    <row r="1906" ht="15.75" customHeight="1">
      <c r="A1906" s="189"/>
      <c r="B1906" s="22"/>
      <c r="C1906" s="22"/>
      <c r="D1906" s="22"/>
      <c r="E1906" s="22"/>
      <c r="F1906" s="22"/>
      <c r="G1906" s="22"/>
      <c r="H1906" s="22"/>
      <c r="I1906" s="24"/>
      <c r="J1906" s="24"/>
      <c r="K1906" s="24"/>
      <c r="L1906" s="24"/>
      <c r="M1906" s="26"/>
      <c r="N1906" s="26"/>
      <c r="O1906" s="26"/>
      <c r="P1906" s="27"/>
      <c r="Q1906" s="27"/>
      <c r="R1906" s="27"/>
      <c r="S1906" s="22"/>
      <c r="T1906" s="22"/>
      <c r="U1906" s="28"/>
    </row>
    <row r="1907" ht="15.75" customHeight="1">
      <c r="A1907" s="189"/>
      <c r="B1907" s="22"/>
      <c r="C1907" s="22"/>
      <c r="D1907" s="22"/>
      <c r="E1907" s="22"/>
      <c r="F1907" s="22"/>
      <c r="G1907" s="22"/>
      <c r="H1907" s="22"/>
      <c r="I1907" s="24"/>
      <c r="J1907" s="24"/>
      <c r="K1907" s="24"/>
      <c r="L1907" s="24"/>
      <c r="M1907" s="26"/>
      <c r="N1907" s="26"/>
      <c r="O1907" s="26"/>
      <c r="P1907" s="27"/>
      <c r="Q1907" s="27"/>
      <c r="R1907" s="27"/>
      <c r="S1907" s="22"/>
      <c r="T1907" s="22"/>
      <c r="U1907" s="28"/>
    </row>
    <row r="1908" ht="15.75" customHeight="1">
      <c r="A1908" s="189"/>
      <c r="B1908" s="22"/>
      <c r="C1908" s="22"/>
      <c r="D1908" s="22"/>
      <c r="E1908" s="22"/>
      <c r="F1908" s="22"/>
      <c r="G1908" s="22"/>
      <c r="H1908" s="22"/>
      <c r="I1908" s="24"/>
      <c r="J1908" s="24"/>
      <c r="K1908" s="24"/>
      <c r="L1908" s="24"/>
      <c r="M1908" s="26"/>
      <c r="N1908" s="26"/>
      <c r="O1908" s="26"/>
      <c r="P1908" s="27"/>
      <c r="Q1908" s="27"/>
      <c r="R1908" s="27"/>
      <c r="S1908" s="22"/>
      <c r="T1908" s="22"/>
      <c r="U1908" s="28"/>
    </row>
    <row r="1909" ht="15.75" customHeight="1">
      <c r="A1909" s="189"/>
      <c r="B1909" s="22"/>
      <c r="C1909" s="22"/>
      <c r="D1909" s="22"/>
      <c r="E1909" s="22"/>
      <c r="F1909" s="22"/>
      <c r="G1909" s="22"/>
      <c r="H1909" s="22"/>
      <c r="I1909" s="24"/>
      <c r="J1909" s="24"/>
      <c r="K1909" s="24"/>
      <c r="L1909" s="24"/>
      <c r="M1909" s="26"/>
      <c r="N1909" s="26"/>
      <c r="O1909" s="26"/>
      <c r="P1909" s="27"/>
      <c r="Q1909" s="27"/>
      <c r="R1909" s="27"/>
      <c r="S1909" s="22"/>
      <c r="T1909" s="22"/>
      <c r="U1909" s="28"/>
    </row>
    <row r="1910" ht="15.75" customHeight="1">
      <c r="A1910" s="189"/>
      <c r="B1910" s="22"/>
      <c r="C1910" s="22"/>
      <c r="D1910" s="22"/>
      <c r="E1910" s="22"/>
      <c r="F1910" s="22"/>
      <c r="G1910" s="22"/>
      <c r="H1910" s="22"/>
      <c r="I1910" s="24"/>
      <c r="J1910" s="24"/>
      <c r="K1910" s="24"/>
      <c r="L1910" s="24"/>
      <c r="M1910" s="26"/>
      <c r="N1910" s="26"/>
      <c r="O1910" s="26"/>
      <c r="P1910" s="27"/>
      <c r="Q1910" s="27"/>
      <c r="R1910" s="27"/>
      <c r="S1910" s="22"/>
      <c r="T1910" s="22"/>
      <c r="U1910" s="28"/>
    </row>
    <row r="1911" ht="15.75" customHeight="1">
      <c r="A1911" s="189"/>
      <c r="B1911" s="22"/>
      <c r="C1911" s="22"/>
      <c r="D1911" s="22"/>
      <c r="E1911" s="22"/>
      <c r="F1911" s="22"/>
      <c r="G1911" s="22"/>
      <c r="H1911" s="22"/>
      <c r="I1911" s="24"/>
      <c r="J1911" s="24"/>
      <c r="K1911" s="24"/>
      <c r="L1911" s="24"/>
      <c r="M1911" s="26"/>
      <c r="N1911" s="26"/>
      <c r="O1911" s="26"/>
      <c r="P1911" s="27"/>
      <c r="Q1911" s="27"/>
      <c r="R1911" s="27"/>
      <c r="S1911" s="22"/>
      <c r="T1911" s="22"/>
      <c r="U1911" s="28"/>
    </row>
    <row r="1912" ht="15.75" customHeight="1">
      <c r="A1912" s="189"/>
      <c r="B1912" s="22"/>
      <c r="C1912" s="22"/>
      <c r="D1912" s="22"/>
      <c r="E1912" s="22"/>
      <c r="F1912" s="22"/>
      <c r="G1912" s="22"/>
      <c r="H1912" s="22"/>
      <c r="I1912" s="24"/>
      <c r="J1912" s="24"/>
      <c r="K1912" s="24"/>
      <c r="L1912" s="24"/>
      <c r="M1912" s="26"/>
      <c r="N1912" s="26"/>
      <c r="O1912" s="26"/>
      <c r="P1912" s="27"/>
      <c r="Q1912" s="27"/>
      <c r="R1912" s="27"/>
      <c r="S1912" s="22"/>
      <c r="T1912" s="22"/>
      <c r="U1912" s="28"/>
    </row>
    <row r="1913" ht="15.75" customHeight="1">
      <c r="A1913" s="189"/>
      <c r="B1913" s="22"/>
      <c r="C1913" s="22"/>
      <c r="D1913" s="22"/>
      <c r="E1913" s="22"/>
      <c r="F1913" s="22"/>
      <c r="G1913" s="22"/>
      <c r="H1913" s="22"/>
      <c r="I1913" s="24"/>
      <c r="J1913" s="24"/>
      <c r="K1913" s="24"/>
      <c r="L1913" s="24"/>
      <c r="M1913" s="26"/>
      <c r="N1913" s="26"/>
      <c r="O1913" s="26"/>
      <c r="P1913" s="27"/>
      <c r="Q1913" s="27"/>
      <c r="R1913" s="27"/>
      <c r="S1913" s="22"/>
      <c r="T1913" s="22"/>
      <c r="U1913" s="28"/>
    </row>
    <row r="1914" ht="15.75" customHeight="1">
      <c r="A1914" s="189"/>
      <c r="B1914" s="22"/>
      <c r="C1914" s="22"/>
      <c r="D1914" s="22"/>
      <c r="E1914" s="22"/>
      <c r="F1914" s="22"/>
      <c r="G1914" s="22"/>
      <c r="H1914" s="22"/>
      <c r="I1914" s="24"/>
      <c r="J1914" s="24"/>
      <c r="K1914" s="24"/>
      <c r="L1914" s="24"/>
      <c r="M1914" s="26"/>
      <c r="N1914" s="26"/>
      <c r="O1914" s="26"/>
      <c r="P1914" s="27"/>
      <c r="Q1914" s="27"/>
      <c r="R1914" s="27"/>
      <c r="S1914" s="22"/>
      <c r="T1914" s="22"/>
      <c r="U1914" s="28"/>
    </row>
    <row r="1915" ht="15.75" customHeight="1">
      <c r="A1915" s="189"/>
      <c r="B1915" s="22"/>
      <c r="C1915" s="22"/>
      <c r="D1915" s="22"/>
      <c r="E1915" s="22"/>
      <c r="F1915" s="22"/>
      <c r="G1915" s="22"/>
      <c r="H1915" s="22"/>
      <c r="I1915" s="24"/>
      <c r="J1915" s="24"/>
      <c r="K1915" s="24"/>
      <c r="L1915" s="24"/>
      <c r="M1915" s="26"/>
      <c r="N1915" s="26"/>
      <c r="O1915" s="26"/>
      <c r="P1915" s="27"/>
      <c r="Q1915" s="27"/>
      <c r="R1915" s="27"/>
      <c r="S1915" s="22"/>
      <c r="T1915" s="22"/>
      <c r="U1915" s="28"/>
    </row>
    <row r="1916" ht="15.75" customHeight="1">
      <c r="A1916" s="189"/>
      <c r="B1916" s="22"/>
      <c r="C1916" s="22"/>
      <c r="D1916" s="22"/>
      <c r="E1916" s="22"/>
      <c r="F1916" s="22"/>
      <c r="G1916" s="22"/>
      <c r="H1916" s="22"/>
      <c r="I1916" s="24"/>
      <c r="J1916" s="24"/>
      <c r="K1916" s="24"/>
      <c r="L1916" s="24"/>
      <c r="M1916" s="26"/>
      <c r="N1916" s="26"/>
      <c r="O1916" s="26"/>
      <c r="P1916" s="27"/>
      <c r="Q1916" s="27"/>
      <c r="R1916" s="27"/>
      <c r="S1916" s="22"/>
      <c r="T1916" s="22"/>
      <c r="U1916" s="28"/>
    </row>
    <row r="1917" ht="15.75" customHeight="1">
      <c r="A1917" s="189"/>
      <c r="B1917" s="22"/>
      <c r="C1917" s="22"/>
      <c r="D1917" s="22"/>
      <c r="E1917" s="22"/>
      <c r="F1917" s="22"/>
      <c r="G1917" s="22"/>
      <c r="H1917" s="22"/>
      <c r="I1917" s="24"/>
      <c r="J1917" s="24"/>
      <c r="K1917" s="24"/>
      <c r="L1917" s="24"/>
      <c r="M1917" s="26"/>
      <c r="N1917" s="26"/>
      <c r="O1917" s="26"/>
      <c r="P1917" s="27"/>
      <c r="Q1917" s="27"/>
      <c r="R1917" s="27"/>
      <c r="S1917" s="22"/>
      <c r="T1917" s="22"/>
      <c r="U1917" s="28"/>
    </row>
    <row r="1918" ht="15.75" customHeight="1">
      <c r="A1918" s="189"/>
      <c r="B1918" s="22"/>
      <c r="C1918" s="22"/>
      <c r="D1918" s="22"/>
      <c r="E1918" s="22"/>
      <c r="F1918" s="22"/>
      <c r="G1918" s="22"/>
      <c r="H1918" s="22"/>
      <c r="I1918" s="24"/>
      <c r="J1918" s="24"/>
      <c r="K1918" s="24"/>
      <c r="L1918" s="24"/>
      <c r="M1918" s="26"/>
      <c r="N1918" s="26"/>
      <c r="O1918" s="26"/>
      <c r="P1918" s="27"/>
      <c r="Q1918" s="27"/>
      <c r="R1918" s="27"/>
      <c r="S1918" s="22"/>
      <c r="T1918" s="22"/>
      <c r="U1918" s="28"/>
    </row>
    <row r="1919" ht="15.75" customHeight="1">
      <c r="A1919" s="189"/>
      <c r="B1919" s="22"/>
      <c r="C1919" s="22"/>
      <c r="D1919" s="22"/>
      <c r="E1919" s="22"/>
      <c r="F1919" s="22"/>
      <c r="G1919" s="22"/>
      <c r="H1919" s="22"/>
      <c r="I1919" s="24"/>
      <c r="J1919" s="24"/>
      <c r="K1919" s="24"/>
      <c r="L1919" s="24"/>
      <c r="M1919" s="26"/>
      <c r="N1919" s="26"/>
      <c r="O1919" s="26"/>
      <c r="P1919" s="27"/>
      <c r="Q1919" s="27"/>
      <c r="R1919" s="27"/>
      <c r="S1919" s="22"/>
      <c r="T1919" s="22"/>
      <c r="U1919" s="28"/>
    </row>
    <row r="1920" ht="15.75" customHeight="1">
      <c r="A1920" s="189"/>
      <c r="B1920" s="22"/>
      <c r="C1920" s="22"/>
      <c r="D1920" s="22"/>
      <c r="E1920" s="22"/>
      <c r="F1920" s="22"/>
      <c r="G1920" s="22"/>
      <c r="H1920" s="22"/>
      <c r="I1920" s="24"/>
      <c r="J1920" s="24"/>
      <c r="K1920" s="24"/>
      <c r="L1920" s="24"/>
      <c r="M1920" s="26"/>
      <c r="N1920" s="26"/>
      <c r="O1920" s="26"/>
      <c r="P1920" s="27"/>
      <c r="Q1920" s="27"/>
      <c r="R1920" s="27"/>
      <c r="S1920" s="22"/>
      <c r="T1920" s="22"/>
      <c r="U1920" s="28"/>
    </row>
    <row r="1921" ht="15.75" customHeight="1">
      <c r="A1921" s="189"/>
      <c r="B1921" s="22"/>
      <c r="C1921" s="22"/>
      <c r="D1921" s="22"/>
      <c r="E1921" s="22"/>
      <c r="F1921" s="22"/>
      <c r="G1921" s="22"/>
      <c r="H1921" s="22"/>
      <c r="I1921" s="24"/>
      <c r="J1921" s="24"/>
      <c r="K1921" s="24"/>
      <c r="L1921" s="24"/>
      <c r="M1921" s="26"/>
      <c r="N1921" s="26"/>
      <c r="O1921" s="26"/>
      <c r="P1921" s="27"/>
      <c r="Q1921" s="27"/>
      <c r="R1921" s="27"/>
      <c r="S1921" s="22"/>
      <c r="T1921" s="22"/>
      <c r="U1921" s="28"/>
    </row>
    <row r="1922" ht="15.75" customHeight="1">
      <c r="A1922" s="189"/>
      <c r="B1922" s="22"/>
      <c r="C1922" s="22"/>
      <c r="D1922" s="22"/>
      <c r="E1922" s="22"/>
      <c r="F1922" s="22"/>
      <c r="G1922" s="22"/>
      <c r="H1922" s="22"/>
      <c r="I1922" s="24"/>
      <c r="J1922" s="24"/>
      <c r="K1922" s="24"/>
      <c r="L1922" s="24"/>
      <c r="M1922" s="26"/>
      <c r="N1922" s="26"/>
      <c r="O1922" s="26"/>
      <c r="P1922" s="27"/>
      <c r="Q1922" s="27"/>
      <c r="R1922" s="27"/>
      <c r="S1922" s="22"/>
      <c r="T1922" s="22"/>
      <c r="U1922" s="28"/>
    </row>
    <row r="1923" ht="15.75" customHeight="1">
      <c r="A1923" s="189"/>
      <c r="B1923" s="22"/>
      <c r="C1923" s="22"/>
      <c r="D1923" s="22"/>
      <c r="E1923" s="22"/>
      <c r="F1923" s="22"/>
      <c r="G1923" s="22"/>
      <c r="H1923" s="22"/>
      <c r="I1923" s="24"/>
      <c r="J1923" s="24"/>
      <c r="K1923" s="24"/>
      <c r="L1923" s="24"/>
      <c r="M1923" s="26"/>
      <c r="N1923" s="26"/>
      <c r="O1923" s="26"/>
      <c r="P1923" s="27"/>
      <c r="Q1923" s="27"/>
      <c r="R1923" s="27"/>
      <c r="S1923" s="22"/>
      <c r="T1923" s="22"/>
      <c r="U1923" s="28"/>
    </row>
    <row r="1924" ht="15.75" customHeight="1">
      <c r="A1924" s="189"/>
      <c r="B1924" s="22"/>
      <c r="C1924" s="22"/>
      <c r="D1924" s="22"/>
      <c r="E1924" s="22"/>
      <c r="F1924" s="22"/>
      <c r="G1924" s="22"/>
      <c r="H1924" s="22"/>
      <c r="I1924" s="24"/>
      <c r="J1924" s="24"/>
      <c r="K1924" s="24"/>
      <c r="L1924" s="24"/>
      <c r="M1924" s="26"/>
      <c r="N1924" s="26"/>
      <c r="O1924" s="26"/>
      <c r="P1924" s="27"/>
      <c r="Q1924" s="27"/>
      <c r="R1924" s="27"/>
      <c r="S1924" s="22"/>
      <c r="T1924" s="22"/>
      <c r="U1924" s="28"/>
    </row>
    <row r="1925" ht="15.75" customHeight="1">
      <c r="A1925" s="189"/>
      <c r="B1925" s="22"/>
      <c r="C1925" s="22"/>
      <c r="D1925" s="22"/>
      <c r="E1925" s="22"/>
      <c r="F1925" s="22"/>
      <c r="G1925" s="22"/>
      <c r="H1925" s="22"/>
      <c r="I1925" s="24"/>
      <c r="J1925" s="24"/>
      <c r="K1925" s="24"/>
      <c r="L1925" s="24"/>
      <c r="M1925" s="26"/>
      <c r="N1925" s="26"/>
      <c r="O1925" s="26"/>
      <c r="P1925" s="27"/>
      <c r="Q1925" s="27"/>
      <c r="R1925" s="27"/>
      <c r="S1925" s="22"/>
      <c r="T1925" s="22"/>
      <c r="U1925" s="28"/>
    </row>
    <row r="1926" ht="15.75" customHeight="1">
      <c r="A1926" s="189"/>
      <c r="B1926" s="22"/>
      <c r="C1926" s="22"/>
      <c r="D1926" s="22"/>
      <c r="E1926" s="22"/>
      <c r="F1926" s="22"/>
      <c r="G1926" s="22"/>
      <c r="H1926" s="22"/>
      <c r="I1926" s="24"/>
      <c r="J1926" s="24"/>
      <c r="K1926" s="24"/>
      <c r="L1926" s="24"/>
      <c r="M1926" s="26"/>
      <c r="N1926" s="26"/>
      <c r="O1926" s="26"/>
      <c r="P1926" s="27"/>
      <c r="Q1926" s="27"/>
      <c r="R1926" s="27"/>
      <c r="S1926" s="22"/>
      <c r="T1926" s="22"/>
      <c r="U1926" s="28"/>
    </row>
    <row r="1927" ht="15.75" customHeight="1">
      <c r="A1927" s="189"/>
      <c r="B1927" s="22"/>
      <c r="C1927" s="22"/>
      <c r="D1927" s="22"/>
      <c r="E1927" s="22"/>
      <c r="F1927" s="22"/>
      <c r="G1927" s="22"/>
      <c r="H1927" s="22"/>
      <c r="I1927" s="24"/>
      <c r="J1927" s="24"/>
      <c r="K1927" s="24"/>
      <c r="L1927" s="24"/>
      <c r="M1927" s="26"/>
      <c r="N1927" s="26"/>
      <c r="O1927" s="26"/>
      <c r="P1927" s="27"/>
      <c r="Q1927" s="27"/>
      <c r="R1927" s="27"/>
      <c r="S1927" s="22"/>
      <c r="T1927" s="22"/>
      <c r="U1927" s="28"/>
    </row>
    <row r="1928" ht="15.75" customHeight="1">
      <c r="A1928" s="189"/>
      <c r="B1928" s="22"/>
      <c r="C1928" s="22"/>
      <c r="D1928" s="22"/>
      <c r="E1928" s="22"/>
      <c r="F1928" s="22"/>
      <c r="G1928" s="22"/>
      <c r="H1928" s="22"/>
      <c r="I1928" s="24"/>
      <c r="J1928" s="24"/>
      <c r="K1928" s="24"/>
      <c r="L1928" s="24"/>
      <c r="M1928" s="26"/>
      <c r="N1928" s="26"/>
      <c r="O1928" s="26"/>
      <c r="P1928" s="27"/>
      <c r="Q1928" s="27"/>
      <c r="R1928" s="27"/>
      <c r="S1928" s="22"/>
      <c r="T1928" s="22"/>
      <c r="U1928" s="28"/>
    </row>
    <row r="1929" ht="15.75" customHeight="1">
      <c r="A1929" s="189"/>
      <c r="B1929" s="22"/>
      <c r="C1929" s="22"/>
      <c r="D1929" s="22"/>
      <c r="E1929" s="22"/>
      <c r="F1929" s="22"/>
      <c r="G1929" s="22"/>
      <c r="H1929" s="22"/>
      <c r="I1929" s="24"/>
      <c r="J1929" s="24"/>
      <c r="K1929" s="24"/>
      <c r="L1929" s="24"/>
      <c r="M1929" s="26"/>
      <c r="N1929" s="26"/>
      <c r="O1929" s="26"/>
      <c r="P1929" s="27"/>
      <c r="Q1929" s="27"/>
      <c r="R1929" s="27"/>
      <c r="S1929" s="22"/>
      <c r="T1929" s="22"/>
      <c r="U1929" s="28"/>
    </row>
    <row r="1930" ht="15.75" customHeight="1">
      <c r="A1930" s="189"/>
      <c r="B1930" s="22"/>
      <c r="C1930" s="22"/>
      <c r="D1930" s="22"/>
      <c r="E1930" s="22"/>
      <c r="F1930" s="22"/>
      <c r="G1930" s="22"/>
      <c r="H1930" s="22"/>
      <c r="I1930" s="24"/>
      <c r="J1930" s="24"/>
      <c r="K1930" s="24"/>
      <c r="L1930" s="24"/>
      <c r="M1930" s="26"/>
      <c r="N1930" s="26"/>
      <c r="O1930" s="26"/>
      <c r="P1930" s="27"/>
      <c r="Q1930" s="27"/>
      <c r="R1930" s="27"/>
      <c r="S1930" s="22"/>
      <c r="T1930" s="22"/>
      <c r="U1930" s="28"/>
    </row>
    <row r="1931" ht="15.75" customHeight="1">
      <c r="A1931" s="189"/>
      <c r="B1931" s="22"/>
      <c r="C1931" s="22"/>
      <c r="D1931" s="22"/>
      <c r="E1931" s="22"/>
      <c r="F1931" s="22"/>
      <c r="G1931" s="22"/>
      <c r="H1931" s="22"/>
      <c r="I1931" s="24"/>
      <c r="J1931" s="24"/>
      <c r="K1931" s="24"/>
      <c r="L1931" s="24"/>
      <c r="M1931" s="26"/>
      <c r="N1931" s="26"/>
      <c r="O1931" s="26"/>
      <c r="P1931" s="27"/>
      <c r="Q1931" s="27"/>
      <c r="R1931" s="27"/>
      <c r="S1931" s="22"/>
      <c r="T1931" s="22"/>
      <c r="U1931" s="28"/>
    </row>
    <row r="1932" ht="15.75" customHeight="1">
      <c r="A1932" s="189"/>
      <c r="B1932" s="22"/>
      <c r="C1932" s="22"/>
      <c r="D1932" s="22"/>
      <c r="E1932" s="22"/>
      <c r="F1932" s="22"/>
      <c r="G1932" s="22"/>
      <c r="H1932" s="22"/>
      <c r="I1932" s="24"/>
      <c r="J1932" s="24"/>
      <c r="K1932" s="24"/>
      <c r="L1932" s="24"/>
      <c r="M1932" s="26"/>
      <c r="N1932" s="26"/>
      <c r="O1932" s="26"/>
      <c r="P1932" s="27"/>
      <c r="Q1932" s="27"/>
      <c r="R1932" s="27"/>
      <c r="S1932" s="22"/>
      <c r="T1932" s="22"/>
      <c r="U1932" s="28"/>
    </row>
    <row r="1933" ht="15.75" customHeight="1">
      <c r="A1933" s="189"/>
      <c r="B1933" s="22"/>
      <c r="C1933" s="22"/>
      <c r="D1933" s="22"/>
      <c r="E1933" s="22"/>
      <c r="F1933" s="22"/>
      <c r="G1933" s="22"/>
      <c r="H1933" s="22"/>
      <c r="I1933" s="24"/>
      <c r="J1933" s="24"/>
      <c r="K1933" s="24"/>
      <c r="L1933" s="24"/>
      <c r="M1933" s="26"/>
      <c r="N1933" s="26"/>
      <c r="O1933" s="26"/>
      <c r="P1933" s="27"/>
      <c r="Q1933" s="27"/>
      <c r="R1933" s="27"/>
      <c r="S1933" s="22"/>
      <c r="T1933" s="22"/>
      <c r="U1933" s="28"/>
    </row>
    <row r="1934" ht="15.75" customHeight="1">
      <c r="A1934" s="189"/>
      <c r="B1934" s="22"/>
      <c r="C1934" s="22"/>
      <c r="D1934" s="22"/>
      <c r="E1934" s="22"/>
      <c r="F1934" s="22"/>
      <c r="G1934" s="22"/>
      <c r="H1934" s="22"/>
      <c r="I1934" s="24"/>
      <c r="J1934" s="24"/>
      <c r="K1934" s="24"/>
      <c r="L1934" s="24"/>
      <c r="M1934" s="26"/>
      <c r="N1934" s="26"/>
      <c r="O1934" s="26"/>
      <c r="P1934" s="27"/>
      <c r="Q1934" s="27"/>
      <c r="R1934" s="27"/>
      <c r="S1934" s="22"/>
      <c r="T1934" s="22"/>
      <c r="U1934" s="28"/>
    </row>
    <row r="1935" ht="15.75" customHeight="1">
      <c r="A1935" s="189"/>
      <c r="B1935" s="22"/>
      <c r="C1935" s="22"/>
      <c r="D1935" s="22"/>
      <c r="E1935" s="22"/>
      <c r="F1935" s="22"/>
      <c r="G1935" s="22"/>
      <c r="H1935" s="22"/>
      <c r="I1935" s="24"/>
      <c r="J1935" s="24"/>
      <c r="K1935" s="24"/>
      <c r="L1935" s="24"/>
      <c r="M1935" s="26"/>
      <c r="N1935" s="26"/>
      <c r="O1935" s="26"/>
      <c r="P1935" s="27"/>
      <c r="Q1935" s="27"/>
      <c r="R1935" s="27"/>
      <c r="S1935" s="22"/>
      <c r="T1935" s="22"/>
      <c r="U1935" s="28"/>
    </row>
    <row r="1936" ht="15.75" customHeight="1">
      <c r="A1936" s="189"/>
      <c r="B1936" s="22"/>
      <c r="C1936" s="22"/>
      <c r="D1936" s="22"/>
      <c r="E1936" s="22"/>
      <c r="F1936" s="22"/>
      <c r="G1936" s="22"/>
      <c r="H1936" s="22"/>
      <c r="I1936" s="24"/>
      <c r="J1936" s="24"/>
      <c r="K1936" s="24"/>
      <c r="L1936" s="24"/>
      <c r="M1936" s="26"/>
      <c r="N1936" s="26"/>
      <c r="O1936" s="26"/>
      <c r="P1936" s="27"/>
      <c r="Q1936" s="27"/>
      <c r="R1936" s="27"/>
      <c r="S1936" s="22"/>
      <c r="T1936" s="22"/>
      <c r="U1936" s="28"/>
    </row>
    <row r="1937" ht="15.75" customHeight="1">
      <c r="A1937" s="189"/>
      <c r="B1937" s="22"/>
      <c r="C1937" s="22"/>
      <c r="D1937" s="22"/>
      <c r="E1937" s="22"/>
      <c r="F1937" s="22"/>
      <c r="G1937" s="22"/>
      <c r="H1937" s="22"/>
      <c r="I1937" s="24"/>
      <c r="J1937" s="24"/>
      <c r="K1937" s="24"/>
      <c r="L1937" s="24"/>
      <c r="M1937" s="26"/>
      <c r="N1937" s="26"/>
      <c r="O1937" s="26"/>
      <c r="P1937" s="27"/>
      <c r="Q1937" s="27"/>
      <c r="R1937" s="27"/>
      <c r="S1937" s="22"/>
      <c r="T1937" s="22"/>
      <c r="U1937" s="28"/>
    </row>
    <row r="1938" ht="15.75" customHeight="1">
      <c r="A1938" s="189"/>
      <c r="B1938" s="22"/>
      <c r="C1938" s="22"/>
      <c r="D1938" s="22"/>
      <c r="E1938" s="22"/>
      <c r="F1938" s="22"/>
      <c r="G1938" s="22"/>
      <c r="H1938" s="22"/>
      <c r="I1938" s="24"/>
      <c r="J1938" s="24"/>
      <c r="K1938" s="24"/>
      <c r="L1938" s="24"/>
      <c r="M1938" s="26"/>
      <c r="N1938" s="26"/>
      <c r="O1938" s="26"/>
      <c r="P1938" s="27"/>
      <c r="Q1938" s="27"/>
      <c r="R1938" s="27"/>
      <c r="S1938" s="22"/>
      <c r="T1938" s="22"/>
      <c r="U1938" s="28"/>
    </row>
    <row r="1939" ht="15.75" customHeight="1">
      <c r="A1939" s="189"/>
      <c r="B1939" s="22"/>
      <c r="C1939" s="22"/>
      <c r="D1939" s="22"/>
      <c r="E1939" s="22"/>
      <c r="F1939" s="22"/>
      <c r="G1939" s="22"/>
      <c r="H1939" s="22"/>
      <c r="I1939" s="24"/>
      <c r="J1939" s="24"/>
      <c r="K1939" s="24"/>
      <c r="L1939" s="24"/>
      <c r="M1939" s="26"/>
      <c r="N1939" s="26"/>
      <c r="O1939" s="26"/>
      <c r="P1939" s="27"/>
      <c r="Q1939" s="27"/>
      <c r="R1939" s="27"/>
      <c r="S1939" s="22"/>
      <c r="T1939" s="22"/>
      <c r="U1939" s="28"/>
    </row>
    <row r="1940" ht="15.75" customHeight="1">
      <c r="A1940" s="189"/>
      <c r="B1940" s="22"/>
      <c r="C1940" s="22"/>
      <c r="D1940" s="22"/>
      <c r="E1940" s="22"/>
      <c r="F1940" s="22"/>
      <c r="G1940" s="22"/>
      <c r="H1940" s="22"/>
      <c r="I1940" s="24"/>
      <c r="J1940" s="24"/>
      <c r="K1940" s="24"/>
      <c r="L1940" s="24"/>
      <c r="M1940" s="26"/>
      <c r="N1940" s="26"/>
      <c r="O1940" s="26"/>
      <c r="P1940" s="27"/>
      <c r="Q1940" s="27"/>
      <c r="R1940" s="27"/>
      <c r="S1940" s="22"/>
      <c r="T1940" s="22"/>
      <c r="U1940" s="28"/>
    </row>
    <row r="1941" ht="15.75" customHeight="1">
      <c r="A1941" s="189"/>
      <c r="B1941" s="22"/>
      <c r="C1941" s="22"/>
      <c r="D1941" s="22"/>
      <c r="E1941" s="22"/>
      <c r="F1941" s="22"/>
      <c r="G1941" s="22"/>
      <c r="H1941" s="22"/>
      <c r="I1941" s="24"/>
      <c r="J1941" s="24"/>
      <c r="K1941" s="24"/>
      <c r="L1941" s="24"/>
      <c r="M1941" s="26"/>
      <c r="N1941" s="26"/>
      <c r="O1941" s="26"/>
      <c r="P1941" s="27"/>
      <c r="Q1941" s="27"/>
      <c r="R1941" s="27"/>
      <c r="S1941" s="22"/>
      <c r="T1941" s="22"/>
      <c r="U1941" s="28"/>
    </row>
    <row r="1942" ht="15.75" customHeight="1">
      <c r="A1942" s="189"/>
      <c r="B1942" s="22"/>
      <c r="C1942" s="22"/>
      <c r="D1942" s="22"/>
      <c r="E1942" s="22"/>
      <c r="F1942" s="22"/>
      <c r="G1942" s="22"/>
      <c r="H1942" s="22"/>
      <c r="I1942" s="24"/>
      <c r="J1942" s="24"/>
      <c r="K1942" s="24"/>
      <c r="L1942" s="24"/>
      <c r="M1942" s="26"/>
      <c r="N1942" s="26"/>
      <c r="O1942" s="26"/>
      <c r="P1942" s="27"/>
      <c r="Q1942" s="27"/>
      <c r="R1942" s="27"/>
      <c r="S1942" s="22"/>
      <c r="T1942" s="22"/>
      <c r="U1942" s="28"/>
    </row>
    <row r="1943" ht="15.75" customHeight="1">
      <c r="A1943" s="189"/>
      <c r="B1943" s="22"/>
      <c r="C1943" s="22"/>
      <c r="D1943" s="22"/>
      <c r="E1943" s="22"/>
      <c r="F1943" s="22"/>
      <c r="G1943" s="22"/>
      <c r="H1943" s="22"/>
      <c r="I1943" s="24"/>
      <c r="J1943" s="24"/>
      <c r="K1943" s="24"/>
      <c r="L1943" s="24"/>
      <c r="M1943" s="26"/>
      <c r="N1943" s="26"/>
      <c r="O1943" s="26"/>
      <c r="P1943" s="27"/>
      <c r="Q1943" s="27"/>
      <c r="R1943" s="27"/>
      <c r="S1943" s="22"/>
      <c r="T1943" s="22"/>
      <c r="U1943" s="28"/>
    </row>
    <row r="1944" ht="15.75" customHeight="1">
      <c r="A1944" s="189"/>
      <c r="B1944" s="22"/>
      <c r="C1944" s="22"/>
      <c r="D1944" s="22"/>
      <c r="E1944" s="22"/>
      <c r="F1944" s="22"/>
      <c r="G1944" s="22"/>
      <c r="H1944" s="22"/>
      <c r="I1944" s="24"/>
      <c r="J1944" s="24"/>
      <c r="K1944" s="24"/>
      <c r="L1944" s="24"/>
      <c r="M1944" s="26"/>
      <c r="N1944" s="26"/>
      <c r="O1944" s="26"/>
      <c r="P1944" s="27"/>
      <c r="Q1944" s="27"/>
      <c r="R1944" s="27"/>
      <c r="S1944" s="22"/>
      <c r="T1944" s="22"/>
      <c r="U1944" s="28"/>
    </row>
    <row r="1945" ht="15.75" customHeight="1">
      <c r="A1945" s="189"/>
      <c r="B1945" s="22"/>
      <c r="C1945" s="22"/>
      <c r="D1945" s="22"/>
      <c r="E1945" s="22"/>
      <c r="F1945" s="22"/>
      <c r="G1945" s="22"/>
      <c r="H1945" s="22"/>
      <c r="I1945" s="24"/>
      <c r="J1945" s="24"/>
      <c r="K1945" s="24"/>
      <c r="L1945" s="24"/>
      <c r="M1945" s="26"/>
      <c r="N1945" s="26"/>
      <c r="O1945" s="26"/>
      <c r="P1945" s="27"/>
      <c r="Q1945" s="27"/>
      <c r="R1945" s="27"/>
      <c r="S1945" s="22"/>
      <c r="T1945" s="22"/>
      <c r="U1945" s="28"/>
    </row>
    <row r="1946" ht="15.75" customHeight="1">
      <c r="A1946" s="189"/>
      <c r="B1946" s="22"/>
      <c r="C1946" s="22"/>
      <c r="D1946" s="22"/>
      <c r="E1946" s="22"/>
      <c r="F1946" s="22"/>
      <c r="G1946" s="22"/>
      <c r="H1946" s="22"/>
      <c r="I1946" s="24"/>
      <c r="J1946" s="24"/>
      <c r="K1946" s="24"/>
      <c r="L1946" s="24"/>
      <c r="M1946" s="26"/>
      <c r="N1946" s="26"/>
      <c r="O1946" s="26"/>
      <c r="P1946" s="27"/>
      <c r="Q1946" s="27"/>
      <c r="R1946" s="27"/>
      <c r="S1946" s="22"/>
      <c r="T1946" s="22"/>
      <c r="U1946" s="28"/>
    </row>
    <row r="1947" ht="15.75" customHeight="1">
      <c r="A1947" s="189"/>
      <c r="B1947" s="22"/>
      <c r="C1947" s="22"/>
      <c r="D1947" s="22"/>
      <c r="E1947" s="22"/>
      <c r="F1947" s="22"/>
      <c r="G1947" s="22"/>
      <c r="H1947" s="22"/>
      <c r="I1947" s="24"/>
      <c r="J1947" s="24"/>
      <c r="K1947" s="24"/>
      <c r="L1947" s="24"/>
      <c r="M1947" s="26"/>
      <c r="N1947" s="26"/>
      <c r="O1947" s="26"/>
      <c r="P1947" s="27"/>
      <c r="Q1947" s="27"/>
      <c r="R1947" s="27"/>
      <c r="S1947" s="22"/>
      <c r="T1947" s="22"/>
      <c r="U1947" s="28"/>
    </row>
    <row r="1948" ht="15.75" customHeight="1">
      <c r="A1948" s="189"/>
      <c r="B1948" s="22"/>
      <c r="C1948" s="22"/>
      <c r="D1948" s="22"/>
      <c r="E1948" s="22"/>
      <c r="F1948" s="22"/>
      <c r="G1948" s="22"/>
      <c r="H1948" s="22"/>
      <c r="I1948" s="24"/>
      <c r="J1948" s="24"/>
      <c r="K1948" s="24"/>
      <c r="L1948" s="24"/>
      <c r="M1948" s="26"/>
      <c r="N1948" s="26"/>
      <c r="O1948" s="26"/>
      <c r="P1948" s="27"/>
      <c r="Q1948" s="27"/>
      <c r="R1948" s="27"/>
      <c r="S1948" s="22"/>
      <c r="T1948" s="22"/>
      <c r="U1948" s="28"/>
    </row>
    <row r="1949" ht="15.75" customHeight="1">
      <c r="A1949" s="189"/>
      <c r="B1949" s="22"/>
      <c r="C1949" s="22"/>
      <c r="D1949" s="22"/>
      <c r="E1949" s="22"/>
      <c r="F1949" s="22"/>
      <c r="G1949" s="22"/>
      <c r="H1949" s="22"/>
      <c r="I1949" s="24"/>
      <c r="J1949" s="24"/>
      <c r="K1949" s="24"/>
      <c r="L1949" s="24"/>
      <c r="M1949" s="26"/>
      <c r="N1949" s="26"/>
      <c r="O1949" s="26"/>
      <c r="P1949" s="27"/>
      <c r="Q1949" s="27"/>
      <c r="R1949" s="27"/>
      <c r="S1949" s="22"/>
      <c r="T1949" s="22"/>
      <c r="U1949" s="28"/>
    </row>
    <row r="1950" ht="15.75" customHeight="1">
      <c r="A1950" s="189"/>
      <c r="B1950" s="22"/>
      <c r="C1950" s="22"/>
      <c r="D1950" s="22"/>
      <c r="E1950" s="22"/>
      <c r="F1950" s="22"/>
      <c r="G1950" s="22"/>
      <c r="H1950" s="22"/>
      <c r="I1950" s="24"/>
      <c r="J1950" s="24"/>
      <c r="K1950" s="24"/>
      <c r="L1950" s="24"/>
      <c r="M1950" s="26"/>
      <c r="N1950" s="26"/>
      <c r="O1950" s="26"/>
      <c r="P1950" s="27"/>
      <c r="Q1950" s="27"/>
      <c r="R1950" s="27"/>
      <c r="S1950" s="22"/>
      <c r="T1950" s="22"/>
      <c r="U1950" s="28"/>
    </row>
    <row r="1951" ht="15.75" customHeight="1">
      <c r="A1951" s="189"/>
      <c r="B1951" s="22"/>
      <c r="C1951" s="22"/>
      <c r="D1951" s="22"/>
      <c r="E1951" s="22"/>
      <c r="F1951" s="22"/>
      <c r="G1951" s="22"/>
      <c r="H1951" s="22"/>
      <c r="I1951" s="24"/>
      <c r="J1951" s="24"/>
      <c r="K1951" s="24"/>
      <c r="L1951" s="24"/>
      <c r="M1951" s="26"/>
      <c r="N1951" s="26"/>
      <c r="O1951" s="26"/>
      <c r="P1951" s="27"/>
      <c r="Q1951" s="27"/>
      <c r="R1951" s="27"/>
      <c r="S1951" s="22"/>
      <c r="T1951" s="22"/>
      <c r="U1951" s="28"/>
    </row>
    <row r="1952" ht="15.75" customHeight="1">
      <c r="A1952" s="189"/>
      <c r="B1952" s="22"/>
      <c r="C1952" s="22"/>
      <c r="D1952" s="22"/>
      <c r="E1952" s="22"/>
      <c r="F1952" s="22"/>
      <c r="G1952" s="22"/>
      <c r="H1952" s="22"/>
      <c r="I1952" s="24"/>
      <c r="J1952" s="24"/>
      <c r="K1952" s="24"/>
      <c r="L1952" s="24"/>
      <c r="M1952" s="26"/>
      <c r="N1952" s="26"/>
      <c r="O1952" s="26"/>
      <c r="P1952" s="27"/>
      <c r="Q1952" s="27"/>
      <c r="R1952" s="27"/>
      <c r="S1952" s="22"/>
      <c r="T1952" s="22"/>
      <c r="U1952" s="28"/>
    </row>
    <row r="1953" ht="15.75" customHeight="1">
      <c r="A1953" s="189"/>
      <c r="B1953" s="22"/>
      <c r="C1953" s="22"/>
      <c r="D1953" s="22"/>
      <c r="E1953" s="22"/>
      <c r="F1953" s="22"/>
      <c r="G1953" s="22"/>
      <c r="H1953" s="22"/>
      <c r="I1953" s="24"/>
      <c r="J1953" s="24"/>
      <c r="K1953" s="24"/>
      <c r="L1953" s="24"/>
      <c r="M1953" s="26"/>
      <c r="N1953" s="26"/>
      <c r="O1953" s="26"/>
      <c r="P1953" s="27"/>
      <c r="Q1953" s="27"/>
      <c r="R1953" s="27"/>
      <c r="S1953" s="22"/>
      <c r="T1953" s="22"/>
      <c r="U1953" s="28"/>
    </row>
    <row r="1954" ht="15.75" customHeight="1">
      <c r="A1954" s="189"/>
      <c r="B1954" s="22"/>
      <c r="C1954" s="22"/>
      <c r="D1954" s="22"/>
      <c r="E1954" s="22"/>
      <c r="F1954" s="22"/>
      <c r="G1954" s="22"/>
      <c r="H1954" s="22"/>
      <c r="I1954" s="24"/>
      <c r="J1954" s="24"/>
      <c r="K1954" s="24"/>
      <c r="L1954" s="24"/>
      <c r="M1954" s="26"/>
      <c r="N1954" s="26"/>
      <c r="O1954" s="26"/>
      <c r="P1954" s="27"/>
      <c r="Q1954" s="27"/>
      <c r="R1954" s="27"/>
      <c r="S1954" s="22"/>
      <c r="T1954" s="22"/>
      <c r="U1954" s="28"/>
    </row>
    <row r="1955" ht="15.75" customHeight="1">
      <c r="A1955" s="189"/>
      <c r="B1955" s="22"/>
      <c r="C1955" s="22"/>
      <c r="D1955" s="22"/>
      <c r="E1955" s="22"/>
      <c r="F1955" s="22"/>
      <c r="G1955" s="22"/>
      <c r="H1955" s="22"/>
      <c r="I1955" s="24"/>
      <c r="J1955" s="24"/>
      <c r="K1955" s="24"/>
      <c r="L1955" s="24"/>
      <c r="M1955" s="26"/>
      <c r="N1955" s="26"/>
      <c r="O1955" s="26"/>
      <c r="P1955" s="27"/>
      <c r="Q1955" s="27"/>
      <c r="R1955" s="27"/>
      <c r="S1955" s="22"/>
      <c r="T1955" s="22"/>
      <c r="U1955" s="28"/>
    </row>
    <row r="1956" ht="15.75" customHeight="1">
      <c r="A1956" s="189"/>
      <c r="B1956" s="22"/>
      <c r="C1956" s="22"/>
      <c r="D1956" s="22"/>
      <c r="E1956" s="22"/>
      <c r="F1956" s="22"/>
      <c r="G1956" s="22"/>
      <c r="H1956" s="22"/>
      <c r="I1956" s="24"/>
      <c r="J1956" s="24"/>
      <c r="K1956" s="24"/>
      <c r="L1956" s="24"/>
      <c r="M1956" s="26"/>
      <c r="N1956" s="26"/>
      <c r="O1956" s="26"/>
      <c r="P1956" s="27"/>
      <c r="Q1956" s="27"/>
      <c r="R1956" s="27"/>
      <c r="S1956" s="22"/>
      <c r="T1956" s="22"/>
      <c r="U1956" s="28"/>
    </row>
    <row r="1957" ht="15.75" customHeight="1">
      <c r="A1957" s="189"/>
      <c r="B1957" s="22"/>
      <c r="C1957" s="22"/>
      <c r="D1957" s="22"/>
      <c r="E1957" s="22"/>
      <c r="F1957" s="22"/>
      <c r="G1957" s="22"/>
      <c r="H1957" s="22"/>
      <c r="I1957" s="24"/>
      <c r="J1957" s="24"/>
      <c r="K1957" s="24"/>
      <c r="L1957" s="24"/>
      <c r="M1957" s="26"/>
      <c r="N1957" s="26"/>
      <c r="O1957" s="26"/>
      <c r="P1957" s="27"/>
      <c r="Q1957" s="27"/>
      <c r="R1957" s="27"/>
      <c r="S1957" s="22"/>
      <c r="T1957" s="22"/>
      <c r="U1957" s="28"/>
    </row>
    <row r="1958" ht="15.75" customHeight="1">
      <c r="A1958" s="189"/>
      <c r="B1958" s="22"/>
      <c r="C1958" s="22"/>
      <c r="D1958" s="22"/>
      <c r="E1958" s="22"/>
      <c r="F1958" s="22"/>
      <c r="G1958" s="22"/>
      <c r="H1958" s="22"/>
      <c r="I1958" s="24"/>
      <c r="J1958" s="24"/>
      <c r="K1958" s="24"/>
      <c r="L1958" s="24"/>
      <c r="M1958" s="26"/>
      <c r="N1958" s="26"/>
      <c r="O1958" s="26"/>
      <c r="P1958" s="27"/>
      <c r="Q1958" s="27"/>
      <c r="R1958" s="27"/>
      <c r="S1958" s="22"/>
      <c r="T1958" s="22"/>
      <c r="U1958" s="28"/>
    </row>
    <row r="1959" ht="15.75" customHeight="1">
      <c r="A1959" s="189"/>
      <c r="B1959" s="22"/>
      <c r="C1959" s="22"/>
      <c r="D1959" s="22"/>
      <c r="E1959" s="22"/>
      <c r="F1959" s="22"/>
      <c r="G1959" s="22"/>
      <c r="H1959" s="22"/>
      <c r="I1959" s="24"/>
      <c r="J1959" s="24"/>
      <c r="K1959" s="24"/>
      <c r="L1959" s="24"/>
      <c r="M1959" s="26"/>
      <c r="N1959" s="26"/>
      <c r="O1959" s="26"/>
      <c r="P1959" s="27"/>
      <c r="Q1959" s="27"/>
      <c r="R1959" s="27"/>
      <c r="S1959" s="22"/>
      <c r="T1959" s="22"/>
      <c r="U1959" s="28"/>
    </row>
    <row r="1960" ht="15.75" customHeight="1">
      <c r="A1960" s="189"/>
      <c r="B1960" s="22"/>
      <c r="C1960" s="22"/>
      <c r="D1960" s="22"/>
      <c r="E1960" s="22"/>
      <c r="F1960" s="22"/>
      <c r="G1960" s="22"/>
      <c r="H1960" s="22"/>
      <c r="I1960" s="24"/>
      <c r="J1960" s="24"/>
      <c r="K1960" s="24"/>
      <c r="L1960" s="24"/>
      <c r="M1960" s="26"/>
      <c r="N1960" s="26"/>
      <c r="O1960" s="26"/>
      <c r="P1960" s="27"/>
      <c r="Q1960" s="27"/>
      <c r="R1960" s="27"/>
      <c r="S1960" s="22"/>
      <c r="T1960" s="22"/>
      <c r="U1960" s="28"/>
    </row>
    <row r="1961" ht="15.75" customHeight="1">
      <c r="A1961" s="189"/>
      <c r="B1961" s="22"/>
      <c r="C1961" s="22"/>
      <c r="D1961" s="22"/>
      <c r="E1961" s="22"/>
      <c r="F1961" s="22"/>
      <c r="G1961" s="22"/>
      <c r="H1961" s="22"/>
      <c r="I1961" s="24"/>
      <c r="J1961" s="24"/>
      <c r="K1961" s="24"/>
      <c r="L1961" s="24"/>
      <c r="M1961" s="26"/>
      <c r="N1961" s="26"/>
      <c r="O1961" s="26"/>
      <c r="P1961" s="27"/>
      <c r="Q1961" s="27"/>
      <c r="R1961" s="27"/>
      <c r="S1961" s="22"/>
      <c r="T1961" s="22"/>
      <c r="U1961" s="28"/>
    </row>
    <row r="1962" ht="15.75" customHeight="1">
      <c r="A1962" s="189"/>
      <c r="B1962" s="22"/>
      <c r="C1962" s="22"/>
      <c r="D1962" s="22"/>
      <c r="E1962" s="22"/>
      <c r="F1962" s="22"/>
      <c r="G1962" s="22"/>
      <c r="H1962" s="22"/>
      <c r="I1962" s="24"/>
      <c r="J1962" s="24"/>
      <c r="K1962" s="24"/>
      <c r="L1962" s="24"/>
      <c r="M1962" s="26"/>
      <c r="N1962" s="26"/>
      <c r="O1962" s="26"/>
      <c r="P1962" s="27"/>
      <c r="Q1962" s="27"/>
      <c r="R1962" s="27"/>
      <c r="S1962" s="22"/>
      <c r="T1962" s="22"/>
      <c r="U1962" s="28"/>
    </row>
    <row r="1963" ht="15.75" customHeight="1">
      <c r="A1963" s="189"/>
      <c r="B1963" s="22"/>
      <c r="C1963" s="22"/>
      <c r="D1963" s="22"/>
      <c r="E1963" s="22"/>
      <c r="F1963" s="22"/>
      <c r="G1963" s="22"/>
      <c r="H1963" s="22"/>
      <c r="I1963" s="24"/>
      <c r="J1963" s="24"/>
      <c r="K1963" s="24"/>
      <c r="L1963" s="24"/>
      <c r="M1963" s="26"/>
      <c r="N1963" s="26"/>
      <c r="O1963" s="26"/>
      <c r="P1963" s="27"/>
      <c r="Q1963" s="27"/>
      <c r="R1963" s="27"/>
      <c r="S1963" s="22"/>
      <c r="T1963" s="22"/>
      <c r="U1963" s="28"/>
    </row>
    <row r="1964" ht="15.75" customHeight="1">
      <c r="A1964" s="189"/>
      <c r="B1964" s="22"/>
      <c r="C1964" s="22"/>
      <c r="D1964" s="22"/>
      <c r="E1964" s="22"/>
      <c r="F1964" s="22"/>
      <c r="G1964" s="22"/>
      <c r="H1964" s="22"/>
      <c r="I1964" s="24"/>
      <c r="J1964" s="24"/>
      <c r="K1964" s="24"/>
      <c r="L1964" s="24"/>
      <c r="M1964" s="26"/>
      <c r="N1964" s="26"/>
      <c r="O1964" s="26"/>
      <c r="P1964" s="27"/>
      <c r="Q1964" s="27"/>
      <c r="R1964" s="27"/>
      <c r="S1964" s="22"/>
      <c r="T1964" s="22"/>
      <c r="U1964" s="28"/>
    </row>
    <row r="1965" ht="15.75" customHeight="1">
      <c r="A1965" s="189"/>
      <c r="B1965" s="22"/>
      <c r="C1965" s="22"/>
      <c r="D1965" s="22"/>
      <c r="E1965" s="22"/>
      <c r="F1965" s="22"/>
      <c r="G1965" s="22"/>
      <c r="H1965" s="22"/>
      <c r="I1965" s="24"/>
      <c r="J1965" s="24"/>
      <c r="K1965" s="24"/>
      <c r="L1965" s="24"/>
      <c r="M1965" s="26"/>
      <c r="N1965" s="26"/>
      <c r="O1965" s="26"/>
      <c r="P1965" s="27"/>
      <c r="Q1965" s="27"/>
      <c r="R1965" s="27"/>
      <c r="S1965" s="22"/>
      <c r="T1965" s="22"/>
      <c r="U1965" s="28"/>
    </row>
    <row r="1966" ht="15.75" customHeight="1">
      <c r="A1966" s="189"/>
      <c r="B1966" s="22"/>
      <c r="C1966" s="22"/>
      <c r="D1966" s="22"/>
      <c r="E1966" s="22"/>
      <c r="F1966" s="22"/>
      <c r="G1966" s="22"/>
      <c r="H1966" s="22"/>
      <c r="I1966" s="24"/>
      <c r="J1966" s="24"/>
      <c r="K1966" s="24"/>
      <c r="L1966" s="24"/>
      <c r="M1966" s="26"/>
      <c r="N1966" s="26"/>
      <c r="O1966" s="26"/>
      <c r="P1966" s="27"/>
      <c r="Q1966" s="27"/>
      <c r="R1966" s="27"/>
      <c r="S1966" s="22"/>
      <c r="T1966" s="22"/>
      <c r="U1966" s="28"/>
    </row>
    <row r="1967" ht="15.75" customHeight="1">
      <c r="A1967" s="189"/>
      <c r="B1967" s="22"/>
      <c r="C1967" s="22"/>
      <c r="D1967" s="22"/>
      <c r="E1967" s="22"/>
      <c r="F1967" s="22"/>
      <c r="G1967" s="22"/>
      <c r="H1967" s="22"/>
      <c r="I1967" s="24"/>
      <c r="J1967" s="24"/>
      <c r="K1967" s="24"/>
      <c r="L1967" s="24"/>
      <c r="M1967" s="26"/>
      <c r="N1967" s="26"/>
      <c r="O1967" s="26"/>
      <c r="P1967" s="27"/>
      <c r="Q1967" s="27"/>
      <c r="R1967" s="27"/>
      <c r="S1967" s="22"/>
      <c r="T1967" s="22"/>
      <c r="U1967" s="28"/>
    </row>
    <row r="1968" ht="15.75" customHeight="1">
      <c r="A1968" s="189"/>
      <c r="B1968" s="22"/>
      <c r="C1968" s="22"/>
      <c r="D1968" s="22"/>
      <c r="E1968" s="22"/>
      <c r="F1968" s="22"/>
      <c r="G1968" s="22"/>
      <c r="H1968" s="22"/>
      <c r="I1968" s="24"/>
      <c r="J1968" s="24"/>
      <c r="K1968" s="24"/>
      <c r="L1968" s="24"/>
      <c r="M1968" s="26"/>
      <c r="N1968" s="26"/>
      <c r="O1968" s="26"/>
      <c r="P1968" s="27"/>
      <c r="Q1968" s="27"/>
      <c r="R1968" s="27"/>
      <c r="S1968" s="22"/>
      <c r="T1968" s="22"/>
      <c r="U1968" s="28"/>
    </row>
    <row r="1969" ht="15.75" customHeight="1">
      <c r="A1969" s="189"/>
      <c r="B1969" s="22"/>
      <c r="C1969" s="22"/>
      <c r="D1969" s="22"/>
      <c r="E1969" s="22"/>
      <c r="F1969" s="22"/>
      <c r="G1969" s="22"/>
      <c r="H1969" s="22"/>
      <c r="I1969" s="24"/>
      <c r="J1969" s="24"/>
      <c r="K1969" s="24"/>
      <c r="L1969" s="24"/>
      <c r="M1969" s="26"/>
      <c r="N1969" s="26"/>
      <c r="O1969" s="26"/>
      <c r="P1969" s="27"/>
      <c r="Q1969" s="27"/>
      <c r="R1969" s="27"/>
      <c r="S1969" s="22"/>
      <c r="T1969" s="22"/>
      <c r="U1969" s="28"/>
    </row>
    <row r="1970" ht="15.75" customHeight="1">
      <c r="A1970" s="189"/>
      <c r="B1970" s="22"/>
      <c r="C1970" s="22"/>
      <c r="D1970" s="22"/>
      <c r="E1970" s="22"/>
      <c r="F1970" s="22"/>
      <c r="G1970" s="22"/>
      <c r="H1970" s="22"/>
      <c r="I1970" s="24"/>
      <c r="J1970" s="24"/>
      <c r="K1970" s="24"/>
      <c r="L1970" s="24"/>
      <c r="M1970" s="26"/>
      <c r="N1970" s="26"/>
      <c r="O1970" s="26"/>
      <c r="P1970" s="27"/>
      <c r="Q1970" s="27"/>
      <c r="R1970" s="27"/>
      <c r="S1970" s="22"/>
      <c r="T1970" s="22"/>
      <c r="U1970" s="28"/>
    </row>
    <row r="1971" ht="15.75" customHeight="1">
      <c r="A1971" s="189"/>
      <c r="B1971" s="22"/>
      <c r="C1971" s="22"/>
      <c r="D1971" s="22"/>
      <c r="E1971" s="22"/>
      <c r="F1971" s="22"/>
      <c r="G1971" s="22"/>
      <c r="H1971" s="22"/>
      <c r="I1971" s="24"/>
      <c r="J1971" s="24"/>
      <c r="K1971" s="24"/>
      <c r="L1971" s="24"/>
      <c r="M1971" s="26"/>
      <c r="N1971" s="26"/>
      <c r="O1971" s="26"/>
      <c r="P1971" s="27"/>
      <c r="Q1971" s="27"/>
      <c r="R1971" s="27"/>
      <c r="S1971" s="22"/>
      <c r="T1971" s="22"/>
      <c r="U1971" s="28"/>
    </row>
    <row r="1972" ht="15.75" customHeight="1">
      <c r="A1972" s="189"/>
      <c r="B1972" s="22"/>
      <c r="C1972" s="22"/>
      <c r="D1972" s="22"/>
      <c r="E1972" s="22"/>
      <c r="F1972" s="22"/>
      <c r="G1972" s="22"/>
      <c r="H1972" s="22"/>
      <c r="I1972" s="24"/>
      <c r="J1972" s="24"/>
      <c r="K1972" s="24"/>
      <c r="L1972" s="24"/>
      <c r="M1972" s="26"/>
      <c r="N1972" s="26"/>
      <c r="O1972" s="26"/>
      <c r="P1972" s="27"/>
      <c r="Q1972" s="27"/>
      <c r="R1972" s="27"/>
      <c r="S1972" s="22"/>
      <c r="T1972" s="22"/>
      <c r="U1972" s="28"/>
    </row>
    <row r="1973" ht="15.75" customHeight="1">
      <c r="A1973" s="189"/>
      <c r="B1973" s="22"/>
      <c r="C1973" s="22"/>
      <c r="D1973" s="22"/>
      <c r="E1973" s="22"/>
      <c r="F1973" s="22"/>
      <c r="G1973" s="22"/>
      <c r="H1973" s="22"/>
      <c r="I1973" s="24"/>
      <c r="J1973" s="24"/>
      <c r="K1973" s="24"/>
      <c r="L1973" s="24"/>
      <c r="M1973" s="26"/>
      <c r="N1973" s="26"/>
      <c r="O1973" s="26"/>
      <c r="P1973" s="27"/>
      <c r="Q1973" s="27"/>
      <c r="R1973" s="27"/>
      <c r="S1973" s="22"/>
      <c r="T1973" s="22"/>
      <c r="U1973" s="28"/>
    </row>
    <row r="1974" ht="15.75" customHeight="1">
      <c r="A1974" s="189"/>
      <c r="B1974" s="22"/>
      <c r="C1974" s="22"/>
      <c r="D1974" s="22"/>
      <c r="E1974" s="22"/>
      <c r="F1974" s="22"/>
      <c r="G1974" s="22"/>
      <c r="H1974" s="22"/>
      <c r="I1974" s="24"/>
      <c r="J1974" s="24"/>
      <c r="K1974" s="24"/>
      <c r="L1974" s="24"/>
      <c r="M1974" s="26"/>
      <c r="N1974" s="26"/>
      <c r="O1974" s="26"/>
      <c r="P1974" s="27"/>
      <c r="Q1974" s="27"/>
      <c r="R1974" s="27"/>
      <c r="S1974" s="22"/>
      <c r="T1974" s="22"/>
      <c r="U1974" s="28"/>
    </row>
    <row r="1975" ht="15.75" customHeight="1">
      <c r="A1975" s="189"/>
      <c r="B1975" s="22"/>
      <c r="C1975" s="22"/>
      <c r="D1975" s="22"/>
      <c r="E1975" s="22"/>
      <c r="F1975" s="22"/>
      <c r="G1975" s="22"/>
      <c r="H1975" s="22"/>
      <c r="I1975" s="24"/>
      <c r="J1975" s="24"/>
      <c r="K1975" s="24"/>
      <c r="L1975" s="24"/>
      <c r="M1975" s="26"/>
      <c r="N1975" s="26"/>
      <c r="O1975" s="26"/>
      <c r="P1975" s="27"/>
      <c r="Q1975" s="27"/>
      <c r="R1975" s="27"/>
      <c r="S1975" s="22"/>
      <c r="T1975" s="22"/>
      <c r="U1975" s="28"/>
    </row>
    <row r="1976" ht="15.75" customHeight="1">
      <c r="A1976" s="189"/>
      <c r="B1976" s="22"/>
      <c r="C1976" s="22"/>
      <c r="D1976" s="22"/>
      <c r="E1976" s="22"/>
      <c r="F1976" s="22"/>
      <c r="G1976" s="22"/>
      <c r="H1976" s="22"/>
      <c r="I1976" s="24"/>
      <c r="J1976" s="24"/>
      <c r="K1976" s="24"/>
      <c r="L1976" s="24"/>
      <c r="M1976" s="26"/>
      <c r="N1976" s="26"/>
      <c r="O1976" s="26"/>
      <c r="P1976" s="27"/>
      <c r="Q1976" s="27"/>
      <c r="R1976" s="27"/>
      <c r="S1976" s="22"/>
      <c r="T1976" s="22"/>
      <c r="U1976" s="28"/>
    </row>
    <row r="1977" ht="15.75" customHeight="1">
      <c r="A1977" s="189"/>
      <c r="B1977" s="22"/>
      <c r="C1977" s="22"/>
      <c r="D1977" s="22"/>
      <c r="E1977" s="22"/>
      <c r="F1977" s="22"/>
      <c r="G1977" s="22"/>
      <c r="H1977" s="22"/>
      <c r="I1977" s="24"/>
      <c r="J1977" s="24"/>
      <c r="K1977" s="24"/>
      <c r="L1977" s="24"/>
      <c r="M1977" s="26"/>
      <c r="N1977" s="26"/>
      <c r="O1977" s="26"/>
      <c r="P1977" s="27"/>
      <c r="Q1977" s="27"/>
      <c r="R1977" s="27"/>
      <c r="S1977" s="22"/>
      <c r="T1977" s="22"/>
      <c r="U1977" s="28"/>
    </row>
    <row r="1978" ht="15.75" customHeight="1">
      <c r="A1978" s="189"/>
      <c r="B1978" s="22"/>
      <c r="C1978" s="22"/>
      <c r="D1978" s="22"/>
      <c r="E1978" s="22"/>
      <c r="F1978" s="22"/>
      <c r="G1978" s="22"/>
      <c r="H1978" s="22"/>
      <c r="I1978" s="24"/>
      <c r="J1978" s="24"/>
      <c r="K1978" s="24"/>
      <c r="L1978" s="24"/>
      <c r="M1978" s="26"/>
      <c r="N1978" s="26"/>
      <c r="O1978" s="26"/>
      <c r="P1978" s="27"/>
      <c r="Q1978" s="27"/>
      <c r="R1978" s="27"/>
      <c r="S1978" s="22"/>
      <c r="T1978" s="22"/>
      <c r="U1978" s="28"/>
    </row>
    <row r="1979" ht="15.75" customHeight="1">
      <c r="A1979" s="189"/>
      <c r="B1979" s="22"/>
      <c r="C1979" s="22"/>
      <c r="D1979" s="22"/>
      <c r="E1979" s="22"/>
      <c r="F1979" s="22"/>
      <c r="G1979" s="22"/>
      <c r="H1979" s="22"/>
      <c r="I1979" s="24"/>
      <c r="J1979" s="24"/>
      <c r="K1979" s="24"/>
      <c r="L1979" s="24"/>
      <c r="M1979" s="26"/>
      <c r="N1979" s="26"/>
      <c r="O1979" s="26"/>
      <c r="P1979" s="27"/>
      <c r="Q1979" s="27"/>
      <c r="R1979" s="27"/>
      <c r="S1979" s="22"/>
      <c r="T1979" s="22"/>
      <c r="U1979" s="28"/>
    </row>
    <row r="1980" ht="15.75" customHeight="1">
      <c r="A1980" s="189"/>
      <c r="B1980" s="22"/>
      <c r="C1980" s="22"/>
      <c r="D1980" s="22"/>
      <c r="E1980" s="22"/>
      <c r="F1980" s="22"/>
      <c r="G1980" s="22"/>
      <c r="H1980" s="22"/>
      <c r="I1980" s="24"/>
      <c r="J1980" s="24"/>
      <c r="K1980" s="24"/>
      <c r="L1980" s="24"/>
      <c r="M1980" s="26"/>
      <c r="N1980" s="26"/>
      <c r="O1980" s="26"/>
      <c r="P1980" s="27"/>
      <c r="Q1980" s="27"/>
      <c r="R1980" s="27"/>
      <c r="S1980" s="22"/>
      <c r="T1980" s="22"/>
      <c r="U1980" s="28"/>
    </row>
    <row r="1981" ht="15.75" customHeight="1">
      <c r="A1981" s="189"/>
      <c r="B1981" s="22"/>
      <c r="C1981" s="22"/>
      <c r="D1981" s="22"/>
      <c r="E1981" s="22"/>
      <c r="F1981" s="22"/>
      <c r="G1981" s="22"/>
      <c r="H1981" s="22"/>
      <c r="I1981" s="24"/>
      <c r="J1981" s="24"/>
      <c r="K1981" s="24"/>
      <c r="L1981" s="24"/>
      <c r="M1981" s="26"/>
      <c r="N1981" s="26"/>
      <c r="O1981" s="26"/>
      <c r="P1981" s="27"/>
      <c r="Q1981" s="27"/>
      <c r="R1981" s="27"/>
      <c r="S1981" s="22"/>
      <c r="T1981" s="22"/>
      <c r="U1981" s="28"/>
    </row>
    <row r="1982" ht="15.75" customHeight="1">
      <c r="A1982" s="189"/>
      <c r="B1982" s="22"/>
      <c r="C1982" s="22"/>
      <c r="D1982" s="22"/>
      <c r="E1982" s="22"/>
      <c r="F1982" s="22"/>
      <c r="G1982" s="22"/>
      <c r="H1982" s="22"/>
      <c r="I1982" s="24"/>
      <c r="J1982" s="24"/>
      <c r="K1982" s="24"/>
      <c r="L1982" s="24"/>
      <c r="M1982" s="26"/>
      <c r="N1982" s="26"/>
      <c r="O1982" s="26"/>
      <c r="P1982" s="27"/>
      <c r="Q1982" s="27"/>
      <c r="R1982" s="27"/>
      <c r="S1982" s="22"/>
      <c r="T1982" s="22"/>
      <c r="U1982" s="28"/>
    </row>
    <row r="1983" ht="15.75" customHeight="1">
      <c r="A1983" s="189"/>
      <c r="B1983" s="22"/>
      <c r="C1983" s="22"/>
      <c r="D1983" s="22"/>
      <c r="E1983" s="22"/>
      <c r="F1983" s="22"/>
      <c r="G1983" s="22"/>
      <c r="H1983" s="22"/>
      <c r="I1983" s="24"/>
      <c r="J1983" s="24"/>
      <c r="K1983" s="24"/>
      <c r="L1983" s="24"/>
      <c r="M1983" s="26"/>
      <c r="N1983" s="26"/>
      <c r="O1983" s="26"/>
      <c r="P1983" s="27"/>
      <c r="Q1983" s="27"/>
      <c r="R1983" s="27"/>
      <c r="S1983" s="22"/>
      <c r="T1983" s="22"/>
      <c r="U1983" s="28"/>
    </row>
    <row r="1984" ht="15.75" customHeight="1">
      <c r="A1984" s="189"/>
      <c r="B1984" s="22"/>
      <c r="C1984" s="22"/>
      <c r="D1984" s="22"/>
      <c r="E1984" s="22"/>
      <c r="F1984" s="22"/>
      <c r="G1984" s="22"/>
      <c r="H1984" s="22"/>
      <c r="I1984" s="24"/>
      <c r="J1984" s="24"/>
      <c r="K1984" s="24"/>
      <c r="L1984" s="24"/>
      <c r="M1984" s="26"/>
      <c r="N1984" s="26"/>
      <c r="O1984" s="26"/>
      <c r="P1984" s="27"/>
      <c r="Q1984" s="27"/>
      <c r="R1984" s="27"/>
      <c r="S1984" s="22"/>
      <c r="T1984" s="22"/>
      <c r="U1984" s="28"/>
    </row>
    <row r="1985" ht="15.75" customHeight="1">
      <c r="A1985" s="189"/>
      <c r="B1985" s="22"/>
      <c r="C1985" s="22"/>
      <c r="D1985" s="22"/>
      <c r="E1985" s="22"/>
      <c r="F1985" s="22"/>
      <c r="G1985" s="22"/>
      <c r="H1985" s="22"/>
      <c r="I1985" s="24"/>
      <c r="J1985" s="24"/>
      <c r="K1985" s="24"/>
      <c r="L1985" s="24"/>
      <c r="M1985" s="26"/>
      <c r="N1985" s="26"/>
      <c r="O1985" s="26"/>
      <c r="P1985" s="27"/>
      <c r="Q1985" s="27"/>
      <c r="R1985" s="27"/>
      <c r="S1985" s="22"/>
      <c r="T1985" s="22"/>
      <c r="U1985" s="28"/>
    </row>
    <row r="1986" ht="15.75" customHeight="1">
      <c r="A1986" s="189"/>
      <c r="B1986" s="22"/>
      <c r="C1986" s="22"/>
      <c r="D1986" s="22"/>
      <c r="E1986" s="22"/>
      <c r="F1986" s="22"/>
      <c r="G1986" s="22"/>
      <c r="H1986" s="22"/>
      <c r="I1986" s="24"/>
      <c r="J1986" s="24"/>
      <c r="K1986" s="24"/>
      <c r="L1986" s="24"/>
      <c r="M1986" s="26"/>
      <c r="N1986" s="26"/>
      <c r="O1986" s="26"/>
      <c r="P1986" s="27"/>
      <c r="Q1986" s="27"/>
      <c r="R1986" s="27"/>
      <c r="S1986" s="22"/>
      <c r="T1986" s="22"/>
      <c r="U1986" s="28"/>
    </row>
    <row r="1987" ht="15.75" customHeight="1">
      <c r="A1987" s="189"/>
      <c r="B1987" s="22"/>
      <c r="C1987" s="22"/>
      <c r="D1987" s="22"/>
      <c r="E1987" s="22"/>
      <c r="F1987" s="22"/>
      <c r="G1987" s="22"/>
      <c r="H1987" s="22"/>
      <c r="I1987" s="24"/>
      <c r="J1987" s="24"/>
      <c r="K1987" s="24"/>
      <c r="L1987" s="24"/>
      <c r="M1987" s="26"/>
      <c r="N1987" s="26"/>
      <c r="O1987" s="26"/>
      <c r="P1987" s="27"/>
      <c r="Q1987" s="27"/>
      <c r="R1987" s="27"/>
      <c r="S1987" s="22"/>
      <c r="T1987" s="22"/>
      <c r="U1987" s="28"/>
    </row>
    <row r="1988" ht="15.75" customHeight="1">
      <c r="A1988" s="189"/>
      <c r="B1988" s="22"/>
      <c r="C1988" s="22"/>
      <c r="D1988" s="22"/>
      <c r="E1988" s="22"/>
      <c r="F1988" s="22"/>
      <c r="G1988" s="22"/>
      <c r="H1988" s="22"/>
      <c r="I1988" s="24"/>
      <c r="J1988" s="24"/>
      <c r="K1988" s="24"/>
      <c r="L1988" s="24"/>
      <c r="M1988" s="26"/>
      <c r="N1988" s="26"/>
      <c r="O1988" s="26"/>
      <c r="P1988" s="27"/>
      <c r="Q1988" s="27"/>
      <c r="R1988" s="27"/>
      <c r="S1988" s="22"/>
      <c r="T1988" s="22"/>
      <c r="U1988" s="28"/>
    </row>
    <row r="1989" ht="15.75" customHeight="1">
      <c r="A1989" s="189"/>
      <c r="B1989" s="22"/>
      <c r="C1989" s="22"/>
      <c r="D1989" s="22"/>
      <c r="E1989" s="22"/>
      <c r="F1989" s="22"/>
      <c r="G1989" s="22"/>
      <c r="H1989" s="22"/>
      <c r="I1989" s="24"/>
      <c r="J1989" s="24"/>
      <c r="K1989" s="24"/>
      <c r="L1989" s="24"/>
      <c r="M1989" s="26"/>
      <c r="N1989" s="26"/>
      <c r="O1989" s="26"/>
      <c r="P1989" s="27"/>
      <c r="Q1989" s="27"/>
      <c r="R1989" s="27"/>
      <c r="S1989" s="22"/>
      <c r="T1989" s="22"/>
      <c r="U1989" s="28"/>
    </row>
    <row r="1990" ht="15.75" customHeight="1">
      <c r="A1990" s="189"/>
      <c r="B1990" s="22"/>
      <c r="C1990" s="22"/>
      <c r="D1990" s="22"/>
      <c r="E1990" s="22"/>
      <c r="F1990" s="22"/>
      <c r="G1990" s="22"/>
      <c r="H1990" s="22"/>
      <c r="I1990" s="24"/>
      <c r="J1990" s="24"/>
      <c r="K1990" s="24"/>
      <c r="L1990" s="24"/>
      <c r="M1990" s="26"/>
      <c r="N1990" s="26"/>
      <c r="O1990" s="26"/>
      <c r="P1990" s="27"/>
      <c r="Q1990" s="27"/>
      <c r="R1990" s="27"/>
      <c r="S1990" s="22"/>
      <c r="T1990" s="22"/>
      <c r="U1990" s="28"/>
    </row>
    <row r="1991" ht="15.75" customHeight="1">
      <c r="A1991" s="189"/>
      <c r="B1991" s="22"/>
      <c r="C1991" s="22"/>
      <c r="D1991" s="22"/>
      <c r="E1991" s="22"/>
      <c r="F1991" s="22"/>
      <c r="G1991" s="22"/>
      <c r="H1991" s="22"/>
      <c r="I1991" s="24"/>
      <c r="J1991" s="24"/>
      <c r="K1991" s="24"/>
      <c r="L1991" s="24"/>
      <c r="M1991" s="26"/>
      <c r="N1991" s="26"/>
      <c r="O1991" s="26"/>
      <c r="P1991" s="27"/>
      <c r="Q1991" s="27"/>
      <c r="R1991" s="27"/>
      <c r="S1991" s="22"/>
      <c r="T1991" s="22"/>
      <c r="U1991" s="28"/>
    </row>
    <row r="1992" ht="15.75" customHeight="1">
      <c r="A1992" s="189"/>
      <c r="B1992" s="22"/>
      <c r="C1992" s="22"/>
      <c r="D1992" s="22"/>
      <c r="E1992" s="22"/>
      <c r="F1992" s="22"/>
      <c r="G1992" s="22"/>
      <c r="H1992" s="22"/>
      <c r="I1992" s="24"/>
      <c r="J1992" s="24"/>
      <c r="K1992" s="24"/>
      <c r="L1992" s="24"/>
      <c r="M1992" s="26"/>
      <c r="N1992" s="26"/>
      <c r="O1992" s="26"/>
      <c r="P1992" s="27"/>
      <c r="Q1992" s="27"/>
      <c r="R1992" s="27"/>
      <c r="S1992" s="22"/>
      <c r="T1992" s="22"/>
      <c r="U1992" s="28"/>
    </row>
    <row r="1993" ht="15.75" customHeight="1">
      <c r="A1993" s="189"/>
      <c r="B1993" s="22"/>
      <c r="C1993" s="22"/>
      <c r="D1993" s="22"/>
      <c r="E1993" s="22"/>
      <c r="F1993" s="22"/>
      <c r="G1993" s="22"/>
      <c r="H1993" s="22"/>
      <c r="I1993" s="24"/>
      <c r="J1993" s="24"/>
      <c r="K1993" s="24"/>
      <c r="L1993" s="24"/>
      <c r="M1993" s="26"/>
      <c r="N1993" s="26"/>
      <c r="O1993" s="26"/>
      <c r="P1993" s="27"/>
      <c r="Q1993" s="27"/>
      <c r="R1993" s="27"/>
      <c r="S1993" s="22"/>
      <c r="T1993" s="22"/>
      <c r="U1993" s="28"/>
    </row>
    <row r="1994" ht="15.75" customHeight="1">
      <c r="A1994" s="189"/>
      <c r="B1994" s="22"/>
      <c r="C1994" s="22"/>
      <c r="D1994" s="22"/>
      <c r="E1994" s="22"/>
      <c r="F1994" s="22"/>
      <c r="G1994" s="22"/>
      <c r="H1994" s="22"/>
      <c r="I1994" s="24"/>
      <c r="J1994" s="24"/>
      <c r="K1994" s="24"/>
      <c r="L1994" s="24"/>
      <c r="M1994" s="26"/>
      <c r="N1994" s="26"/>
      <c r="O1994" s="26"/>
      <c r="P1994" s="27"/>
      <c r="Q1994" s="27"/>
      <c r="R1994" s="27"/>
      <c r="S1994" s="22"/>
      <c r="T1994" s="22"/>
      <c r="U1994" s="28"/>
    </row>
    <row r="1995" ht="15.75" customHeight="1">
      <c r="A1995" s="189"/>
      <c r="B1995" s="22"/>
      <c r="C1995" s="22"/>
      <c r="D1995" s="22"/>
      <c r="E1995" s="22"/>
      <c r="F1995" s="22"/>
      <c r="G1995" s="22"/>
      <c r="H1995" s="22"/>
      <c r="I1995" s="24"/>
      <c r="J1995" s="24"/>
      <c r="K1995" s="24"/>
      <c r="L1995" s="24"/>
      <c r="M1995" s="26"/>
      <c r="N1995" s="26"/>
      <c r="O1995" s="26"/>
      <c r="P1995" s="27"/>
      <c r="Q1995" s="27"/>
      <c r="R1995" s="27"/>
      <c r="S1995" s="22"/>
      <c r="T1995" s="22"/>
      <c r="U1995" s="28"/>
    </row>
    <row r="1996" ht="15.75" customHeight="1">
      <c r="A1996" s="189"/>
      <c r="B1996" s="22"/>
      <c r="C1996" s="22"/>
      <c r="D1996" s="22"/>
      <c r="E1996" s="22"/>
      <c r="F1996" s="22"/>
      <c r="G1996" s="22"/>
      <c r="H1996" s="22"/>
      <c r="I1996" s="24"/>
      <c r="J1996" s="24"/>
      <c r="K1996" s="24"/>
      <c r="L1996" s="24"/>
      <c r="M1996" s="26"/>
      <c r="N1996" s="26"/>
      <c r="O1996" s="26"/>
      <c r="P1996" s="27"/>
      <c r="Q1996" s="27"/>
      <c r="R1996" s="27"/>
      <c r="S1996" s="22"/>
      <c r="T1996" s="22"/>
      <c r="U1996" s="28"/>
    </row>
    <row r="1997" ht="15.75" customHeight="1">
      <c r="A1997" s="189"/>
      <c r="B1997" s="22"/>
      <c r="C1997" s="22"/>
      <c r="D1997" s="22"/>
      <c r="E1997" s="22"/>
      <c r="F1997" s="22"/>
      <c r="G1997" s="22"/>
      <c r="H1997" s="22"/>
      <c r="I1997" s="24"/>
      <c r="J1997" s="24"/>
      <c r="K1997" s="24"/>
      <c r="L1997" s="24"/>
      <c r="M1997" s="26"/>
      <c r="N1997" s="26"/>
      <c r="O1997" s="26"/>
      <c r="P1997" s="27"/>
      <c r="Q1997" s="27"/>
      <c r="R1997" s="27"/>
      <c r="S1997" s="22"/>
      <c r="T1997" s="22"/>
      <c r="U1997" s="28"/>
    </row>
    <row r="1998" ht="15.75" customHeight="1">
      <c r="A1998" s="189"/>
      <c r="B1998" s="22"/>
      <c r="C1998" s="22"/>
      <c r="D1998" s="22"/>
      <c r="E1998" s="22"/>
      <c r="F1998" s="22"/>
      <c r="G1998" s="22"/>
      <c r="H1998" s="22"/>
      <c r="I1998" s="24"/>
      <c r="J1998" s="24"/>
      <c r="K1998" s="24"/>
      <c r="L1998" s="24"/>
      <c r="M1998" s="26"/>
      <c r="N1998" s="26"/>
      <c r="O1998" s="26"/>
      <c r="P1998" s="27"/>
      <c r="Q1998" s="27"/>
      <c r="R1998" s="27"/>
      <c r="S1998" s="22"/>
      <c r="T1998" s="22"/>
      <c r="U1998" s="28"/>
    </row>
    <row r="1999" ht="15.75" customHeight="1">
      <c r="A1999" s="189"/>
      <c r="B1999" s="22"/>
      <c r="C1999" s="22"/>
      <c r="D1999" s="22"/>
      <c r="E1999" s="22"/>
      <c r="F1999" s="22"/>
      <c r="G1999" s="22"/>
      <c r="H1999" s="22"/>
      <c r="I1999" s="24"/>
      <c r="J1999" s="24"/>
      <c r="K1999" s="24"/>
      <c r="L1999" s="24"/>
      <c r="M1999" s="26"/>
      <c r="N1999" s="26"/>
      <c r="O1999" s="26"/>
      <c r="P1999" s="27"/>
      <c r="Q1999" s="27"/>
      <c r="R1999" s="27"/>
      <c r="S1999" s="22"/>
      <c r="T1999" s="22"/>
      <c r="U1999" s="28"/>
    </row>
    <row r="2000" ht="15.75" customHeight="1">
      <c r="A2000" s="189"/>
      <c r="B2000" s="22"/>
      <c r="C2000" s="22"/>
      <c r="D2000" s="22"/>
      <c r="E2000" s="22"/>
      <c r="F2000" s="22"/>
      <c r="G2000" s="22"/>
      <c r="H2000" s="22"/>
      <c r="I2000" s="24"/>
      <c r="J2000" s="24"/>
      <c r="K2000" s="24"/>
      <c r="L2000" s="24"/>
      <c r="M2000" s="26"/>
      <c r="N2000" s="26"/>
      <c r="O2000" s="26"/>
      <c r="P2000" s="27"/>
      <c r="Q2000" s="27"/>
      <c r="R2000" s="27"/>
      <c r="S2000" s="22"/>
      <c r="T2000" s="22"/>
      <c r="U2000" s="28"/>
    </row>
    <row r="2001" ht="15.75" customHeight="1">
      <c r="A2001" s="189"/>
      <c r="B2001" s="22"/>
      <c r="C2001" s="22"/>
      <c r="D2001" s="22"/>
      <c r="E2001" s="22"/>
      <c r="F2001" s="22"/>
      <c r="G2001" s="22"/>
      <c r="H2001" s="22"/>
      <c r="I2001" s="24"/>
      <c r="J2001" s="24"/>
      <c r="K2001" s="24"/>
      <c r="L2001" s="24"/>
      <c r="M2001" s="26"/>
      <c r="N2001" s="26"/>
      <c r="O2001" s="26"/>
      <c r="P2001" s="27"/>
      <c r="Q2001" s="27"/>
      <c r="R2001" s="27"/>
      <c r="S2001" s="22"/>
      <c r="T2001" s="22"/>
      <c r="U2001" s="28"/>
    </row>
    <row r="2002" ht="15.75" customHeight="1">
      <c r="A2002" s="189"/>
      <c r="B2002" s="22"/>
      <c r="C2002" s="22"/>
      <c r="D2002" s="22"/>
      <c r="E2002" s="22"/>
      <c r="F2002" s="22"/>
      <c r="G2002" s="22"/>
      <c r="H2002" s="22"/>
      <c r="I2002" s="24"/>
      <c r="J2002" s="24"/>
      <c r="K2002" s="24"/>
      <c r="L2002" s="24"/>
      <c r="M2002" s="26"/>
      <c r="N2002" s="26"/>
      <c r="O2002" s="26"/>
      <c r="P2002" s="27"/>
      <c r="Q2002" s="27"/>
      <c r="R2002" s="27"/>
      <c r="S2002" s="22"/>
      <c r="T2002" s="22"/>
      <c r="U2002" s="28"/>
    </row>
    <row r="2003" ht="15.75" customHeight="1">
      <c r="A2003" s="189"/>
      <c r="B2003" s="22"/>
      <c r="C2003" s="22"/>
      <c r="D2003" s="22"/>
      <c r="E2003" s="22"/>
      <c r="F2003" s="22"/>
      <c r="G2003" s="22"/>
      <c r="H2003" s="22"/>
      <c r="I2003" s="24"/>
      <c r="J2003" s="24"/>
      <c r="K2003" s="24"/>
      <c r="L2003" s="24"/>
      <c r="M2003" s="26"/>
      <c r="N2003" s="26"/>
      <c r="O2003" s="26"/>
      <c r="P2003" s="27"/>
      <c r="Q2003" s="27"/>
      <c r="R2003" s="27"/>
      <c r="S2003" s="22"/>
      <c r="T2003" s="22"/>
      <c r="U2003" s="28"/>
    </row>
    <row r="2004" ht="15.75" customHeight="1">
      <c r="A2004" s="189"/>
      <c r="B2004" s="22"/>
      <c r="C2004" s="22"/>
      <c r="D2004" s="22"/>
      <c r="E2004" s="22"/>
      <c r="F2004" s="22"/>
      <c r="G2004" s="22"/>
      <c r="H2004" s="22"/>
      <c r="I2004" s="24"/>
      <c r="J2004" s="24"/>
      <c r="K2004" s="24"/>
      <c r="L2004" s="24"/>
      <c r="M2004" s="26"/>
      <c r="N2004" s="26"/>
      <c r="O2004" s="26"/>
      <c r="P2004" s="27"/>
      <c r="Q2004" s="27"/>
      <c r="R2004" s="27"/>
      <c r="S2004" s="22"/>
      <c r="T2004" s="22"/>
      <c r="U2004" s="28"/>
    </row>
    <row r="2005" ht="15.75" customHeight="1">
      <c r="A2005" s="189"/>
      <c r="B2005" s="22"/>
      <c r="C2005" s="22"/>
      <c r="D2005" s="22"/>
      <c r="E2005" s="22"/>
      <c r="F2005" s="22"/>
      <c r="G2005" s="22"/>
      <c r="H2005" s="22"/>
      <c r="I2005" s="24"/>
      <c r="J2005" s="24"/>
      <c r="K2005" s="24"/>
      <c r="L2005" s="24"/>
      <c r="M2005" s="26"/>
      <c r="N2005" s="26"/>
      <c r="O2005" s="26"/>
      <c r="P2005" s="27"/>
      <c r="Q2005" s="27"/>
      <c r="R2005" s="27"/>
      <c r="S2005" s="22"/>
      <c r="T2005" s="22"/>
      <c r="U2005" s="28"/>
    </row>
    <row r="2006" ht="15.75" customHeight="1">
      <c r="A2006" s="189"/>
      <c r="B2006" s="22"/>
      <c r="C2006" s="22"/>
      <c r="D2006" s="22"/>
      <c r="E2006" s="22"/>
      <c r="F2006" s="22"/>
      <c r="G2006" s="22"/>
      <c r="H2006" s="22"/>
      <c r="I2006" s="24"/>
      <c r="J2006" s="24"/>
      <c r="K2006" s="24"/>
      <c r="L2006" s="24"/>
      <c r="M2006" s="26"/>
      <c r="N2006" s="26"/>
      <c r="O2006" s="26"/>
      <c r="P2006" s="27"/>
      <c r="Q2006" s="27"/>
      <c r="R2006" s="27"/>
      <c r="S2006" s="22"/>
      <c r="T2006" s="22"/>
      <c r="U2006" s="28"/>
    </row>
    <row r="2007" ht="15.75" customHeight="1">
      <c r="A2007" s="189"/>
      <c r="B2007" s="22"/>
      <c r="C2007" s="22"/>
      <c r="D2007" s="22"/>
      <c r="E2007" s="22"/>
      <c r="F2007" s="22"/>
      <c r="G2007" s="22"/>
      <c r="H2007" s="22"/>
      <c r="I2007" s="24"/>
      <c r="J2007" s="24"/>
      <c r="K2007" s="24"/>
      <c r="L2007" s="24"/>
      <c r="M2007" s="26"/>
      <c r="N2007" s="26"/>
      <c r="O2007" s="26"/>
      <c r="P2007" s="27"/>
      <c r="Q2007" s="27"/>
      <c r="R2007" s="27"/>
      <c r="S2007" s="22"/>
      <c r="T2007" s="22"/>
      <c r="U2007" s="28"/>
    </row>
    <row r="2008" ht="15.75" customHeight="1">
      <c r="A2008" s="189"/>
      <c r="B2008" s="22"/>
      <c r="C2008" s="22"/>
      <c r="D2008" s="22"/>
      <c r="E2008" s="22"/>
      <c r="F2008" s="22"/>
      <c r="G2008" s="22"/>
      <c r="H2008" s="22"/>
      <c r="I2008" s="24"/>
      <c r="J2008" s="24"/>
      <c r="K2008" s="24"/>
      <c r="L2008" s="24"/>
      <c r="M2008" s="26"/>
      <c r="N2008" s="26"/>
      <c r="O2008" s="26"/>
      <c r="P2008" s="27"/>
      <c r="Q2008" s="27"/>
      <c r="R2008" s="27"/>
      <c r="S2008" s="22"/>
      <c r="T2008" s="22"/>
      <c r="U2008" s="28"/>
    </row>
    <row r="2009" ht="15.75" customHeight="1">
      <c r="A2009" s="189"/>
      <c r="B2009" s="22"/>
      <c r="C2009" s="22"/>
      <c r="D2009" s="22"/>
      <c r="E2009" s="22"/>
      <c r="F2009" s="22"/>
      <c r="G2009" s="22"/>
      <c r="H2009" s="22"/>
      <c r="I2009" s="24"/>
      <c r="J2009" s="24"/>
      <c r="K2009" s="24"/>
      <c r="L2009" s="24"/>
      <c r="M2009" s="26"/>
      <c r="N2009" s="26"/>
      <c r="O2009" s="26"/>
      <c r="P2009" s="27"/>
      <c r="Q2009" s="27"/>
      <c r="R2009" s="27"/>
      <c r="S2009" s="22"/>
      <c r="T2009" s="22"/>
      <c r="U2009" s="28"/>
    </row>
    <row r="2010" ht="15.75" customHeight="1">
      <c r="A2010" s="189"/>
      <c r="B2010" s="22"/>
      <c r="C2010" s="22"/>
      <c r="D2010" s="22"/>
      <c r="E2010" s="22"/>
      <c r="F2010" s="22"/>
      <c r="G2010" s="22"/>
      <c r="H2010" s="22"/>
      <c r="I2010" s="24"/>
      <c r="J2010" s="24"/>
      <c r="K2010" s="24"/>
      <c r="L2010" s="24"/>
      <c r="M2010" s="26"/>
      <c r="N2010" s="26"/>
      <c r="O2010" s="26"/>
      <c r="P2010" s="27"/>
      <c r="Q2010" s="27"/>
      <c r="R2010" s="27"/>
      <c r="S2010" s="22"/>
      <c r="T2010" s="22"/>
      <c r="U2010" s="28"/>
    </row>
    <row r="2011" ht="15.75" customHeight="1">
      <c r="A2011" s="189"/>
      <c r="B2011" s="22"/>
      <c r="C2011" s="22"/>
      <c r="D2011" s="22"/>
      <c r="E2011" s="22"/>
      <c r="F2011" s="22"/>
      <c r="G2011" s="22"/>
      <c r="H2011" s="22"/>
      <c r="I2011" s="24"/>
      <c r="J2011" s="24"/>
      <c r="K2011" s="24"/>
      <c r="L2011" s="24"/>
      <c r="M2011" s="26"/>
      <c r="N2011" s="26"/>
      <c r="O2011" s="26"/>
      <c r="P2011" s="27"/>
      <c r="Q2011" s="27"/>
      <c r="R2011" s="27"/>
      <c r="S2011" s="22"/>
      <c r="T2011" s="22"/>
      <c r="U2011" s="28"/>
    </row>
    <row r="2012" ht="15.75" customHeight="1">
      <c r="A2012" s="189"/>
      <c r="B2012" s="22"/>
      <c r="C2012" s="22"/>
      <c r="D2012" s="22"/>
      <c r="E2012" s="22"/>
      <c r="F2012" s="22"/>
      <c r="G2012" s="22"/>
      <c r="H2012" s="22"/>
      <c r="I2012" s="24"/>
      <c r="J2012" s="24"/>
      <c r="K2012" s="24"/>
      <c r="L2012" s="24"/>
      <c r="M2012" s="26"/>
      <c r="N2012" s="26"/>
      <c r="O2012" s="26"/>
      <c r="P2012" s="27"/>
      <c r="Q2012" s="27"/>
      <c r="R2012" s="27"/>
      <c r="S2012" s="22"/>
      <c r="T2012" s="22"/>
      <c r="U2012" s="28"/>
    </row>
    <row r="2013" ht="15.75" customHeight="1">
      <c r="A2013" s="189"/>
      <c r="B2013" s="22"/>
      <c r="C2013" s="22"/>
      <c r="D2013" s="22"/>
      <c r="E2013" s="22"/>
      <c r="F2013" s="22"/>
      <c r="G2013" s="22"/>
      <c r="H2013" s="22"/>
      <c r="I2013" s="24"/>
      <c r="J2013" s="24"/>
      <c r="K2013" s="24"/>
      <c r="L2013" s="24"/>
      <c r="M2013" s="26"/>
      <c r="N2013" s="26"/>
      <c r="O2013" s="26"/>
      <c r="P2013" s="27"/>
      <c r="Q2013" s="27"/>
      <c r="R2013" s="27"/>
      <c r="S2013" s="22"/>
      <c r="T2013" s="22"/>
      <c r="U2013" s="28"/>
    </row>
    <row r="2014" ht="15.75" customHeight="1">
      <c r="A2014" s="189"/>
      <c r="B2014" s="22"/>
      <c r="C2014" s="22"/>
      <c r="D2014" s="22"/>
      <c r="E2014" s="22"/>
      <c r="F2014" s="22"/>
      <c r="G2014" s="22"/>
      <c r="H2014" s="22"/>
      <c r="I2014" s="24"/>
      <c r="J2014" s="24"/>
      <c r="K2014" s="24"/>
      <c r="L2014" s="24"/>
      <c r="M2014" s="26"/>
      <c r="N2014" s="26"/>
      <c r="O2014" s="26"/>
      <c r="P2014" s="27"/>
      <c r="Q2014" s="27"/>
      <c r="R2014" s="27"/>
      <c r="S2014" s="22"/>
      <c r="T2014" s="22"/>
      <c r="U2014" s="28"/>
    </row>
    <row r="2015" ht="15.75" customHeight="1">
      <c r="A2015" s="189"/>
      <c r="B2015" s="22"/>
      <c r="C2015" s="22"/>
      <c r="D2015" s="22"/>
      <c r="E2015" s="22"/>
      <c r="F2015" s="22"/>
      <c r="G2015" s="22"/>
      <c r="H2015" s="22"/>
      <c r="I2015" s="24"/>
      <c r="J2015" s="24"/>
      <c r="K2015" s="24"/>
      <c r="L2015" s="24"/>
      <c r="M2015" s="26"/>
      <c r="N2015" s="26"/>
      <c r="O2015" s="26"/>
      <c r="P2015" s="27"/>
      <c r="Q2015" s="27"/>
      <c r="R2015" s="27"/>
      <c r="S2015" s="22"/>
      <c r="T2015" s="22"/>
      <c r="U2015" s="28"/>
    </row>
    <row r="2016" ht="15.75" customHeight="1">
      <c r="A2016" s="189"/>
      <c r="B2016" s="22"/>
      <c r="C2016" s="22"/>
      <c r="D2016" s="22"/>
      <c r="E2016" s="22"/>
      <c r="F2016" s="22"/>
      <c r="G2016" s="22"/>
      <c r="H2016" s="22"/>
      <c r="I2016" s="24"/>
      <c r="J2016" s="24"/>
      <c r="K2016" s="24"/>
      <c r="L2016" s="24"/>
      <c r="M2016" s="26"/>
      <c r="N2016" s="26"/>
      <c r="O2016" s="26"/>
      <c r="P2016" s="27"/>
      <c r="Q2016" s="27"/>
      <c r="R2016" s="27"/>
      <c r="S2016" s="22"/>
      <c r="T2016" s="22"/>
      <c r="U2016" s="28"/>
    </row>
    <row r="2017" ht="15.75" customHeight="1">
      <c r="A2017" s="189"/>
      <c r="B2017" s="22"/>
      <c r="C2017" s="22"/>
      <c r="D2017" s="22"/>
      <c r="E2017" s="22"/>
      <c r="F2017" s="22"/>
      <c r="G2017" s="22"/>
      <c r="H2017" s="22"/>
      <c r="I2017" s="24"/>
      <c r="J2017" s="24"/>
      <c r="K2017" s="24"/>
      <c r="L2017" s="24"/>
      <c r="M2017" s="26"/>
      <c r="N2017" s="26"/>
      <c r="O2017" s="26"/>
      <c r="P2017" s="27"/>
      <c r="Q2017" s="27"/>
      <c r="R2017" s="27"/>
      <c r="S2017" s="22"/>
      <c r="T2017" s="22"/>
      <c r="U2017" s="28"/>
    </row>
    <row r="2018" ht="15.75" customHeight="1">
      <c r="A2018" s="189"/>
      <c r="B2018" s="22"/>
      <c r="C2018" s="22"/>
      <c r="D2018" s="22"/>
      <c r="E2018" s="22"/>
      <c r="F2018" s="22"/>
      <c r="G2018" s="22"/>
      <c r="H2018" s="22"/>
      <c r="I2018" s="24"/>
      <c r="J2018" s="24"/>
      <c r="K2018" s="24"/>
      <c r="L2018" s="24"/>
      <c r="M2018" s="26"/>
      <c r="N2018" s="26"/>
      <c r="O2018" s="26"/>
      <c r="P2018" s="27"/>
      <c r="Q2018" s="27"/>
      <c r="R2018" s="27"/>
      <c r="S2018" s="22"/>
      <c r="T2018" s="22"/>
      <c r="U2018" s="28"/>
    </row>
    <row r="2019" ht="15.75" customHeight="1">
      <c r="A2019" s="189"/>
      <c r="B2019" s="22"/>
      <c r="C2019" s="22"/>
      <c r="D2019" s="22"/>
      <c r="E2019" s="22"/>
      <c r="F2019" s="22"/>
      <c r="G2019" s="22"/>
      <c r="H2019" s="22"/>
      <c r="I2019" s="24"/>
      <c r="J2019" s="24"/>
      <c r="K2019" s="24"/>
      <c r="L2019" s="24"/>
      <c r="M2019" s="26"/>
      <c r="N2019" s="26"/>
      <c r="O2019" s="26"/>
      <c r="P2019" s="27"/>
      <c r="Q2019" s="27"/>
      <c r="R2019" s="27"/>
      <c r="S2019" s="22"/>
      <c r="T2019" s="22"/>
      <c r="U2019" s="28"/>
    </row>
    <row r="2020" ht="15.75" customHeight="1">
      <c r="A2020" s="189"/>
      <c r="B2020" s="22"/>
      <c r="C2020" s="22"/>
      <c r="D2020" s="22"/>
      <c r="E2020" s="22"/>
      <c r="F2020" s="22"/>
      <c r="G2020" s="22"/>
      <c r="H2020" s="22"/>
      <c r="I2020" s="24"/>
      <c r="J2020" s="24"/>
      <c r="K2020" s="24"/>
      <c r="L2020" s="24"/>
      <c r="M2020" s="26"/>
      <c r="N2020" s="26"/>
      <c r="O2020" s="26"/>
      <c r="P2020" s="27"/>
      <c r="Q2020" s="27"/>
      <c r="R2020" s="27"/>
      <c r="S2020" s="22"/>
      <c r="T2020" s="22"/>
      <c r="U2020" s="28"/>
    </row>
    <row r="2021" ht="15.75" customHeight="1">
      <c r="A2021" s="189"/>
      <c r="B2021" s="22"/>
      <c r="C2021" s="22"/>
      <c r="D2021" s="22"/>
      <c r="E2021" s="22"/>
      <c r="F2021" s="22"/>
      <c r="G2021" s="22"/>
      <c r="H2021" s="22"/>
      <c r="I2021" s="24"/>
      <c r="J2021" s="24"/>
      <c r="K2021" s="24"/>
      <c r="L2021" s="24"/>
      <c r="M2021" s="26"/>
      <c r="N2021" s="26"/>
      <c r="O2021" s="26"/>
      <c r="P2021" s="27"/>
      <c r="Q2021" s="27"/>
      <c r="R2021" s="27"/>
      <c r="S2021" s="22"/>
      <c r="T2021" s="22"/>
      <c r="U2021" s="28"/>
    </row>
    <row r="2022" ht="15.75" customHeight="1">
      <c r="A2022" s="189"/>
      <c r="B2022" s="22"/>
      <c r="C2022" s="22"/>
      <c r="D2022" s="22"/>
      <c r="E2022" s="22"/>
      <c r="F2022" s="22"/>
      <c r="G2022" s="22"/>
      <c r="H2022" s="22"/>
      <c r="I2022" s="24"/>
      <c r="J2022" s="24"/>
      <c r="K2022" s="24"/>
      <c r="L2022" s="24"/>
      <c r="M2022" s="26"/>
      <c r="N2022" s="26"/>
      <c r="O2022" s="26"/>
      <c r="P2022" s="27"/>
      <c r="Q2022" s="27"/>
      <c r="R2022" s="27"/>
      <c r="S2022" s="22"/>
      <c r="T2022" s="22"/>
      <c r="U2022" s="28"/>
    </row>
    <row r="2023" ht="15.75" customHeight="1">
      <c r="A2023" s="189"/>
      <c r="B2023" s="22"/>
      <c r="C2023" s="22"/>
      <c r="D2023" s="22"/>
      <c r="E2023" s="22"/>
      <c r="F2023" s="22"/>
      <c r="G2023" s="22"/>
      <c r="H2023" s="22"/>
      <c r="I2023" s="24"/>
      <c r="J2023" s="24"/>
      <c r="K2023" s="24"/>
      <c r="L2023" s="24"/>
      <c r="M2023" s="26"/>
      <c r="N2023" s="26"/>
      <c r="O2023" s="26"/>
      <c r="P2023" s="27"/>
      <c r="Q2023" s="27"/>
      <c r="R2023" s="27"/>
      <c r="S2023" s="22"/>
      <c r="T2023" s="22"/>
      <c r="U2023" s="28"/>
    </row>
    <row r="2024" ht="15.75" customHeight="1">
      <c r="A2024" s="189"/>
      <c r="B2024" s="22"/>
      <c r="C2024" s="22"/>
      <c r="D2024" s="22"/>
      <c r="E2024" s="22"/>
      <c r="F2024" s="22"/>
      <c r="G2024" s="22"/>
      <c r="H2024" s="22"/>
      <c r="I2024" s="24"/>
      <c r="J2024" s="24"/>
      <c r="K2024" s="24"/>
      <c r="L2024" s="24"/>
      <c r="M2024" s="26"/>
      <c r="N2024" s="26"/>
      <c r="O2024" s="26"/>
      <c r="P2024" s="27"/>
      <c r="Q2024" s="27"/>
      <c r="R2024" s="27"/>
      <c r="S2024" s="22"/>
      <c r="T2024" s="22"/>
      <c r="U2024" s="28"/>
    </row>
    <row r="2025" ht="15.75" customHeight="1">
      <c r="A2025" s="189"/>
      <c r="B2025" s="22"/>
      <c r="C2025" s="22"/>
      <c r="D2025" s="22"/>
      <c r="E2025" s="22"/>
      <c r="F2025" s="22"/>
      <c r="G2025" s="22"/>
      <c r="H2025" s="22"/>
      <c r="I2025" s="24"/>
      <c r="J2025" s="24"/>
      <c r="K2025" s="24"/>
      <c r="L2025" s="24"/>
      <c r="M2025" s="26"/>
      <c r="N2025" s="26"/>
      <c r="O2025" s="26"/>
      <c r="P2025" s="27"/>
      <c r="Q2025" s="27"/>
      <c r="R2025" s="27"/>
      <c r="S2025" s="22"/>
      <c r="T2025" s="22"/>
      <c r="U2025" s="28"/>
    </row>
    <row r="2026" ht="15.75" customHeight="1">
      <c r="A2026" s="189"/>
      <c r="B2026" s="22"/>
      <c r="C2026" s="22"/>
      <c r="D2026" s="22"/>
      <c r="E2026" s="22"/>
      <c r="F2026" s="22"/>
      <c r="G2026" s="22"/>
      <c r="H2026" s="22"/>
      <c r="I2026" s="24"/>
      <c r="J2026" s="24"/>
      <c r="K2026" s="24"/>
      <c r="L2026" s="24"/>
      <c r="M2026" s="26"/>
      <c r="N2026" s="26"/>
      <c r="O2026" s="26"/>
      <c r="P2026" s="27"/>
      <c r="Q2026" s="27"/>
      <c r="R2026" s="27"/>
      <c r="S2026" s="22"/>
      <c r="T2026" s="22"/>
      <c r="U2026" s="28"/>
    </row>
    <row r="2027" ht="15.75" customHeight="1">
      <c r="A2027" s="189"/>
      <c r="B2027" s="22"/>
      <c r="C2027" s="22"/>
      <c r="D2027" s="22"/>
      <c r="E2027" s="22"/>
      <c r="F2027" s="22"/>
      <c r="G2027" s="22"/>
      <c r="H2027" s="22"/>
      <c r="I2027" s="24"/>
      <c r="J2027" s="24"/>
      <c r="K2027" s="24"/>
      <c r="L2027" s="24"/>
      <c r="M2027" s="26"/>
      <c r="N2027" s="26"/>
      <c r="O2027" s="26"/>
      <c r="P2027" s="27"/>
      <c r="Q2027" s="27"/>
      <c r="R2027" s="27"/>
      <c r="S2027" s="22"/>
      <c r="T2027" s="22"/>
      <c r="U2027" s="28"/>
    </row>
    <row r="2028" ht="15.75" customHeight="1">
      <c r="A2028" s="189"/>
      <c r="B2028" s="22"/>
      <c r="C2028" s="22"/>
      <c r="D2028" s="22"/>
      <c r="E2028" s="22"/>
      <c r="F2028" s="22"/>
      <c r="G2028" s="22"/>
      <c r="H2028" s="22"/>
      <c r="I2028" s="24"/>
      <c r="J2028" s="24"/>
      <c r="K2028" s="24"/>
      <c r="L2028" s="24"/>
      <c r="M2028" s="26"/>
      <c r="N2028" s="26"/>
      <c r="O2028" s="26"/>
      <c r="P2028" s="27"/>
      <c r="Q2028" s="27"/>
      <c r="R2028" s="27"/>
      <c r="S2028" s="22"/>
      <c r="T2028" s="22"/>
      <c r="U2028" s="28"/>
    </row>
    <row r="2029" ht="15.75" customHeight="1">
      <c r="A2029" s="189"/>
      <c r="B2029" s="22"/>
      <c r="C2029" s="22"/>
      <c r="D2029" s="22"/>
      <c r="E2029" s="22"/>
      <c r="F2029" s="22"/>
      <c r="G2029" s="22"/>
      <c r="H2029" s="22"/>
      <c r="I2029" s="24"/>
      <c r="J2029" s="24"/>
      <c r="K2029" s="24"/>
      <c r="L2029" s="24"/>
      <c r="M2029" s="26"/>
      <c r="N2029" s="26"/>
      <c r="O2029" s="26"/>
      <c r="P2029" s="27"/>
      <c r="Q2029" s="27"/>
      <c r="R2029" s="27"/>
      <c r="S2029" s="22"/>
      <c r="T2029" s="22"/>
      <c r="U2029" s="28"/>
    </row>
    <row r="2030" ht="15.75" customHeight="1">
      <c r="A2030" s="189"/>
      <c r="B2030" s="22"/>
      <c r="C2030" s="22"/>
      <c r="D2030" s="22"/>
      <c r="E2030" s="22"/>
      <c r="F2030" s="22"/>
      <c r="G2030" s="22"/>
      <c r="H2030" s="22"/>
      <c r="I2030" s="24"/>
      <c r="J2030" s="24"/>
      <c r="K2030" s="24"/>
      <c r="L2030" s="24"/>
      <c r="M2030" s="26"/>
      <c r="N2030" s="26"/>
      <c r="O2030" s="26"/>
      <c r="P2030" s="27"/>
      <c r="Q2030" s="27"/>
      <c r="R2030" s="27"/>
      <c r="S2030" s="22"/>
      <c r="T2030" s="22"/>
      <c r="U2030" s="28"/>
    </row>
    <row r="2031" ht="15.75" customHeight="1">
      <c r="A2031" s="189"/>
      <c r="B2031" s="22"/>
      <c r="C2031" s="22"/>
      <c r="D2031" s="22"/>
      <c r="E2031" s="22"/>
      <c r="F2031" s="22"/>
      <c r="G2031" s="22"/>
      <c r="H2031" s="22"/>
      <c r="I2031" s="24"/>
      <c r="J2031" s="24"/>
      <c r="K2031" s="24"/>
      <c r="L2031" s="24"/>
      <c r="M2031" s="26"/>
      <c r="N2031" s="26"/>
      <c r="O2031" s="26"/>
      <c r="P2031" s="27"/>
      <c r="Q2031" s="27"/>
      <c r="R2031" s="27"/>
      <c r="S2031" s="22"/>
      <c r="T2031" s="22"/>
      <c r="U2031" s="28"/>
    </row>
    <row r="2032" ht="15.75" customHeight="1">
      <c r="A2032" s="189"/>
      <c r="B2032" s="22"/>
      <c r="C2032" s="22"/>
      <c r="D2032" s="22"/>
      <c r="E2032" s="22"/>
      <c r="F2032" s="22"/>
      <c r="G2032" s="22"/>
      <c r="H2032" s="22"/>
      <c r="I2032" s="24"/>
      <c r="J2032" s="24"/>
      <c r="K2032" s="24"/>
      <c r="L2032" s="24"/>
      <c r="M2032" s="26"/>
      <c r="N2032" s="26"/>
      <c r="O2032" s="26"/>
      <c r="P2032" s="27"/>
      <c r="Q2032" s="27"/>
      <c r="R2032" s="27"/>
      <c r="S2032" s="22"/>
      <c r="T2032" s="22"/>
      <c r="U2032" s="28"/>
    </row>
    <row r="2033" ht="15.75" customHeight="1">
      <c r="A2033" s="189"/>
      <c r="B2033" s="22"/>
      <c r="C2033" s="22"/>
      <c r="D2033" s="22"/>
      <c r="E2033" s="22"/>
      <c r="F2033" s="22"/>
      <c r="G2033" s="22"/>
      <c r="H2033" s="22"/>
      <c r="I2033" s="24"/>
      <c r="J2033" s="24"/>
      <c r="K2033" s="24"/>
      <c r="L2033" s="24"/>
      <c r="M2033" s="26"/>
      <c r="N2033" s="26"/>
      <c r="O2033" s="26"/>
      <c r="P2033" s="27"/>
      <c r="Q2033" s="27"/>
      <c r="R2033" s="27"/>
      <c r="S2033" s="22"/>
      <c r="T2033" s="22"/>
      <c r="U2033" s="28"/>
    </row>
    <row r="2034" ht="15.75" customHeight="1">
      <c r="A2034" s="189"/>
      <c r="B2034" s="22"/>
      <c r="C2034" s="22"/>
      <c r="D2034" s="22"/>
      <c r="E2034" s="22"/>
      <c r="F2034" s="22"/>
      <c r="G2034" s="22"/>
      <c r="H2034" s="22"/>
      <c r="I2034" s="24"/>
      <c r="J2034" s="24"/>
      <c r="K2034" s="24"/>
      <c r="L2034" s="24"/>
      <c r="M2034" s="26"/>
      <c r="N2034" s="26"/>
      <c r="O2034" s="26"/>
      <c r="P2034" s="27"/>
      <c r="Q2034" s="27"/>
      <c r="R2034" s="27"/>
      <c r="S2034" s="22"/>
      <c r="T2034" s="22"/>
      <c r="U2034" s="28"/>
    </row>
    <row r="2035" ht="15.75" customHeight="1">
      <c r="A2035" s="189"/>
      <c r="B2035" s="22"/>
      <c r="C2035" s="22"/>
      <c r="D2035" s="22"/>
      <c r="E2035" s="22"/>
      <c r="F2035" s="22"/>
      <c r="G2035" s="22"/>
      <c r="H2035" s="22"/>
      <c r="I2035" s="24"/>
      <c r="J2035" s="24"/>
      <c r="K2035" s="24"/>
      <c r="L2035" s="24"/>
      <c r="M2035" s="26"/>
      <c r="N2035" s="26"/>
      <c r="O2035" s="26"/>
      <c r="P2035" s="27"/>
      <c r="Q2035" s="27"/>
      <c r="R2035" s="27"/>
      <c r="S2035" s="22"/>
      <c r="T2035" s="22"/>
      <c r="U2035" s="28"/>
    </row>
    <row r="2036" ht="15.75" customHeight="1">
      <c r="A2036" s="189"/>
      <c r="B2036" s="22"/>
      <c r="C2036" s="22"/>
      <c r="D2036" s="22"/>
      <c r="E2036" s="22"/>
      <c r="F2036" s="22"/>
      <c r="G2036" s="22"/>
      <c r="H2036" s="22"/>
      <c r="I2036" s="24"/>
      <c r="J2036" s="24"/>
      <c r="K2036" s="24"/>
      <c r="L2036" s="24"/>
      <c r="M2036" s="26"/>
      <c r="N2036" s="26"/>
      <c r="O2036" s="26"/>
      <c r="P2036" s="27"/>
      <c r="Q2036" s="27"/>
      <c r="R2036" s="27"/>
      <c r="S2036" s="22"/>
      <c r="T2036" s="22"/>
      <c r="U2036" s="28"/>
    </row>
    <row r="2037" ht="15.75" customHeight="1">
      <c r="A2037" s="189"/>
      <c r="B2037" s="22"/>
      <c r="C2037" s="22"/>
      <c r="D2037" s="22"/>
      <c r="E2037" s="22"/>
      <c r="F2037" s="22"/>
      <c r="G2037" s="22"/>
      <c r="H2037" s="22"/>
      <c r="I2037" s="24"/>
      <c r="J2037" s="24"/>
      <c r="K2037" s="24"/>
      <c r="L2037" s="24"/>
      <c r="M2037" s="26"/>
      <c r="N2037" s="26"/>
      <c r="O2037" s="26"/>
      <c r="P2037" s="27"/>
      <c r="Q2037" s="27"/>
      <c r="R2037" s="27"/>
      <c r="S2037" s="22"/>
      <c r="T2037" s="22"/>
      <c r="U2037" s="28"/>
    </row>
    <row r="2038" ht="15.75" customHeight="1">
      <c r="A2038" s="189"/>
      <c r="B2038" s="22"/>
      <c r="C2038" s="22"/>
      <c r="D2038" s="22"/>
      <c r="E2038" s="22"/>
      <c r="F2038" s="22"/>
      <c r="G2038" s="22"/>
      <c r="H2038" s="22"/>
      <c r="I2038" s="24"/>
      <c r="J2038" s="24"/>
      <c r="K2038" s="24"/>
      <c r="L2038" s="24"/>
      <c r="M2038" s="26"/>
      <c r="N2038" s="26"/>
      <c r="O2038" s="26"/>
      <c r="P2038" s="27"/>
      <c r="Q2038" s="27"/>
      <c r="R2038" s="27"/>
      <c r="S2038" s="22"/>
      <c r="T2038" s="22"/>
      <c r="U2038" s="28"/>
    </row>
    <row r="2039" ht="15.75" customHeight="1">
      <c r="A2039" s="189"/>
      <c r="B2039" s="22"/>
      <c r="C2039" s="22"/>
      <c r="D2039" s="22"/>
      <c r="E2039" s="22"/>
      <c r="F2039" s="22"/>
      <c r="G2039" s="22"/>
      <c r="H2039" s="22"/>
      <c r="I2039" s="24"/>
      <c r="J2039" s="24"/>
      <c r="K2039" s="24"/>
      <c r="L2039" s="24"/>
      <c r="M2039" s="26"/>
      <c r="N2039" s="26"/>
      <c r="O2039" s="26"/>
      <c r="P2039" s="27"/>
      <c r="Q2039" s="27"/>
      <c r="R2039" s="27"/>
      <c r="S2039" s="22"/>
      <c r="T2039" s="22"/>
      <c r="U2039" s="28"/>
    </row>
    <row r="2040" ht="15.75" customHeight="1">
      <c r="A2040" s="189"/>
      <c r="B2040" s="22"/>
      <c r="C2040" s="22"/>
      <c r="D2040" s="22"/>
      <c r="E2040" s="22"/>
      <c r="F2040" s="22"/>
      <c r="G2040" s="22"/>
      <c r="H2040" s="22"/>
      <c r="I2040" s="24"/>
      <c r="J2040" s="24"/>
      <c r="K2040" s="24"/>
      <c r="L2040" s="24"/>
      <c r="M2040" s="26"/>
      <c r="N2040" s="26"/>
      <c r="O2040" s="26"/>
      <c r="P2040" s="27"/>
      <c r="Q2040" s="27"/>
      <c r="R2040" s="27"/>
      <c r="S2040" s="22"/>
      <c r="T2040" s="22"/>
      <c r="U2040" s="28"/>
    </row>
    <row r="2041" ht="15.75" customHeight="1">
      <c r="A2041" s="189"/>
      <c r="B2041" s="22"/>
      <c r="C2041" s="22"/>
      <c r="D2041" s="22"/>
      <c r="E2041" s="22"/>
      <c r="F2041" s="22"/>
      <c r="G2041" s="22"/>
      <c r="H2041" s="22"/>
      <c r="I2041" s="24"/>
      <c r="J2041" s="24"/>
      <c r="K2041" s="24"/>
      <c r="L2041" s="24"/>
      <c r="M2041" s="26"/>
      <c r="N2041" s="26"/>
      <c r="O2041" s="26"/>
      <c r="P2041" s="27"/>
      <c r="Q2041" s="27"/>
      <c r="R2041" s="27"/>
      <c r="S2041" s="22"/>
      <c r="T2041" s="22"/>
      <c r="U2041" s="28"/>
    </row>
    <row r="2042" ht="15.75" customHeight="1">
      <c r="A2042" s="189"/>
      <c r="B2042" s="22"/>
      <c r="C2042" s="22"/>
      <c r="D2042" s="22"/>
      <c r="E2042" s="22"/>
      <c r="F2042" s="22"/>
      <c r="G2042" s="22"/>
      <c r="H2042" s="22"/>
      <c r="I2042" s="24"/>
      <c r="J2042" s="24"/>
      <c r="K2042" s="24"/>
      <c r="L2042" s="24"/>
      <c r="M2042" s="26"/>
      <c r="N2042" s="26"/>
      <c r="O2042" s="26"/>
      <c r="P2042" s="27"/>
      <c r="Q2042" s="27"/>
      <c r="R2042" s="27"/>
      <c r="S2042" s="22"/>
      <c r="T2042" s="22"/>
      <c r="U2042" s="28"/>
    </row>
    <row r="2043" ht="15.75" customHeight="1">
      <c r="A2043" s="189"/>
      <c r="B2043" s="22"/>
      <c r="C2043" s="22"/>
      <c r="D2043" s="22"/>
      <c r="E2043" s="22"/>
      <c r="F2043" s="22"/>
      <c r="G2043" s="22"/>
      <c r="H2043" s="22"/>
      <c r="I2043" s="24"/>
      <c r="J2043" s="24"/>
      <c r="K2043" s="24"/>
      <c r="L2043" s="24"/>
      <c r="M2043" s="26"/>
      <c r="N2043" s="26"/>
      <c r="O2043" s="26"/>
      <c r="P2043" s="27"/>
      <c r="Q2043" s="27"/>
      <c r="R2043" s="27"/>
      <c r="S2043" s="22"/>
      <c r="T2043" s="22"/>
      <c r="U2043" s="28"/>
    </row>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sheetData>
  <dataValidations>
    <dataValidation type="list" allowBlank="1" showErrorMessage="1" sqref="P5:P9 P11:P12 P14:P17 P20:P24 P26:P29 P37:P38 P41:P42 P46:P47 P51 P54:P56 P60:P61 P64 P69:P71 P73 P75:P79 P81:P82 P85 P87 P91 P93:P96 P101 P103 P110 P113:P116 P118 P122 P124:P126 P128:P129 P132:P133 P135 P137:P138 P142 P146:P148 P150:P152 P154:P172 P228:P229 P233:P238 P240:P243 P245:P246">
      <formula1>"AAA,AA,Indie,Hobbyist"</formula1>
    </dataValidation>
    <dataValidation type="list" allowBlank="1" showErrorMessage="1" sqref="Q5:Q47 Q51:Q106 Q110:Q172 Q176:Q185 Q196 Q228 Q230:Q247">
      <formula1>"$$$,$$,$"</formula1>
    </dataValidation>
    <dataValidation type="list" allowBlank="1" showErrorMessage="1" sqref="B12 B101 B112 B117 B166 B169 B196">
      <formula1>"USA,Canada,UK,Germany,Netherlands,France,Poland,Switzerland,Belgium,Ireland,Sweden,Cyprus,Czech,Italy,Denmark,Finland,Lithuania,Spain,Greece,Russia,China,Korea,Japan,Singapore,Thailand,India,Indonesia,Georgia,UAE,Tunisia,Australia,Brazil,Armenia,Argentina"</formula1>
    </dataValidation>
    <dataValidation type="list" allowBlank="1" showErrorMessage="1" sqref="P10 P13 P18:P19 P25 P30:P36 P39:P40 P43:P45 P52:P53 P57:P59 P62:P63 P65:P68 P72 P74 P80 P83:P84 P86 P88:P90 P92 P97:P100 P102 P104:P106 P111:P112 P117 P119:P121 P123 P127 P130:P131 P134 P136 P139:P141 P143:P145 P149 P153 P176:P185 P196 P230:P232 P239 P244 P247">
      <formula1>"AA,Indie"</formula1>
    </dataValidation>
    <dataValidation type="list" allowBlank="1" showErrorMessage="1" sqref="R5:R27 R29:R47 R51:R106 R110:R169 R171:R172 R176:R185 R196 R228:R247">
      <formula1>"★,★★★,★★,?"</formula1>
    </dataValidation>
    <dataValidation type="list" allowBlank="1" showErrorMessage="1" sqref="S5:S47 S51:S106 S110:S165 S176:S185 S189:S191 S196 S200 S207:S224 S226 S228 S230:S247">
      <formula1>"4X,Grand Strategy,Turn-Based Strategy,RTS,Real Time Tactics,Turn-Based Tactics,Tactical RPG,Wargame,Tower Defense,Auto Battler,Real-Time with Pause,Strategy RPG,Hex Grid,Political Sim,God Game,Management,City Builder,Base Building,Colony Sim,Economy,Resou"&amp;"rce Management,Automation,Farming Sim,Life Sim,Driving,Automobile Sim,Flight,Space Sim,Cooking,Time Management,Cleaning,Job Simulator,Shop Keeper,Mining,Capitalism,Idler,Incremental,Fishing,Motorbike,Golf,Football (Soccer),Programming,Hacking,Gambling,Sur"&amp;"vival,Crafting,Sandbox,Open World Survival Craft,Open World,Voxel,Level Editor,Procedural Generation,Shooter,FPS,Hack and Slash,Action-Adventure,Action RPG,Souls-like,Beat 'em up,Fighting,Bullet Hell,Bullet Heaven,Top-Down Shooter,Looter Shooter,Extractio"&amp;"n Shooter,Twin Stick Shooter,Stealth,Martial Arts,Action Roguelike,On-Rails Shooter,Parkour,Arcade,Immersive Sim,Roguelike,Roguelite,Deckbuilding,Roguelike Deckbuilder,Card Game,Dungeon Crawler,Board Game,Tabletop,Dice,JRPG,Party-Based RPG,Turn-Based Comb"&amp;"at,CRPG,Creature Collector,Puzzle,Point &amp; Click,Visual Novel,Walking Simulator,Interactive Fiction,Choose Your Own Adventure,Hidden Object,Investigation,Escape Room,Dating Sim,Puzzle Platformer,Logic,Text-Based,Typing,Horror,Psychological Horror,Survival "&amp;"Horror,Platformer,2D Platformer,3D Platformer,Metroidvania,Precision Platformer,Collectathon,2.5D,Co-op,PvP,Team-Based,Competitive,Party Game,Asynchronous Multiplayer,Rhythm,VR"</formula1>
    </dataValidation>
    <dataValidation type="list" allowBlank="1" showErrorMessage="1" sqref="B111 B141 B176:B185">
      <formula1>"USA,Canada,UK,Germany,Netherlands,France,Poland,Switzerland,Belgium,Ireland,Sweden,Cyprus,Czech,Italy,Denmark,Finland,Lithuania,Spain,Greece,Russia,China,Korea,Japan,Singapore,Thailand,India,Indonesia,Georgia,UAE,Tunisia,Australia,Brazil,Armenia,Argentina"&amp;",Turkey"</formula1>
    </dataValidation>
    <dataValidation type="list" allowBlank="1" showErrorMessage="1" sqref="B5:B11 B13:B47 B51:B100 B102:B106 B110 B113:B116 B118:B140 B142:B165 B167:B168 B170:B172 B189:B195 B197:B203 B207:B227 B229:B247">
      <formula1>"USA,Canada,UK,Germany,Netherlands,France,Poland,Switzerland,Belgium,Ireland,Sweden,Cyprus,Czech,Italy,Denmark,Finland,Lithuania,Spain,Greece,Russia,China,Korea,Japan,Singapore,Thailand,India,Indonesia,Georgia,UAE,Tunisia,Australia,Brazil"</formula1>
    </dataValidation>
  </dataValidations>
  <hyperlinks>
    <hyperlink r:id="rId4" ref="C5"/>
    <hyperlink r:id="rId5" ref="D5"/>
    <hyperlink r:id="rId6" ref="E5"/>
    <hyperlink r:id="rId7" ref="G5"/>
    <hyperlink r:id="rId8" ref="H5"/>
    <hyperlink r:id="rId9" ref="C6"/>
    <hyperlink r:id="rId10" ref="E6"/>
    <hyperlink r:id="rId11" ref="F6"/>
    <hyperlink r:id="rId12" ref="G6"/>
    <hyperlink r:id="rId13" ref="H6"/>
    <hyperlink r:id="rId14" ref="C7"/>
    <hyperlink r:id="rId15" ref="F7"/>
    <hyperlink r:id="rId16" ref="G7"/>
    <hyperlink r:id="rId17" ref="H7"/>
    <hyperlink r:id="rId18" ref="C8"/>
    <hyperlink r:id="rId19" ref="D8"/>
    <hyperlink r:id="rId20" ref="F8"/>
    <hyperlink r:id="rId21" ref="G8"/>
    <hyperlink r:id="rId22" ref="H8"/>
    <hyperlink r:id="rId23" ref="C9"/>
    <hyperlink r:id="rId24" ref="E9"/>
    <hyperlink r:id="rId25" ref="G9"/>
    <hyperlink r:id="rId26" ref="H9"/>
    <hyperlink r:id="rId27" ref="C10"/>
    <hyperlink r:id="rId28" location="pitch" ref="E10"/>
    <hyperlink r:id="rId29" ref="F10"/>
    <hyperlink r:id="rId30" ref="G10"/>
    <hyperlink r:id="rId31" ref="H10"/>
    <hyperlink r:id="rId32" ref="C11"/>
    <hyperlink r:id="rId33" ref="D11"/>
    <hyperlink r:id="rId34" ref="E11"/>
    <hyperlink r:id="rId35" ref="F11"/>
    <hyperlink r:id="rId36" ref="G11"/>
    <hyperlink r:id="rId37" ref="H11"/>
    <hyperlink r:id="rId38" ref="C12"/>
    <hyperlink r:id="rId39" ref="D12"/>
    <hyperlink r:id="rId40" ref="E12"/>
    <hyperlink r:id="rId41" ref="F12"/>
    <hyperlink r:id="rId42" ref="G12"/>
    <hyperlink r:id="rId43" ref="H12"/>
    <hyperlink r:id="rId44" ref="C13"/>
    <hyperlink r:id="rId45" ref="G13"/>
    <hyperlink r:id="rId46" ref="H13"/>
    <hyperlink r:id="rId47" ref="C14"/>
    <hyperlink r:id="rId48" ref="F14"/>
    <hyperlink r:id="rId49" ref="G14"/>
    <hyperlink r:id="rId50" ref="H14"/>
    <hyperlink r:id="rId51" ref="C15"/>
    <hyperlink r:id="rId52" ref="F15"/>
    <hyperlink r:id="rId53" ref="G15"/>
    <hyperlink r:id="rId54" ref="H15"/>
    <hyperlink r:id="rId55" ref="C16"/>
    <hyperlink r:id="rId56" ref="G16"/>
    <hyperlink r:id="rId57" ref="H16"/>
    <hyperlink r:id="rId58" ref="C17"/>
    <hyperlink r:id="rId59" ref="E17"/>
    <hyperlink r:id="rId60" ref="F17"/>
    <hyperlink r:id="rId61" ref="G17"/>
    <hyperlink r:id="rId62" ref="H17"/>
    <hyperlink r:id="rId63" ref="C18"/>
    <hyperlink r:id="rId64" ref="E18"/>
    <hyperlink r:id="rId65" ref="G18"/>
    <hyperlink r:id="rId66" ref="H18"/>
    <hyperlink r:id="rId67" ref="C19"/>
    <hyperlink r:id="rId68" ref="D19"/>
    <hyperlink r:id="rId69" ref="E19"/>
    <hyperlink r:id="rId70" ref="F19"/>
    <hyperlink r:id="rId71" ref="G19"/>
    <hyperlink r:id="rId72" ref="H19"/>
    <hyperlink r:id="rId73" ref="C20"/>
    <hyperlink r:id="rId74" ref="D20"/>
    <hyperlink r:id="rId75" ref="E20"/>
    <hyperlink r:id="rId76" ref="F20"/>
    <hyperlink r:id="rId77" ref="G20"/>
    <hyperlink r:id="rId78" ref="H20"/>
    <hyperlink r:id="rId79" ref="C21"/>
    <hyperlink r:id="rId80" ref="E21"/>
    <hyperlink r:id="rId81" ref="F21"/>
    <hyperlink r:id="rId82" ref="G21"/>
    <hyperlink r:id="rId83" ref="H21"/>
    <hyperlink r:id="rId84" ref="C22"/>
    <hyperlink r:id="rId85" ref="G22"/>
    <hyperlink r:id="rId86" ref="H22"/>
    <hyperlink r:id="rId87" ref="C23"/>
    <hyperlink r:id="rId88" ref="F23"/>
    <hyperlink r:id="rId89" ref="G23"/>
    <hyperlink r:id="rId90" ref="H23"/>
    <hyperlink r:id="rId91" ref="C24"/>
    <hyperlink r:id="rId92" ref="E24"/>
    <hyperlink r:id="rId93" ref="G24"/>
    <hyperlink r:id="rId94" ref="H24"/>
    <hyperlink r:id="rId95" ref="C25"/>
    <hyperlink r:id="rId96" location="slide=id.g25a4797f419_0_94" ref="D25"/>
    <hyperlink r:id="rId97" ref="E25"/>
    <hyperlink r:id="rId98" ref="F25"/>
    <hyperlink r:id="rId99" ref="G25"/>
    <hyperlink r:id="rId100" ref="H25"/>
    <hyperlink r:id="rId101" ref="C26"/>
    <hyperlink r:id="rId102" ref="F26"/>
    <hyperlink r:id="rId103" ref="G26"/>
    <hyperlink r:id="rId104" ref="H26"/>
    <hyperlink r:id="rId105" ref="C27"/>
    <hyperlink r:id="rId106" ref="E27"/>
    <hyperlink r:id="rId107" ref="F27"/>
    <hyperlink r:id="rId108" ref="G27"/>
    <hyperlink r:id="rId109" ref="H27"/>
    <hyperlink r:id="rId110" ref="C28"/>
    <hyperlink r:id="rId111" ref="F28"/>
    <hyperlink r:id="rId112" ref="G28"/>
    <hyperlink r:id="rId113" ref="H28"/>
    <hyperlink r:id="rId114" ref="C29"/>
    <hyperlink r:id="rId115" location="/publishing" ref="D29"/>
    <hyperlink r:id="rId116" ref="E29"/>
    <hyperlink r:id="rId117" ref="F29"/>
    <hyperlink r:id="rId118" ref="G29"/>
    <hyperlink r:id="rId119" ref="H29"/>
    <hyperlink r:id="rId120" ref="C30"/>
    <hyperlink r:id="rId121" ref="D30"/>
    <hyperlink r:id="rId122" ref="E30"/>
    <hyperlink r:id="rId123" ref="F30"/>
    <hyperlink r:id="rId124" ref="G30"/>
    <hyperlink r:id="rId125" ref="H30"/>
    <hyperlink r:id="rId126" ref="C31"/>
    <hyperlink r:id="rId127" ref="E31"/>
    <hyperlink r:id="rId128" ref="G31"/>
    <hyperlink r:id="rId129" ref="H31"/>
    <hyperlink r:id="rId130" ref="C32"/>
    <hyperlink r:id="rId131" ref="F32"/>
    <hyperlink r:id="rId132" ref="G32"/>
    <hyperlink r:id="rId133" ref="H32"/>
    <hyperlink r:id="rId134" ref="C33"/>
    <hyperlink r:id="rId135" ref="D33"/>
    <hyperlink r:id="rId136" ref="E33"/>
    <hyperlink r:id="rId137" ref="F33"/>
    <hyperlink r:id="rId138" ref="G33"/>
    <hyperlink r:id="rId139" ref="H33"/>
    <hyperlink r:id="rId140" ref="C34"/>
    <hyperlink r:id="rId141" ref="F34"/>
    <hyperlink r:id="rId142" ref="G34"/>
    <hyperlink r:id="rId143" ref="H34"/>
    <hyperlink r:id="rId144" ref="C35"/>
    <hyperlink r:id="rId145" ref="E35"/>
    <hyperlink r:id="rId146" ref="F35"/>
    <hyperlink r:id="rId147" ref="G35"/>
    <hyperlink r:id="rId148" ref="H35"/>
    <hyperlink r:id="rId149" ref="C36"/>
    <hyperlink r:id="rId150" ref="F36"/>
    <hyperlink r:id="rId151" ref="G36"/>
    <hyperlink r:id="rId152" ref="H36"/>
    <hyperlink r:id="rId153" ref="C37"/>
    <hyperlink r:id="rId154" ref="D37"/>
    <hyperlink r:id="rId155" ref="F37"/>
    <hyperlink r:id="rId156" ref="G37"/>
    <hyperlink r:id="rId157" ref="H37"/>
    <hyperlink r:id="rId158" ref="C38"/>
    <hyperlink r:id="rId159" ref="E38"/>
    <hyperlink r:id="rId160" ref="F38"/>
    <hyperlink r:id="rId161" ref="G38"/>
    <hyperlink r:id="rId162" ref="H38"/>
    <hyperlink r:id="rId163" ref="C39"/>
    <hyperlink r:id="rId164" ref="F39"/>
    <hyperlink r:id="rId165" ref="G39"/>
    <hyperlink r:id="rId166" ref="H39"/>
    <hyperlink r:id="rId167" ref="C40"/>
    <hyperlink r:id="rId168" ref="F40"/>
    <hyperlink r:id="rId169" ref="G40"/>
    <hyperlink r:id="rId170" ref="H40"/>
    <hyperlink r:id="rId171" ref="C41"/>
    <hyperlink r:id="rId172" ref="E41"/>
    <hyperlink r:id="rId173" ref="G41"/>
    <hyperlink r:id="rId174" ref="C42"/>
    <hyperlink r:id="rId175" ref="E42"/>
    <hyperlink r:id="rId176" ref="F42"/>
    <hyperlink r:id="rId177" ref="G42"/>
    <hyperlink r:id="rId178" ref="H42"/>
    <hyperlink r:id="rId179" ref="C43"/>
    <hyperlink r:id="rId180" ref="E43"/>
    <hyperlink r:id="rId181" ref="F43"/>
    <hyperlink r:id="rId182" ref="G43"/>
    <hyperlink r:id="rId183" ref="H43"/>
    <hyperlink r:id="rId184" ref="C44"/>
    <hyperlink r:id="rId185" ref="F44"/>
    <hyperlink r:id="rId186" ref="G44"/>
    <hyperlink r:id="rId187" ref="H44"/>
    <hyperlink r:id="rId188" ref="C45"/>
    <hyperlink r:id="rId189" ref="G45"/>
    <hyperlink r:id="rId190" ref="H45"/>
    <hyperlink r:id="rId191" ref="C46"/>
    <hyperlink r:id="rId192" ref="G46"/>
    <hyperlink r:id="rId193" ref="H46"/>
    <hyperlink r:id="rId194" ref="C47"/>
    <hyperlink r:id="rId195" ref="D47"/>
    <hyperlink r:id="rId196" ref="G47"/>
    <hyperlink r:id="rId197" ref="H47"/>
    <hyperlink r:id="rId198" ref="C51"/>
    <hyperlink r:id="rId199" ref="E51"/>
    <hyperlink r:id="rId200" ref="G51"/>
    <hyperlink r:id="rId201" ref="H51"/>
    <hyperlink r:id="rId202" ref="C52"/>
    <hyperlink r:id="rId203" ref="E52"/>
    <hyperlink r:id="rId204" ref="F52"/>
    <hyperlink r:id="rId205" ref="G52"/>
    <hyperlink r:id="rId206" ref="H52"/>
    <hyperlink r:id="rId207" ref="C53"/>
    <hyperlink r:id="rId208" ref="F53"/>
    <hyperlink r:id="rId209" ref="G53"/>
    <hyperlink r:id="rId210" ref="H53"/>
    <hyperlink r:id="rId211" ref="C54"/>
    <hyperlink r:id="rId212" ref="E54"/>
    <hyperlink r:id="rId213" ref="F54"/>
    <hyperlink r:id="rId214" ref="G54"/>
    <hyperlink r:id="rId215" ref="H54"/>
    <hyperlink r:id="rId216" ref="C55"/>
    <hyperlink r:id="rId217" ref="E55"/>
    <hyperlink r:id="rId218" ref="F55"/>
    <hyperlink r:id="rId219" ref="G55"/>
    <hyperlink r:id="rId220" ref="H55"/>
    <hyperlink r:id="rId221" ref="C56"/>
    <hyperlink r:id="rId222" ref="E56"/>
    <hyperlink r:id="rId223" ref="G56"/>
    <hyperlink r:id="rId224" ref="H56"/>
    <hyperlink r:id="rId225" ref="C57"/>
    <hyperlink r:id="rId226" ref="F57"/>
    <hyperlink r:id="rId227" ref="G57"/>
    <hyperlink r:id="rId228" ref="H57"/>
    <hyperlink r:id="rId229" ref="C58"/>
    <hyperlink r:id="rId230" ref="E58"/>
    <hyperlink r:id="rId231" ref="G58"/>
    <hyperlink r:id="rId232" ref="H58"/>
    <hyperlink r:id="rId233" ref="C59"/>
    <hyperlink r:id="rId234" ref="D59"/>
    <hyperlink r:id="rId235" ref="F59"/>
    <hyperlink r:id="rId236" ref="G59"/>
    <hyperlink r:id="rId237" ref="H59"/>
    <hyperlink r:id="rId238" ref="C60"/>
    <hyperlink r:id="rId239" ref="F60"/>
    <hyperlink r:id="rId240" ref="G60"/>
    <hyperlink r:id="rId241" ref="H60"/>
    <hyperlink r:id="rId242" ref="C61"/>
    <hyperlink r:id="rId243" ref="E61"/>
    <hyperlink r:id="rId244" ref="G61"/>
    <hyperlink r:id="rId245" ref="H61"/>
    <hyperlink r:id="rId246" ref="C62"/>
    <hyperlink r:id="rId247" ref="F62"/>
    <hyperlink r:id="rId248" ref="G62"/>
    <hyperlink r:id="rId249" ref="H62"/>
    <hyperlink r:id="rId250" ref="C63"/>
    <hyperlink r:id="rId251" ref="E63"/>
    <hyperlink r:id="rId252" ref="F63"/>
    <hyperlink r:id="rId253" ref="G63"/>
    <hyperlink r:id="rId254" ref="H63"/>
    <hyperlink r:id="rId255" ref="C64"/>
    <hyperlink r:id="rId256" ref="F64"/>
    <hyperlink r:id="rId257" ref="G64"/>
    <hyperlink r:id="rId258" ref="H64"/>
    <hyperlink r:id="rId259" ref="C65"/>
    <hyperlink r:id="rId260" ref="E65"/>
    <hyperlink r:id="rId261" ref="F65"/>
    <hyperlink r:id="rId262" ref="G65"/>
    <hyperlink r:id="rId263" ref="H65"/>
    <hyperlink r:id="rId264" ref="C66"/>
    <hyperlink r:id="rId265" ref="E66"/>
    <hyperlink r:id="rId266" ref="G66"/>
    <hyperlink r:id="rId267" ref="H66"/>
    <hyperlink r:id="rId268" ref="C67"/>
    <hyperlink r:id="rId269" ref="D67"/>
    <hyperlink r:id="rId270" ref="F67"/>
    <hyperlink r:id="rId271" ref="G67"/>
    <hyperlink r:id="rId272" ref="H67"/>
    <hyperlink r:id="rId273" ref="C68"/>
    <hyperlink r:id="rId274" ref="E68"/>
    <hyperlink r:id="rId275" ref="F68"/>
    <hyperlink r:id="rId276" ref="G68"/>
    <hyperlink r:id="rId277" ref="H68"/>
    <hyperlink r:id="rId278" ref="C69"/>
    <hyperlink r:id="rId279" ref="E69"/>
    <hyperlink r:id="rId280" ref="G69"/>
    <hyperlink r:id="rId281" ref="H69"/>
    <hyperlink r:id="rId282" ref="C70"/>
    <hyperlink r:id="rId283" ref="F70"/>
    <hyperlink r:id="rId284" ref="G70"/>
    <hyperlink r:id="rId285" ref="H70"/>
    <hyperlink r:id="rId286" ref="C71"/>
    <hyperlink r:id="rId287" ref="F71"/>
    <hyperlink r:id="rId288" ref="G71"/>
    <hyperlink r:id="rId289" ref="H71"/>
    <hyperlink r:id="rId290" ref="C72"/>
    <hyperlink r:id="rId291" ref="F72"/>
    <hyperlink r:id="rId292" ref="G72"/>
    <hyperlink r:id="rId293" ref="H72"/>
    <hyperlink r:id="rId294" ref="C73"/>
    <hyperlink r:id="rId295" ref="E73"/>
    <hyperlink r:id="rId296" ref="G73"/>
    <hyperlink r:id="rId297" ref="H73"/>
    <hyperlink r:id="rId298" ref="C74"/>
    <hyperlink r:id="rId299" ref="E74"/>
    <hyperlink r:id="rId300" ref="F74"/>
    <hyperlink r:id="rId301" ref="G74"/>
    <hyperlink r:id="rId302" ref="H74"/>
    <hyperlink r:id="rId303" ref="C75"/>
    <hyperlink r:id="rId304" ref="G75"/>
    <hyperlink r:id="rId305" ref="H75"/>
    <hyperlink r:id="rId306" ref="C76"/>
    <hyperlink r:id="rId307" ref="F76"/>
    <hyperlink r:id="rId308" ref="G76"/>
    <hyperlink r:id="rId309" ref="H76"/>
    <hyperlink r:id="rId310" ref="C77"/>
    <hyperlink r:id="rId311" ref="F77"/>
    <hyperlink r:id="rId312" ref="G77"/>
    <hyperlink r:id="rId313" ref="H77"/>
    <hyperlink r:id="rId314" ref="C78"/>
    <hyperlink r:id="rId315" ref="E78"/>
    <hyperlink r:id="rId316" ref="F78"/>
    <hyperlink r:id="rId317" ref="G78"/>
    <hyperlink r:id="rId318" ref="H78"/>
    <hyperlink r:id="rId319" ref="C79"/>
    <hyperlink r:id="rId320" ref="F79"/>
    <hyperlink r:id="rId321" ref="G79"/>
    <hyperlink r:id="rId322" ref="H79"/>
    <hyperlink r:id="rId323" ref="C80"/>
    <hyperlink r:id="rId324" ref="E80"/>
    <hyperlink r:id="rId325" ref="F80"/>
    <hyperlink r:id="rId326" ref="G80"/>
    <hyperlink r:id="rId327" ref="H80"/>
    <hyperlink r:id="rId328" ref="C81"/>
    <hyperlink r:id="rId329" ref="E81"/>
    <hyperlink r:id="rId330" ref="F81"/>
    <hyperlink r:id="rId331" ref="G81"/>
    <hyperlink r:id="rId332" ref="H81"/>
    <hyperlink r:id="rId333" ref="C82"/>
    <hyperlink r:id="rId334" ref="E82"/>
    <hyperlink r:id="rId335" ref="F82"/>
    <hyperlink r:id="rId336" ref="G82"/>
    <hyperlink r:id="rId337" ref="H82"/>
    <hyperlink r:id="rId338" ref="C83"/>
    <hyperlink r:id="rId339" ref="D83"/>
    <hyperlink r:id="rId340" ref="F83"/>
    <hyperlink r:id="rId341" ref="G83"/>
    <hyperlink r:id="rId342" ref="H83"/>
    <hyperlink r:id="rId343" ref="C84"/>
    <hyperlink r:id="rId344" ref="D84"/>
    <hyperlink r:id="rId345" ref="E84"/>
    <hyperlink r:id="rId346" ref="F84"/>
    <hyperlink r:id="rId347" ref="G84"/>
    <hyperlink r:id="rId348" ref="H84"/>
    <hyperlink r:id="rId349" ref="C85"/>
    <hyperlink r:id="rId350" ref="D85"/>
    <hyperlink r:id="rId351" ref="F85"/>
    <hyperlink r:id="rId352" ref="G85"/>
    <hyperlink r:id="rId353" ref="H85"/>
    <hyperlink r:id="rId354" ref="C86"/>
    <hyperlink r:id="rId355" ref="F86"/>
    <hyperlink r:id="rId356" ref="G86"/>
    <hyperlink r:id="rId357" ref="H86"/>
    <hyperlink r:id="rId358" ref="C87"/>
    <hyperlink r:id="rId359" ref="F87"/>
    <hyperlink r:id="rId360" ref="G87"/>
    <hyperlink r:id="rId361" ref="H87"/>
    <hyperlink r:id="rId362" ref="C88"/>
    <hyperlink r:id="rId363" ref="D88"/>
    <hyperlink r:id="rId364" ref="F88"/>
    <hyperlink r:id="rId365" ref="G88"/>
    <hyperlink r:id="rId366" ref="H88"/>
    <hyperlink r:id="rId367" ref="C89"/>
    <hyperlink r:id="rId368" ref="D89"/>
    <hyperlink r:id="rId369" ref="E89"/>
    <hyperlink r:id="rId370" ref="F89"/>
    <hyperlink r:id="rId371" ref="G89"/>
    <hyperlink r:id="rId372" ref="H89"/>
    <hyperlink r:id="rId373" ref="C90"/>
    <hyperlink r:id="rId374" ref="G90"/>
    <hyperlink r:id="rId375" ref="H90"/>
    <hyperlink r:id="rId376" ref="C91"/>
    <hyperlink r:id="rId377" location="slide=id.g31a65f9177f_0_0" ref="D91"/>
    <hyperlink r:id="rId378" ref="F91"/>
    <hyperlink r:id="rId379" ref="G91"/>
    <hyperlink r:id="rId380" ref="H91"/>
    <hyperlink r:id="rId381" ref="C92"/>
    <hyperlink r:id="rId382" ref="D92"/>
    <hyperlink r:id="rId383" ref="F92"/>
    <hyperlink r:id="rId384" ref="G92"/>
    <hyperlink r:id="rId385" ref="H92"/>
    <hyperlink r:id="rId386" ref="C93"/>
    <hyperlink r:id="rId387" ref="F93"/>
    <hyperlink r:id="rId388" ref="G93"/>
    <hyperlink r:id="rId389" ref="H93"/>
    <hyperlink r:id="rId390" ref="C94"/>
    <hyperlink r:id="rId391" ref="D94"/>
    <hyperlink r:id="rId392" ref="G94"/>
    <hyperlink r:id="rId393" ref="H94"/>
    <hyperlink r:id="rId394" ref="C95"/>
    <hyperlink r:id="rId395" ref="E95"/>
    <hyperlink r:id="rId396" ref="F95"/>
    <hyperlink r:id="rId397" ref="G95"/>
    <hyperlink r:id="rId398" ref="H95"/>
    <hyperlink r:id="rId399" ref="C96"/>
    <hyperlink r:id="rId400" ref="D96"/>
    <hyperlink r:id="rId401" ref="F96"/>
    <hyperlink r:id="rId402" ref="G96"/>
    <hyperlink r:id="rId403" ref="H96"/>
    <hyperlink r:id="rId404" ref="C97"/>
    <hyperlink r:id="rId405" ref="F97"/>
    <hyperlink r:id="rId406" ref="G97"/>
    <hyperlink r:id="rId407" ref="H97"/>
    <hyperlink r:id="rId408" ref="C98"/>
    <hyperlink r:id="rId409" ref="E98"/>
    <hyperlink r:id="rId410" ref="F98"/>
    <hyperlink r:id="rId411" ref="G98"/>
    <hyperlink r:id="rId412" ref="H98"/>
    <hyperlink r:id="rId413" ref="C99"/>
    <hyperlink r:id="rId414" ref="E99"/>
    <hyperlink r:id="rId415" ref="F99"/>
    <hyperlink r:id="rId416" ref="G99"/>
    <hyperlink r:id="rId417" ref="H99"/>
    <hyperlink r:id="rId418" ref="C100"/>
    <hyperlink r:id="rId419" ref="D100"/>
    <hyperlink r:id="rId420" ref="G100"/>
    <hyperlink r:id="rId421" ref="H100"/>
    <hyperlink r:id="rId422" ref="C101"/>
    <hyperlink r:id="rId423" ref="F101"/>
    <hyperlink r:id="rId424" ref="G101"/>
    <hyperlink r:id="rId425" ref="H101"/>
    <hyperlink r:id="rId426" ref="C102"/>
    <hyperlink r:id="rId427" ref="E102"/>
    <hyperlink r:id="rId428" ref="F102"/>
    <hyperlink r:id="rId429" ref="G102"/>
    <hyperlink r:id="rId430" ref="H102"/>
    <hyperlink r:id="rId431" ref="C103"/>
    <hyperlink r:id="rId432" ref="G103"/>
    <hyperlink r:id="rId433" ref="H103"/>
    <hyperlink r:id="rId434" ref="C104"/>
    <hyperlink r:id="rId435" ref="G104"/>
    <hyperlink r:id="rId436" ref="H104"/>
    <hyperlink r:id="rId437" ref="C105"/>
    <hyperlink r:id="rId438" ref="F105"/>
    <hyperlink r:id="rId439" ref="G105"/>
    <hyperlink r:id="rId440" ref="H105"/>
    <hyperlink r:id="rId441" ref="C106"/>
    <hyperlink r:id="rId442" ref="F106"/>
    <hyperlink r:id="rId443" ref="G106"/>
    <hyperlink r:id="rId444" ref="H106"/>
    <hyperlink r:id="rId445" ref="C110"/>
    <hyperlink r:id="rId446" ref="F110"/>
    <hyperlink r:id="rId447" ref="G110"/>
    <hyperlink r:id="rId448" ref="H110"/>
    <hyperlink r:id="rId449" ref="C111"/>
    <hyperlink r:id="rId450" ref="D111"/>
    <hyperlink r:id="rId451" ref="E111"/>
    <hyperlink r:id="rId452" ref="F111"/>
    <hyperlink r:id="rId453" ref="G111"/>
    <hyperlink r:id="rId454" ref="H111"/>
    <hyperlink r:id="rId455" ref="C112"/>
    <hyperlink r:id="rId456" ref="D112"/>
    <hyperlink r:id="rId457" ref="F112"/>
    <hyperlink r:id="rId458" ref="G112"/>
    <hyperlink r:id="rId459" ref="H112"/>
    <hyperlink r:id="rId460" ref="C113"/>
    <hyperlink r:id="rId461" ref="F113"/>
    <hyperlink r:id="rId462" ref="G113"/>
    <hyperlink r:id="rId463" ref="H113"/>
    <hyperlink r:id="rId464" ref="C114"/>
    <hyperlink r:id="rId465" ref="G114"/>
    <hyperlink r:id="rId466" ref="H114"/>
    <hyperlink r:id="rId467" ref="C115"/>
    <hyperlink r:id="rId468" ref="F115"/>
    <hyperlink r:id="rId469" ref="G115"/>
    <hyperlink r:id="rId470" ref="H115"/>
    <hyperlink r:id="rId471" ref="C116"/>
    <hyperlink r:id="rId472" ref="D116"/>
    <hyperlink r:id="rId473" ref="E116"/>
    <hyperlink r:id="rId474" ref="F116"/>
    <hyperlink r:id="rId475" ref="G116"/>
    <hyperlink r:id="rId476" ref="H116"/>
    <hyperlink r:id="rId477" ref="C117"/>
    <hyperlink r:id="rId478" ref="F117"/>
    <hyperlink r:id="rId479" ref="G117"/>
    <hyperlink r:id="rId480" ref="H117"/>
    <hyperlink r:id="rId481" ref="C118"/>
    <hyperlink r:id="rId482" ref="E118"/>
    <hyperlink r:id="rId483" ref="F118"/>
    <hyperlink r:id="rId484" ref="G118"/>
    <hyperlink r:id="rId485" ref="H118"/>
    <hyperlink r:id="rId486" ref="C119"/>
    <hyperlink r:id="rId487" ref="E119"/>
    <hyperlink r:id="rId488" ref="F119"/>
    <hyperlink r:id="rId489" ref="G119"/>
    <hyperlink r:id="rId490" ref="H119"/>
    <hyperlink r:id="rId491" ref="C120"/>
    <hyperlink r:id="rId492" ref="E120"/>
    <hyperlink r:id="rId493" ref="F120"/>
    <hyperlink r:id="rId494" ref="G120"/>
    <hyperlink r:id="rId495" ref="H120"/>
    <hyperlink r:id="rId496" ref="C121"/>
    <hyperlink r:id="rId497" ref="E121"/>
    <hyperlink r:id="rId498" ref="F121"/>
    <hyperlink r:id="rId499" ref="G121"/>
    <hyperlink r:id="rId500" ref="H121"/>
    <hyperlink r:id="rId501" ref="C122"/>
    <hyperlink r:id="rId502" ref="G122"/>
    <hyperlink r:id="rId503" ref="H122"/>
    <hyperlink r:id="rId504" ref="C123"/>
    <hyperlink r:id="rId505" ref="E123"/>
    <hyperlink r:id="rId506" ref="F123"/>
    <hyperlink r:id="rId507" ref="G123"/>
    <hyperlink r:id="rId508" ref="H123"/>
    <hyperlink r:id="rId509" ref="C124"/>
    <hyperlink r:id="rId510" ref="F124"/>
    <hyperlink r:id="rId511" ref="G124"/>
    <hyperlink r:id="rId512" ref="H124"/>
    <hyperlink r:id="rId513" ref="C125"/>
    <hyperlink r:id="rId514" ref="G125"/>
    <hyperlink r:id="rId515" ref="C126"/>
    <hyperlink r:id="rId516" ref="F126"/>
    <hyperlink r:id="rId517" ref="G126"/>
    <hyperlink r:id="rId518" ref="H126"/>
    <hyperlink r:id="rId519" ref="C127"/>
    <hyperlink r:id="rId520" ref="F127"/>
    <hyperlink r:id="rId521" ref="G127"/>
    <hyperlink r:id="rId522" ref="H127"/>
    <hyperlink r:id="rId523" ref="C128"/>
    <hyperlink r:id="rId524" ref="F128"/>
    <hyperlink r:id="rId525" ref="G128"/>
    <hyperlink r:id="rId526" ref="H128"/>
    <hyperlink r:id="rId527" ref="C129"/>
    <hyperlink r:id="rId528" ref="E129"/>
    <hyperlink r:id="rId529" ref="F129"/>
    <hyperlink r:id="rId530" ref="G129"/>
    <hyperlink r:id="rId531" ref="H129"/>
    <hyperlink r:id="rId532" ref="C130"/>
    <hyperlink r:id="rId533" ref="E130"/>
    <hyperlink r:id="rId534" ref="F130"/>
    <hyperlink r:id="rId535" ref="G130"/>
    <hyperlink r:id="rId536" ref="H130"/>
    <hyperlink r:id="rId537" ref="C131"/>
    <hyperlink r:id="rId538" ref="D131"/>
    <hyperlink r:id="rId539" ref="E131"/>
    <hyperlink r:id="rId540" ref="F131"/>
    <hyperlink r:id="rId541" ref="G131"/>
    <hyperlink r:id="rId542" ref="H131"/>
    <hyperlink r:id="rId543" ref="C132"/>
    <hyperlink r:id="rId544" ref="F132"/>
    <hyperlink r:id="rId545" ref="G132"/>
    <hyperlink r:id="rId546" ref="H132"/>
    <hyperlink r:id="rId547" ref="C133"/>
    <hyperlink r:id="rId548" ref="G133"/>
    <hyperlink r:id="rId549" ref="H133"/>
    <hyperlink r:id="rId550" ref="C134"/>
    <hyperlink r:id="rId551" ref="F134"/>
    <hyperlink r:id="rId552" ref="G134"/>
    <hyperlink r:id="rId553" ref="H134"/>
    <hyperlink r:id="rId554" ref="C135"/>
    <hyperlink r:id="rId555" ref="D135"/>
    <hyperlink r:id="rId556" ref="F135"/>
    <hyperlink r:id="rId557" ref="G135"/>
    <hyperlink r:id="rId558" ref="H135"/>
    <hyperlink r:id="rId559" ref="C136"/>
    <hyperlink r:id="rId560" ref="E136"/>
    <hyperlink r:id="rId561" ref="F136"/>
    <hyperlink r:id="rId562" ref="G136"/>
    <hyperlink r:id="rId563" ref="H136"/>
    <hyperlink r:id="rId564" ref="C137"/>
    <hyperlink r:id="rId565" ref="F137"/>
    <hyperlink r:id="rId566" ref="G137"/>
    <hyperlink r:id="rId567" ref="H137"/>
    <hyperlink r:id="rId568" ref="C138"/>
    <hyperlink r:id="rId569" ref="E138"/>
    <hyperlink r:id="rId570" ref="F138"/>
    <hyperlink r:id="rId571" ref="G138"/>
    <hyperlink r:id="rId572" ref="H138"/>
    <hyperlink r:id="rId573" ref="C139"/>
    <hyperlink r:id="rId574" ref="E139"/>
    <hyperlink r:id="rId575" ref="G139"/>
    <hyperlink r:id="rId576" ref="H139"/>
    <hyperlink r:id="rId577" ref="C140"/>
    <hyperlink r:id="rId578" ref="E140"/>
    <hyperlink r:id="rId579" ref="G140"/>
    <hyperlink r:id="rId580" ref="H140"/>
    <hyperlink r:id="rId581" ref="C141"/>
    <hyperlink r:id="rId582" ref="D141"/>
    <hyperlink r:id="rId583" ref="F141"/>
    <hyperlink r:id="rId584" ref="G141"/>
    <hyperlink r:id="rId585" ref="H141"/>
    <hyperlink r:id="rId586" ref="C142"/>
    <hyperlink r:id="rId587" ref="F142"/>
    <hyperlink r:id="rId588" ref="G142"/>
    <hyperlink r:id="rId589" ref="H142"/>
    <hyperlink r:id="rId590" ref="C143"/>
    <hyperlink r:id="rId591" ref="F143"/>
    <hyperlink r:id="rId592" ref="G143"/>
    <hyperlink r:id="rId593" ref="H143"/>
    <hyperlink r:id="rId594" ref="C144"/>
    <hyperlink r:id="rId595" ref="E144"/>
    <hyperlink r:id="rId596" ref="F144"/>
    <hyperlink r:id="rId597" ref="G144"/>
    <hyperlink r:id="rId598" ref="H144"/>
    <hyperlink r:id="rId599" ref="C145"/>
    <hyperlink r:id="rId600" ref="G145"/>
    <hyperlink r:id="rId601" ref="H145"/>
    <hyperlink r:id="rId602" ref="C146"/>
    <hyperlink r:id="rId603" ref="G146"/>
    <hyperlink r:id="rId604" ref="H146"/>
    <hyperlink r:id="rId605" ref="C147"/>
    <hyperlink r:id="rId606" ref="G147"/>
    <hyperlink r:id="rId607" ref="H147"/>
    <hyperlink r:id="rId608" ref="C148"/>
    <hyperlink r:id="rId609" ref="F148"/>
    <hyperlink r:id="rId610" ref="G148"/>
    <hyperlink r:id="rId611" ref="H148"/>
    <hyperlink r:id="rId612" ref="C149"/>
    <hyperlink r:id="rId613" location="slide=id.p" ref="D149"/>
    <hyperlink r:id="rId614" ref="F149"/>
    <hyperlink r:id="rId615" ref="G149"/>
    <hyperlink r:id="rId616" ref="H149"/>
    <hyperlink r:id="rId617" ref="C150"/>
    <hyperlink r:id="rId618" ref="F150"/>
    <hyperlink r:id="rId619" ref="G150"/>
    <hyperlink r:id="rId620" ref="H150"/>
    <hyperlink r:id="rId621" ref="C151"/>
    <hyperlink r:id="rId622" ref="G151"/>
    <hyperlink r:id="rId623" ref="H151"/>
    <hyperlink r:id="rId624" ref="C152"/>
    <hyperlink r:id="rId625" ref="G152"/>
    <hyperlink r:id="rId626" ref="H152"/>
    <hyperlink r:id="rId627" ref="C153"/>
    <hyperlink r:id="rId628" ref="F153"/>
    <hyperlink r:id="rId629" ref="G153"/>
    <hyperlink r:id="rId630" ref="H153"/>
    <hyperlink r:id="rId631" ref="C154"/>
    <hyperlink r:id="rId632" ref="E154"/>
    <hyperlink r:id="rId633" ref="G154"/>
    <hyperlink r:id="rId634" ref="H154"/>
    <hyperlink r:id="rId635" ref="C155"/>
    <hyperlink r:id="rId636" ref="G155"/>
    <hyperlink r:id="rId637" ref="H155"/>
    <hyperlink r:id="rId638" ref="C156"/>
    <hyperlink r:id="rId639" ref="E156"/>
    <hyperlink r:id="rId640" ref="F156"/>
    <hyperlink r:id="rId641" ref="G156"/>
    <hyperlink r:id="rId642" ref="H156"/>
    <hyperlink r:id="rId643" ref="C157"/>
    <hyperlink r:id="rId644" ref="E157"/>
    <hyperlink r:id="rId645" ref="G157"/>
    <hyperlink r:id="rId646" ref="H157"/>
    <hyperlink r:id="rId647" ref="C158"/>
    <hyperlink r:id="rId648" ref="G158"/>
    <hyperlink r:id="rId649" ref="H158"/>
    <hyperlink r:id="rId650" ref="C159"/>
    <hyperlink r:id="rId651" ref="E159"/>
    <hyperlink r:id="rId652" ref="F159"/>
    <hyperlink r:id="rId653" ref="G159"/>
    <hyperlink r:id="rId654" ref="H159"/>
    <hyperlink r:id="rId655" ref="C160"/>
    <hyperlink r:id="rId656" ref="F160"/>
    <hyperlink r:id="rId657" ref="G160"/>
    <hyperlink r:id="rId658" ref="H160"/>
    <hyperlink r:id="rId659" ref="C161"/>
    <hyperlink r:id="rId660" ref="F161"/>
    <hyperlink r:id="rId661" ref="G161"/>
    <hyperlink r:id="rId662" ref="H161"/>
    <hyperlink r:id="rId663" ref="C162"/>
    <hyperlink r:id="rId664" ref="D162"/>
    <hyperlink r:id="rId665" ref="F162"/>
    <hyperlink r:id="rId666" ref="G162"/>
    <hyperlink r:id="rId667" ref="H162"/>
    <hyperlink r:id="rId668" ref="C163"/>
    <hyperlink r:id="rId669" ref="E163"/>
    <hyperlink r:id="rId670" ref="F163"/>
    <hyperlink r:id="rId671" ref="G163"/>
    <hyperlink r:id="rId672" ref="H163"/>
    <hyperlink r:id="rId673" ref="C164"/>
    <hyperlink r:id="rId674" ref="E164"/>
    <hyperlink r:id="rId675" ref="G164"/>
    <hyperlink r:id="rId676" ref="H164"/>
    <hyperlink r:id="rId677" ref="C165"/>
    <hyperlink r:id="rId678" ref="E165"/>
    <hyperlink r:id="rId679" ref="F165"/>
    <hyperlink r:id="rId680" ref="G165"/>
    <hyperlink r:id="rId681" ref="H165"/>
    <hyperlink r:id="rId682" ref="C166"/>
    <hyperlink r:id="rId683" ref="F166"/>
    <hyperlink r:id="rId684" ref="G166"/>
    <hyperlink r:id="rId685" ref="H166"/>
    <hyperlink r:id="rId686" ref="C167"/>
    <hyperlink r:id="rId687" ref="C168"/>
    <hyperlink r:id="rId688" ref="D168"/>
    <hyperlink r:id="rId689" ref="F168"/>
    <hyperlink r:id="rId690" ref="C169"/>
    <hyperlink r:id="rId691" ref="F169"/>
    <hyperlink r:id="rId692" ref="C170"/>
    <hyperlink r:id="rId693" ref="F170"/>
    <hyperlink r:id="rId694" ref="C171"/>
    <hyperlink r:id="rId695" ref="C172"/>
    <hyperlink r:id="rId696" ref="D172"/>
    <hyperlink r:id="rId697" ref="C189"/>
    <hyperlink r:id="rId698" ref="F189"/>
    <hyperlink r:id="rId699" ref="G189"/>
    <hyperlink r:id="rId700" ref="H189"/>
    <hyperlink r:id="rId701" ref="C190"/>
    <hyperlink r:id="rId702" ref="G190"/>
    <hyperlink r:id="rId703" ref="H190"/>
    <hyperlink r:id="rId704" ref="C191"/>
    <hyperlink r:id="rId705" ref="D191"/>
    <hyperlink r:id="rId706" ref="F191"/>
    <hyperlink r:id="rId707" ref="G191"/>
    <hyperlink r:id="rId708" ref="H191"/>
    <hyperlink r:id="rId709" ref="C192"/>
    <hyperlink r:id="rId710" ref="E192"/>
    <hyperlink r:id="rId711" ref="F192"/>
    <hyperlink r:id="rId712" ref="C193"/>
    <hyperlink r:id="rId713" ref="F193"/>
    <hyperlink r:id="rId714" ref="C194"/>
    <hyperlink r:id="rId715" ref="E194"/>
    <hyperlink r:id="rId716" ref="F194"/>
    <hyperlink r:id="rId717" ref="C195"/>
    <hyperlink r:id="rId718" ref="F195"/>
    <hyperlink r:id="rId719" ref="C196"/>
    <hyperlink r:id="rId720" ref="E196"/>
    <hyperlink r:id="rId721" ref="F196"/>
    <hyperlink r:id="rId722" ref="G196"/>
    <hyperlink r:id="rId723" ref="H196"/>
    <hyperlink r:id="rId724" ref="C197"/>
    <hyperlink r:id="rId725" ref="C198"/>
    <hyperlink r:id="rId726" ref="C200"/>
    <hyperlink r:id="rId727" ref="F200"/>
    <hyperlink r:id="rId728" ref="G200"/>
    <hyperlink r:id="rId729" ref="H200"/>
    <hyperlink r:id="rId730" ref="C201"/>
    <hyperlink r:id="rId731" ref="E201"/>
    <hyperlink r:id="rId732" ref="G201"/>
    <hyperlink r:id="rId733" ref="C202"/>
    <hyperlink r:id="rId734" ref="E202"/>
    <hyperlink r:id="rId735" ref="C203"/>
    <hyperlink r:id="rId736" ref="F203"/>
    <hyperlink r:id="rId737" ref="C207"/>
    <hyperlink r:id="rId738" ref="E207"/>
    <hyperlink r:id="rId739" ref="G207"/>
    <hyperlink r:id="rId740" ref="H207"/>
    <hyperlink r:id="rId741" ref="C208"/>
    <hyperlink r:id="rId742" ref="D208"/>
    <hyperlink r:id="rId743" ref="E208"/>
    <hyperlink r:id="rId744" ref="F208"/>
    <hyperlink r:id="rId745" ref="G208"/>
    <hyperlink r:id="rId746" ref="H208"/>
    <hyperlink r:id="rId747" ref="C209"/>
    <hyperlink r:id="rId748" ref="F209"/>
    <hyperlink r:id="rId749" ref="G209"/>
    <hyperlink r:id="rId750" ref="H209"/>
    <hyperlink r:id="rId751" ref="C210"/>
    <hyperlink r:id="rId752" ref="F210"/>
    <hyperlink r:id="rId753" ref="G210"/>
    <hyperlink r:id="rId754" ref="H210"/>
    <hyperlink r:id="rId755" ref="C211"/>
    <hyperlink r:id="rId756" ref="D211"/>
    <hyperlink r:id="rId757" ref="F211"/>
    <hyperlink r:id="rId758" ref="G211"/>
    <hyperlink r:id="rId759" ref="H211"/>
    <hyperlink r:id="rId760" ref="C212"/>
    <hyperlink r:id="rId761" ref="D212"/>
    <hyperlink r:id="rId762" ref="E212"/>
    <hyperlink r:id="rId763" ref="G212"/>
    <hyperlink r:id="rId764" ref="H212"/>
    <hyperlink r:id="rId765" ref="C213"/>
    <hyperlink r:id="rId766" ref="E213"/>
    <hyperlink r:id="rId767" ref="G213"/>
    <hyperlink r:id="rId768" ref="H213"/>
    <hyperlink r:id="rId769" ref="C214"/>
    <hyperlink r:id="rId770" ref="E214"/>
    <hyperlink r:id="rId771" ref="F214"/>
    <hyperlink r:id="rId772" ref="G214"/>
    <hyperlink r:id="rId773" ref="H214"/>
    <hyperlink r:id="rId774" ref="C215"/>
    <hyperlink r:id="rId775" ref="E215"/>
    <hyperlink r:id="rId776" ref="F215"/>
    <hyperlink r:id="rId777" ref="G215"/>
    <hyperlink r:id="rId778" ref="H215"/>
    <hyperlink r:id="rId779" ref="C216"/>
    <hyperlink r:id="rId780" ref="F216"/>
    <hyperlink r:id="rId781" ref="G216"/>
    <hyperlink r:id="rId782" ref="H216"/>
    <hyperlink r:id="rId783" ref="C217"/>
    <hyperlink r:id="rId784" ref="E217"/>
    <hyperlink r:id="rId785" ref="F217"/>
    <hyperlink r:id="rId786" ref="G217"/>
    <hyperlink r:id="rId787" ref="H217"/>
    <hyperlink r:id="rId788" ref="C218"/>
    <hyperlink r:id="rId789" ref="D218"/>
    <hyperlink r:id="rId790" ref="G218"/>
    <hyperlink r:id="rId791" ref="H218"/>
    <hyperlink r:id="rId792" ref="C219"/>
    <hyperlink r:id="rId793" ref="F219"/>
    <hyperlink r:id="rId794" ref="G219"/>
    <hyperlink r:id="rId795" ref="H219"/>
    <hyperlink r:id="rId796" ref="C220"/>
    <hyperlink r:id="rId797" ref="D220"/>
    <hyperlink r:id="rId798" ref="E220"/>
    <hyperlink r:id="rId799" ref="F220"/>
    <hyperlink r:id="rId800" ref="G220"/>
    <hyperlink r:id="rId801" ref="H220"/>
    <hyperlink r:id="rId802" ref="C221"/>
    <hyperlink r:id="rId803" ref="E221"/>
    <hyperlink r:id="rId804" ref="G221"/>
    <hyperlink r:id="rId805" ref="H221"/>
    <hyperlink r:id="rId806" ref="C222"/>
    <hyperlink r:id="rId807" ref="D222"/>
    <hyperlink r:id="rId808" ref="E222"/>
    <hyperlink r:id="rId809" ref="F222"/>
    <hyperlink r:id="rId810" ref="G222"/>
    <hyperlink r:id="rId811" ref="H222"/>
    <hyperlink r:id="rId812" ref="C223"/>
    <hyperlink r:id="rId813" ref="E223"/>
    <hyperlink r:id="rId814" ref="F223"/>
    <hyperlink r:id="rId815" ref="G223"/>
    <hyperlink r:id="rId816" ref="H223"/>
    <hyperlink r:id="rId817" ref="C224"/>
    <hyperlink r:id="rId818" ref="F224"/>
    <hyperlink r:id="rId819" ref="G224"/>
    <hyperlink r:id="rId820" ref="H224"/>
    <hyperlink r:id="rId821" ref="C225"/>
    <hyperlink r:id="rId822" ref="E225"/>
    <hyperlink r:id="rId823" ref="C226"/>
    <hyperlink r:id="rId824" ref="E226"/>
    <hyperlink r:id="rId825" ref="F226"/>
    <hyperlink r:id="rId826" ref="G226"/>
    <hyperlink r:id="rId827" ref="H226"/>
    <hyperlink r:id="rId828" ref="C227"/>
    <hyperlink r:id="rId829" ref="F227"/>
    <hyperlink r:id="rId830" ref="C228"/>
    <hyperlink r:id="rId831" ref="E228"/>
    <hyperlink r:id="rId832" ref="G228"/>
    <hyperlink r:id="rId833" ref="H228"/>
    <hyperlink r:id="rId834" ref="C229"/>
    <hyperlink r:id="rId835" ref="C230"/>
    <hyperlink r:id="rId836" ref="F230"/>
    <hyperlink r:id="rId837" ref="G230"/>
    <hyperlink r:id="rId838" ref="H230"/>
    <hyperlink r:id="rId839" ref="C231"/>
    <hyperlink r:id="rId840" location="pitch" ref="E231"/>
    <hyperlink r:id="rId841" ref="G231"/>
    <hyperlink r:id="rId842" ref="H231"/>
    <hyperlink r:id="rId843" ref="C232"/>
    <hyperlink r:id="rId844" ref="E232"/>
    <hyperlink r:id="rId845" ref="G232"/>
    <hyperlink r:id="rId846" ref="H232"/>
    <hyperlink r:id="rId847" ref="C233"/>
    <hyperlink r:id="rId848" ref="G233"/>
    <hyperlink r:id="rId849" ref="H233"/>
    <hyperlink r:id="rId850" ref="C234"/>
    <hyperlink r:id="rId851" ref="E234"/>
    <hyperlink r:id="rId852" ref="G234"/>
    <hyperlink r:id="rId853" ref="H234"/>
    <hyperlink r:id="rId854" ref="C235"/>
    <hyperlink r:id="rId855" ref="F235"/>
    <hyperlink r:id="rId856" ref="H235"/>
    <hyperlink r:id="rId857" ref="C236"/>
    <hyperlink r:id="rId858" ref="E236"/>
    <hyperlink r:id="rId859" ref="G236"/>
    <hyperlink r:id="rId860" ref="H236"/>
    <hyperlink r:id="rId861" ref="C237"/>
    <hyperlink r:id="rId862" ref="F237"/>
    <hyperlink r:id="rId863" ref="G237"/>
    <hyperlink r:id="rId864" ref="H237"/>
    <hyperlink r:id="rId865" ref="C238"/>
    <hyperlink r:id="rId866" ref="F238"/>
    <hyperlink r:id="rId867" ref="G238"/>
    <hyperlink r:id="rId868" ref="H238"/>
    <hyperlink r:id="rId869" ref="C239"/>
    <hyperlink r:id="rId870" ref="E239"/>
    <hyperlink r:id="rId871" ref="F239"/>
    <hyperlink r:id="rId872" ref="G239"/>
    <hyperlink r:id="rId873" ref="H239"/>
    <hyperlink r:id="rId874" ref="C240"/>
    <hyperlink r:id="rId875" ref="G240"/>
    <hyperlink r:id="rId876" ref="H240"/>
    <hyperlink r:id="rId877" ref="C241"/>
    <hyperlink r:id="rId878" ref="G241"/>
    <hyperlink r:id="rId879" ref="H241"/>
    <hyperlink r:id="rId880" ref="C242"/>
    <hyperlink r:id="rId881" ref="F242"/>
    <hyperlink r:id="rId882" ref="G242"/>
    <hyperlink r:id="rId883" ref="H242"/>
    <hyperlink r:id="rId884" ref="C243"/>
    <hyperlink r:id="rId885" ref="F243"/>
    <hyperlink r:id="rId886" ref="G243"/>
    <hyperlink r:id="rId887" ref="H243"/>
    <hyperlink r:id="rId888" ref="C244"/>
    <hyperlink r:id="rId889" ref="G244"/>
    <hyperlink r:id="rId890" ref="H244"/>
    <hyperlink r:id="rId891" ref="C245"/>
    <hyperlink r:id="rId892" ref="E245"/>
    <hyperlink r:id="rId893" ref="G245"/>
    <hyperlink r:id="rId894" ref="H245"/>
    <hyperlink r:id="rId895" ref="C246"/>
    <hyperlink r:id="rId896" ref="E246"/>
    <hyperlink r:id="rId897" ref="F246"/>
    <hyperlink r:id="rId898" ref="G246"/>
    <hyperlink r:id="rId899" ref="H246"/>
    <hyperlink r:id="rId900" ref="C247"/>
    <hyperlink r:id="rId901" ref="D247"/>
    <hyperlink r:id="rId902" location="pitch" ref="E247"/>
    <hyperlink r:id="rId903" ref="F247"/>
    <hyperlink r:id="rId904" ref="G247"/>
    <hyperlink r:id="rId905" ref="H247"/>
  </hyperlinks>
  <printOptions gridLines="1" horizontalCentered="1"/>
  <pageMargins bottom="0.75" footer="0.0" header="0.0" left="0.25" right="0.25" top="0.75"/>
  <pageSetup paperSize="8" cellComments="atEnd" orientation="landscape" pageOrder="overThenDown"/>
  <drawing r:id="rId906"/>
  <legacyDrawing r:id="rId90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75"/>
    <col customWidth="1" min="2" max="2" width="9.38"/>
    <col customWidth="1" min="4" max="4" width="18.75"/>
    <col customWidth="1" min="5" max="5" width="17.88"/>
    <col customWidth="1" min="6" max="6" width="85.0"/>
  </cols>
  <sheetData>
    <row r="1">
      <c r="A1" s="19" t="s">
        <v>422</v>
      </c>
      <c r="B1" s="19" t="s">
        <v>5</v>
      </c>
      <c r="C1" s="19" t="s">
        <v>7</v>
      </c>
      <c r="D1" s="19" t="s">
        <v>10</v>
      </c>
      <c r="E1" s="19" t="s">
        <v>425</v>
      </c>
      <c r="F1" s="19" t="s">
        <v>32</v>
      </c>
      <c r="G1" s="135"/>
      <c r="H1" s="14"/>
    </row>
    <row r="2">
      <c r="A2" s="14"/>
      <c r="B2" s="14"/>
      <c r="C2" s="14"/>
      <c r="D2" s="14"/>
      <c r="E2" s="14"/>
      <c r="F2" s="14"/>
      <c r="G2" s="14"/>
      <c r="H2" s="14"/>
    </row>
    <row r="3">
      <c r="A3" s="30" t="s">
        <v>429</v>
      </c>
      <c r="B3" s="32"/>
      <c r="C3" s="33"/>
      <c r="D3" s="32"/>
      <c r="E3" s="32"/>
      <c r="F3" s="32"/>
      <c r="G3" s="32"/>
      <c r="H3" s="32"/>
      <c r="I3" s="34"/>
      <c r="J3" s="34"/>
      <c r="K3" s="34"/>
      <c r="L3" s="34"/>
      <c r="M3" s="34"/>
      <c r="N3" s="34"/>
      <c r="O3" s="34"/>
      <c r="P3" s="34"/>
      <c r="Q3" s="32"/>
      <c r="R3" s="32"/>
      <c r="S3" s="32"/>
      <c r="T3" s="32"/>
      <c r="U3" s="32"/>
    </row>
    <row r="4">
      <c r="A4" s="14"/>
      <c r="B4" s="14"/>
      <c r="C4" s="14"/>
      <c r="D4" s="14"/>
      <c r="E4" s="14"/>
      <c r="F4" s="14"/>
      <c r="G4" s="14"/>
      <c r="H4" s="14"/>
    </row>
    <row r="5">
      <c r="A5" s="137" t="s">
        <v>432</v>
      </c>
      <c r="B5" s="122" t="s">
        <v>179</v>
      </c>
      <c r="C5" s="71" t="s">
        <v>434</v>
      </c>
      <c r="D5" s="71" t="s">
        <v>436</v>
      </c>
      <c r="E5" s="122" t="s">
        <v>197</v>
      </c>
      <c r="F5" s="122" t="s">
        <v>439</v>
      </c>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row>
    <row r="6">
      <c r="A6" s="138" t="s">
        <v>440</v>
      </c>
      <c r="B6" s="64" t="s">
        <v>60</v>
      </c>
      <c r="C6" s="71" t="s">
        <v>442</v>
      </c>
      <c r="D6" s="71" t="s">
        <v>449</v>
      </c>
      <c r="E6" s="71" t="s">
        <v>451</v>
      </c>
      <c r="F6" s="64" t="s">
        <v>453</v>
      </c>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row>
    <row r="7">
      <c r="A7" s="140" t="s">
        <v>455</v>
      </c>
      <c r="B7" s="141" t="s">
        <v>456</v>
      </c>
      <c r="C7" s="142" t="s">
        <v>457</v>
      </c>
      <c r="D7" s="142" t="s">
        <v>460</v>
      </c>
      <c r="E7" s="145" t="s">
        <v>463</v>
      </c>
      <c r="F7" s="146" t="s">
        <v>471</v>
      </c>
      <c r="G7" s="147"/>
      <c r="H7" s="147"/>
    </row>
    <row r="8">
      <c r="A8" s="148" t="s">
        <v>472</v>
      </c>
      <c r="B8" s="40" t="s">
        <v>60</v>
      </c>
      <c r="C8" s="52" t="s">
        <v>473</v>
      </c>
      <c r="D8" s="40" t="s">
        <v>153</v>
      </c>
      <c r="E8" s="52" t="s">
        <v>475</v>
      </c>
      <c r="F8" s="64" t="s">
        <v>477</v>
      </c>
      <c r="G8" s="152"/>
      <c r="H8" s="153"/>
    </row>
    <row r="9">
      <c r="A9" s="140" t="s">
        <v>478</v>
      </c>
      <c r="B9" s="141" t="s">
        <v>469</v>
      </c>
      <c r="C9" s="98" t="s">
        <v>479</v>
      </c>
      <c r="D9" s="98" t="s">
        <v>481</v>
      </c>
      <c r="E9" s="145" t="s">
        <v>486</v>
      </c>
      <c r="F9" s="146" t="s">
        <v>153</v>
      </c>
      <c r="G9" s="147"/>
      <c r="H9" s="147"/>
    </row>
    <row r="10">
      <c r="A10" s="137" t="s">
        <v>490</v>
      </c>
      <c r="B10" s="122" t="s">
        <v>60</v>
      </c>
      <c r="C10" s="155" t="s">
        <v>491</v>
      </c>
      <c r="D10" s="155" t="s">
        <v>494</v>
      </c>
      <c r="E10" s="139" t="s">
        <v>496</v>
      </c>
      <c r="F10" s="122" t="s">
        <v>500</v>
      </c>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row>
    <row r="11">
      <c r="A11" s="140" t="s">
        <v>505</v>
      </c>
      <c r="B11" s="141" t="s">
        <v>179</v>
      </c>
      <c r="C11" s="142" t="s">
        <v>506</v>
      </c>
      <c r="D11" s="142" t="s">
        <v>509</v>
      </c>
      <c r="E11" s="59" t="s">
        <v>511</v>
      </c>
      <c r="F11" s="146" t="s">
        <v>153</v>
      </c>
      <c r="G11" s="147"/>
      <c r="H11" s="147"/>
    </row>
    <row r="12">
      <c r="A12" s="140" t="s">
        <v>513</v>
      </c>
      <c r="B12" s="141" t="s">
        <v>456</v>
      </c>
      <c r="C12" s="142" t="s">
        <v>514</v>
      </c>
      <c r="D12" s="142" t="s">
        <v>516</v>
      </c>
      <c r="E12" s="156" t="s">
        <v>153</v>
      </c>
      <c r="F12" s="146" t="s">
        <v>519</v>
      </c>
      <c r="G12" s="147"/>
      <c r="H12" s="147"/>
    </row>
    <row r="13">
      <c r="A13" s="140" t="s">
        <v>523</v>
      </c>
      <c r="B13" s="141" t="s">
        <v>524</v>
      </c>
      <c r="C13" s="98" t="s">
        <v>525</v>
      </c>
      <c r="D13" s="98" t="s">
        <v>529</v>
      </c>
      <c r="E13" s="98" t="s">
        <v>531</v>
      </c>
      <c r="F13" s="146" t="s">
        <v>533</v>
      </c>
      <c r="G13" s="153"/>
      <c r="H13" s="153"/>
    </row>
    <row r="14">
      <c r="A14" s="148" t="s">
        <v>534</v>
      </c>
      <c r="B14" s="141" t="s">
        <v>456</v>
      </c>
      <c r="C14" s="84" t="s">
        <v>535</v>
      </c>
      <c r="D14" s="84" t="s">
        <v>537</v>
      </c>
      <c r="E14" s="83" t="s">
        <v>197</v>
      </c>
      <c r="F14" s="83" t="s">
        <v>544</v>
      </c>
    </row>
    <row r="15">
      <c r="A15" s="148" t="s">
        <v>546</v>
      </c>
      <c r="B15" s="83" t="s">
        <v>302</v>
      </c>
      <c r="C15" s="84" t="s">
        <v>547</v>
      </c>
      <c r="D15" s="83" t="s">
        <v>549</v>
      </c>
      <c r="E15" s="14"/>
      <c r="F15" s="83" t="s">
        <v>550</v>
      </c>
    </row>
    <row r="16">
      <c r="A16" s="148" t="s">
        <v>551</v>
      </c>
      <c r="B16" s="146" t="s">
        <v>254</v>
      </c>
      <c r="C16" s="157" t="s">
        <v>552</v>
      </c>
      <c r="D16" s="158" t="s">
        <v>555</v>
      </c>
      <c r="E16" s="157" t="s">
        <v>557</v>
      </c>
      <c r="F16" s="146" t="s">
        <v>561</v>
      </c>
      <c r="G16" s="152"/>
      <c r="H16" s="153"/>
    </row>
    <row r="17">
      <c r="A17" s="148" t="s">
        <v>563</v>
      </c>
      <c r="B17" s="146" t="s">
        <v>564</v>
      </c>
      <c r="C17" s="157" t="s">
        <v>565</v>
      </c>
      <c r="D17" s="149" t="s">
        <v>571</v>
      </c>
      <c r="E17" s="157" t="s">
        <v>574</v>
      </c>
      <c r="F17" s="146" t="s">
        <v>576</v>
      </c>
      <c r="G17" s="152"/>
      <c r="H17" s="153"/>
    </row>
    <row r="19">
      <c r="A19" s="30" t="s">
        <v>577</v>
      </c>
      <c r="B19" s="32"/>
      <c r="C19" s="33"/>
      <c r="D19" s="32"/>
      <c r="E19" s="32"/>
      <c r="F19" s="32"/>
      <c r="G19" s="32"/>
      <c r="H19" s="32"/>
      <c r="I19" s="34"/>
      <c r="J19" s="34"/>
      <c r="K19" s="34"/>
      <c r="L19" s="34"/>
      <c r="M19" s="34"/>
      <c r="N19" s="34"/>
      <c r="O19" s="34"/>
      <c r="P19" s="34"/>
      <c r="Q19" s="32"/>
      <c r="R19" s="32"/>
      <c r="S19" s="32"/>
      <c r="T19" s="32"/>
      <c r="U19" s="32"/>
    </row>
    <row r="21">
      <c r="A21" s="140" t="s">
        <v>579</v>
      </c>
      <c r="B21" s="141" t="s">
        <v>254</v>
      </c>
      <c r="C21" s="98" t="s">
        <v>580</v>
      </c>
      <c r="D21" s="156" t="s">
        <v>153</v>
      </c>
      <c r="E21" s="98" t="s">
        <v>586</v>
      </c>
      <c r="F21" s="146" t="s">
        <v>589</v>
      </c>
      <c r="G21" s="147"/>
      <c r="H21" s="147"/>
    </row>
    <row r="22">
      <c r="A22" s="140" t="s">
        <v>590</v>
      </c>
      <c r="B22" s="141" t="s">
        <v>194</v>
      </c>
      <c r="C22" s="142" t="s">
        <v>591</v>
      </c>
      <c r="D22" s="98" t="s">
        <v>593</v>
      </c>
      <c r="E22" s="98" t="s">
        <v>594</v>
      </c>
      <c r="F22" s="146" t="s">
        <v>597</v>
      </c>
      <c r="G22" s="147"/>
      <c r="H22" s="147"/>
    </row>
    <row r="23">
      <c r="A23" s="148" t="s">
        <v>598</v>
      </c>
      <c r="B23" s="40" t="s">
        <v>179</v>
      </c>
      <c r="C23" s="125" t="s">
        <v>599</v>
      </c>
      <c r="D23" s="40" t="s">
        <v>601</v>
      </c>
      <c r="E23" s="71" t="s">
        <v>602</v>
      </c>
      <c r="F23" s="69" t="s">
        <v>604</v>
      </c>
      <c r="G23" s="153"/>
      <c r="H23" s="153"/>
    </row>
    <row r="24">
      <c r="A24" s="160" t="s">
        <v>605</v>
      </c>
      <c r="B24" s="83" t="s">
        <v>179</v>
      </c>
      <c r="C24" s="84" t="s">
        <v>609</v>
      </c>
      <c r="D24" s="84" t="s">
        <v>614</v>
      </c>
      <c r="E24" s="14"/>
      <c r="F24" s="83" t="s">
        <v>616</v>
      </c>
    </row>
    <row r="25">
      <c r="A25" s="140" t="s">
        <v>618</v>
      </c>
      <c r="B25" s="141" t="s">
        <v>60</v>
      </c>
      <c r="C25" s="98" t="s">
        <v>619</v>
      </c>
      <c r="D25" s="142" t="s">
        <v>621</v>
      </c>
      <c r="E25" s="98" t="s">
        <v>622</v>
      </c>
      <c r="F25" s="146" t="s">
        <v>624</v>
      </c>
      <c r="G25" s="147"/>
      <c r="H25" s="147"/>
    </row>
    <row r="26">
      <c r="A26" s="140" t="s">
        <v>625</v>
      </c>
      <c r="B26" s="141" t="s">
        <v>60</v>
      </c>
      <c r="C26" s="98" t="s">
        <v>626</v>
      </c>
      <c r="D26" s="98" t="s">
        <v>630</v>
      </c>
      <c r="E26" s="145" t="s">
        <v>636</v>
      </c>
      <c r="F26" s="146" t="s">
        <v>638</v>
      </c>
      <c r="G26" s="161"/>
      <c r="H26" s="147"/>
    </row>
    <row r="27">
      <c r="A27" s="140" t="s">
        <v>640</v>
      </c>
      <c r="B27" s="141" t="s">
        <v>179</v>
      </c>
      <c r="C27" s="142" t="s">
        <v>641</v>
      </c>
      <c r="D27" s="98" t="s">
        <v>644</v>
      </c>
      <c r="E27" s="161" t="s">
        <v>197</v>
      </c>
      <c r="F27" s="146" t="s">
        <v>646</v>
      </c>
      <c r="G27" s="147"/>
      <c r="H27" s="147"/>
    </row>
    <row r="28">
      <c r="A28" s="140" t="s">
        <v>647</v>
      </c>
      <c r="B28" s="141" t="s">
        <v>267</v>
      </c>
      <c r="C28" s="142" t="s">
        <v>648</v>
      </c>
      <c r="D28" s="98" t="s">
        <v>651</v>
      </c>
      <c r="E28" s="161" t="s">
        <v>197</v>
      </c>
      <c r="F28" s="146" t="s">
        <v>657</v>
      </c>
      <c r="G28" s="147"/>
      <c r="H28" s="147"/>
    </row>
    <row r="29">
      <c r="A29" s="140" t="s">
        <v>658</v>
      </c>
      <c r="B29" s="141"/>
      <c r="C29" s="98" t="s">
        <v>659</v>
      </c>
      <c r="D29" s="98" t="s">
        <v>662</v>
      </c>
      <c r="E29" s="156"/>
      <c r="F29" s="146" t="s">
        <v>663</v>
      </c>
      <c r="G29" s="153"/>
      <c r="H29" s="153"/>
    </row>
    <row r="30">
      <c r="A30" s="140" t="s">
        <v>665</v>
      </c>
      <c r="B30" s="83" t="s">
        <v>179</v>
      </c>
      <c r="C30" s="163" t="s">
        <v>666</v>
      </c>
      <c r="E30" s="85" t="s">
        <v>668</v>
      </c>
      <c r="F30" s="85" t="s">
        <v>669</v>
      </c>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row>
    <row r="31">
      <c r="A31" s="140" t="s">
        <v>670</v>
      </c>
      <c r="B31" s="83" t="s">
        <v>243</v>
      </c>
      <c r="C31" s="163" t="s">
        <v>672</v>
      </c>
      <c r="E31" s="163" t="s">
        <v>677</v>
      </c>
      <c r="F31" s="85" t="s">
        <v>680</v>
      </c>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row>
    <row r="33">
      <c r="A33" s="30" t="s">
        <v>682</v>
      </c>
      <c r="B33" s="32"/>
      <c r="C33" s="33"/>
      <c r="D33" s="32"/>
      <c r="E33" s="32"/>
      <c r="F33" s="32"/>
      <c r="G33" s="32"/>
      <c r="H33" s="32"/>
      <c r="I33" s="34"/>
      <c r="J33" s="34"/>
      <c r="K33" s="34"/>
      <c r="L33" s="34"/>
      <c r="M33" s="34"/>
      <c r="N33" s="34"/>
      <c r="O33" s="34"/>
      <c r="P33" s="34"/>
      <c r="Q33" s="32"/>
      <c r="R33" s="32"/>
      <c r="S33" s="32"/>
      <c r="T33" s="32"/>
      <c r="U33" s="32"/>
    </row>
    <row r="35">
      <c r="A35" s="140" t="s">
        <v>684</v>
      </c>
      <c r="B35" s="141" t="s">
        <v>254</v>
      </c>
      <c r="C35" s="142" t="s">
        <v>685</v>
      </c>
      <c r="D35" s="147"/>
      <c r="E35" s="147"/>
      <c r="F35" s="146" t="s">
        <v>686</v>
      </c>
      <c r="G35" s="153"/>
      <c r="H35" s="153"/>
    </row>
    <row r="36">
      <c r="A36" s="140" t="s">
        <v>687</v>
      </c>
      <c r="B36" s="85" t="s">
        <v>194</v>
      </c>
    </row>
    <row r="37">
      <c r="A37" s="140" t="s">
        <v>688</v>
      </c>
      <c r="B37" s="85" t="s">
        <v>689</v>
      </c>
      <c r="C37" s="167" t="s">
        <v>690</v>
      </c>
      <c r="F37" s="85" t="s">
        <v>694</v>
      </c>
    </row>
    <row r="39">
      <c r="A39" s="168" t="s">
        <v>697</v>
      </c>
      <c r="B39" s="169"/>
      <c r="C39" s="171"/>
      <c r="D39" s="169"/>
      <c r="E39" s="169"/>
      <c r="F39" s="169"/>
      <c r="G39" s="169"/>
      <c r="H39" s="169"/>
      <c r="I39" s="172"/>
      <c r="J39" s="172"/>
      <c r="K39" s="172"/>
      <c r="L39" s="172"/>
      <c r="M39" s="172"/>
      <c r="N39" s="172"/>
      <c r="O39" s="172"/>
      <c r="P39" s="172"/>
      <c r="Q39" s="169"/>
      <c r="R39" s="169"/>
      <c r="S39" s="169"/>
      <c r="T39" s="169"/>
      <c r="U39" s="169"/>
    </row>
    <row r="40">
      <c r="A40" s="17"/>
      <c r="B40" s="22"/>
      <c r="C40" s="21"/>
      <c r="D40" s="22"/>
      <c r="E40" s="22"/>
      <c r="F40" s="22"/>
      <c r="G40" s="22"/>
      <c r="H40" s="22"/>
      <c r="I40" s="43"/>
      <c r="J40" s="43"/>
      <c r="K40" s="43"/>
      <c r="L40" s="43"/>
      <c r="M40" s="43"/>
      <c r="N40" s="43"/>
      <c r="O40" s="43"/>
      <c r="P40" s="43"/>
      <c r="Q40" s="22"/>
      <c r="R40" s="22"/>
      <c r="S40" s="22"/>
      <c r="T40" s="22"/>
      <c r="U40" s="22"/>
    </row>
    <row r="41">
      <c r="A41" s="174" t="s">
        <v>702</v>
      </c>
      <c r="B41" s="141" t="s">
        <v>456</v>
      </c>
      <c r="C41" s="142" t="s">
        <v>703</v>
      </c>
      <c r="D41" s="142" t="s">
        <v>703</v>
      </c>
      <c r="E41" s="175" t="s">
        <v>705</v>
      </c>
      <c r="F41" s="146" t="s">
        <v>707</v>
      </c>
      <c r="G41" s="147"/>
      <c r="H41" s="147"/>
    </row>
    <row r="42">
      <c r="A42" s="148" t="s">
        <v>708</v>
      </c>
      <c r="B42" s="40" t="s">
        <v>179</v>
      </c>
      <c r="C42" s="125" t="s">
        <v>709</v>
      </c>
      <c r="D42" s="55" t="s">
        <v>711</v>
      </c>
      <c r="E42" s="176" t="s">
        <v>197</v>
      </c>
      <c r="F42" s="69" t="s">
        <v>714</v>
      </c>
      <c r="G42" s="96"/>
    </row>
    <row r="43">
      <c r="A43" s="148" t="s">
        <v>716</v>
      </c>
      <c r="B43" s="141" t="s">
        <v>179</v>
      </c>
      <c r="C43" s="98" t="s">
        <v>717</v>
      </c>
      <c r="D43" s="98" t="s">
        <v>723</v>
      </c>
      <c r="E43" s="98" t="s">
        <v>725</v>
      </c>
      <c r="F43" s="146" t="s">
        <v>726</v>
      </c>
      <c r="G43" s="147"/>
      <c r="H43" s="147"/>
    </row>
    <row r="44">
      <c r="A44" s="148" t="s">
        <v>728</v>
      </c>
      <c r="B44" s="141" t="s">
        <v>218</v>
      </c>
      <c r="C44" s="101" t="s">
        <v>729</v>
      </c>
      <c r="D44" s="101" t="s">
        <v>731</v>
      </c>
      <c r="E44" s="101" t="s">
        <v>732</v>
      </c>
      <c r="F44" s="64" t="s">
        <v>734</v>
      </c>
      <c r="G44" s="152"/>
      <c r="H44" s="153"/>
    </row>
    <row r="45">
      <c r="A45" s="148" t="s">
        <v>737</v>
      </c>
      <c r="B45" s="177" t="s">
        <v>179</v>
      </c>
      <c r="C45" s="98" t="s">
        <v>738</v>
      </c>
      <c r="D45" s="98" t="s">
        <v>744</v>
      </c>
      <c r="E45" s="178" t="s">
        <v>746</v>
      </c>
      <c r="F45" s="146" t="s">
        <v>153</v>
      </c>
      <c r="G45" s="147"/>
      <c r="H45" s="147"/>
    </row>
    <row r="46">
      <c r="A46" s="140" t="s">
        <v>749</v>
      </c>
      <c r="B46" s="141" t="s">
        <v>194</v>
      </c>
      <c r="C46" s="142" t="s">
        <v>750</v>
      </c>
      <c r="D46" s="141" t="s">
        <v>754</v>
      </c>
      <c r="E46" s="145" t="s">
        <v>755</v>
      </c>
      <c r="F46" s="146" t="s">
        <v>761</v>
      </c>
      <c r="G46" s="147"/>
      <c r="H46" s="147"/>
    </row>
    <row r="47">
      <c r="A47" s="140" t="s">
        <v>763</v>
      </c>
      <c r="B47" s="141" t="s">
        <v>179</v>
      </c>
      <c r="C47" s="142" t="s">
        <v>764</v>
      </c>
      <c r="D47" s="142" t="s">
        <v>765</v>
      </c>
      <c r="E47" s="145" t="s">
        <v>768</v>
      </c>
      <c r="F47" s="146" t="s">
        <v>153</v>
      </c>
      <c r="G47" s="147"/>
      <c r="H47" s="147"/>
    </row>
    <row r="48">
      <c r="A48" s="140" t="s">
        <v>771</v>
      </c>
      <c r="B48" s="141" t="s">
        <v>179</v>
      </c>
      <c r="C48" s="98" t="s">
        <v>774</v>
      </c>
      <c r="D48" s="141" t="s">
        <v>780</v>
      </c>
      <c r="E48" s="145" t="s">
        <v>781</v>
      </c>
      <c r="F48" s="146" t="s">
        <v>153</v>
      </c>
      <c r="G48" s="147"/>
      <c r="H48" s="147"/>
    </row>
    <row r="49">
      <c r="A49" s="140" t="s">
        <v>783</v>
      </c>
      <c r="B49" s="141" t="s">
        <v>179</v>
      </c>
      <c r="C49" s="98" t="s">
        <v>784</v>
      </c>
      <c r="D49" s="141" t="s">
        <v>786</v>
      </c>
      <c r="E49" s="83" t="s">
        <v>197</v>
      </c>
      <c r="F49" s="146" t="s">
        <v>787</v>
      </c>
      <c r="G49" s="147"/>
      <c r="H49" s="147"/>
    </row>
  </sheetData>
  <hyperlinks>
    <hyperlink r:id="rId4" ref="C5"/>
    <hyperlink r:id="rId5" ref="D5"/>
    <hyperlink r:id="rId6" ref="C6"/>
    <hyperlink r:id="rId7" ref="D6"/>
    <hyperlink r:id="rId8" ref="E6"/>
    <hyperlink r:id="rId9" ref="C7"/>
    <hyperlink r:id="rId10" ref="D7"/>
    <hyperlink r:id="rId11" ref="E7"/>
    <hyperlink r:id="rId12" ref="C8"/>
    <hyperlink r:id="rId13" ref="E8"/>
    <hyperlink r:id="rId14" ref="C9"/>
    <hyperlink r:id="rId15" ref="D9"/>
    <hyperlink r:id="rId16" ref="E9"/>
    <hyperlink r:id="rId17" ref="C10"/>
    <hyperlink r:id="rId18" ref="D10"/>
    <hyperlink r:id="rId19" ref="E10"/>
    <hyperlink r:id="rId20" ref="C11"/>
    <hyperlink r:id="rId21" ref="D11"/>
    <hyperlink r:id="rId22" ref="E11"/>
    <hyperlink r:id="rId23" ref="C12"/>
    <hyperlink r:id="rId24" ref="D12"/>
    <hyperlink r:id="rId25" ref="C13"/>
    <hyperlink r:id="rId26" location="apply" ref="D13"/>
    <hyperlink r:id="rId27" ref="E13"/>
    <hyperlink r:id="rId28" ref="C14"/>
    <hyperlink r:id="rId29" ref="D14"/>
    <hyperlink r:id="rId30" ref="C15"/>
    <hyperlink r:id="rId31" ref="C16"/>
    <hyperlink r:id="rId32" ref="D16"/>
    <hyperlink r:id="rId33" ref="E16"/>
    <hyperlink r:id="rId34" ref="C17"/>
    <hyperlink r:id="rId35" ref="D17"/>
    <hyperlink r:id="rId36" ref="E17"/>
    <hyperlink r:id="rId37" ref="C21"/>
    <hyperlink r:id="rId38" ref="E21"/>
    <hyperlink r:id="rId39" ref="C22"/>
    <hyperlink r:id="rId40" location="aabc23a0-2980-43a8-a0ee-b7ec5e4a76df" ref="D22"/>
    <hyperlink r:id="rId41" ref="E22"/>
    <hyperlink r:id="rId42" ref="C23"/>
    <hyperlink r:id="rId43" ref="E23"/>
    <hyperlink r:id="rId44" ref="C24"/>
    <hyperlink r:id="rId45" ref="D24"/>
    <hyperlink r:id="rId46" ref="C25"/>
    <hyperlink r:id="rId47" ref="D25"/>
    <hyperlink r:id="rId48" ref="E25"/>
    <hyperlink r:id="rId49" ref="C26"/>
    <hyperlink r:id="rId50" ref="D26"/>
    <hyperlink r:id="rId51" ref="E26"/>
    <hyperlink r:id="rId52" ref="C27"/>
    <hyperlink r:id="rId53" ref="D27"/>
    <hyperlink r:id="rId54" ref="C28"/>
    <hyperlink r:id="rId55" ref="D28"/>
    <hyperlink r:id="rId56" ref="C29"/>
    <hyperlink r:id="rId57" ref="D29"/>
    <hyperlink r:id="rId58" ref="C30"/>
    <hyperlink r:id="rId59" ref="C31"/>
    <hyperlink r:id="rId60" ref="E31"/>
    <hyperlink r:id="rId61" ref="C35"/>
    <hyperlink r:id="rId62" ref="C37"/>
    <hyperlink r:id="rId63" ref="C41"/>
    <hyperlink r:id="rId64" ref="D41"/>
    <hyperlink r:id="rId65" ref="E41"/>
    <hyperlink r:id="rId66" ref="C42"/>
    <hyperlink r:id="rId67" ref="D42"/>
    <hyperlink r:id="rId68" ref="C43"/>
    <hyperlink r:id="rId69" ref="D43"/>
    <hyperlink r:id="rId70" ref="E43"/>
    <hyperlink r:id="rId71" ref="C44"/>
    <hyperlink r:id="rId72" ref="D44"/>
    <hyperlink r:id="rId73" ref="E44"/>
    <hyperlink r:id="rId74" ref="C45"/>
    <hyperlink r:id="rId75" ref="D45"/>
    <hyperlink r:id="rId76" ref="E45"/>
    <hyperlink r:id="rId77" ref="C46"/>
    <hyperlink r:id="rId78" ref="E46"/>
    <hyperlink r:id="rId79" ref="C47"/>
    <hyperlink r:id="rId80" ref="D47"/>
    <hyperlink r:id="rId81" ref="E47"/>
    <hyperlink r:id="rId82" ref="C48"/>
    <hyperlink r:id="rId83" ref="E48"/>
    <hyperlink r:id="rId84" ref="C49"/>
  </hyperlinks>
  <drawing r:id="rId85"/>
  <legacyDrawing r:id="rId8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63"/>
    <col customWidth="1" min="2" max="2" width="13.38"/>
    <col customWidth="1" min="3" max="3" width="39.0"/>
    <col customWidth="1" min="4" max="4" width="39.63"/>
    <col customWidth="1" min="5" max="5" width="22.0"/>
    <col customWidth="1" min="6" max="7" width="193.0"/>
  </cols>
  <sheetData>
    <row r="1">
      <c r="A1" s="19" t="s">
        <v>422</v>
      </c>
      <c r="B1" s="19" t="s">
        <v>5</v>
      </c>
      <c r="C1" s="19" t="s">
        <v>7</v>
      </c>
      <c r="D1" s="19" t="s">
        <v>10</v>
      </c>
      <c r="E1" s="19" t="s">
        <v>425</v>
      </c>
      <c r="F1" s="19"/>
      <c r="G1" s="19" t="s">
        <v>32</v>
      </c>
      <c r="H1" s="135"/>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row>
    <row r="2">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ht="15.75" customHeight="1">
      <c r="A3" s="30" t="s">
        <v>429</v>
      </c>
      <c r="B3" s="32"/>
      <c r="C3" s="33"/>
      <c r="D3" s="32"/>
      <c r="E3" s="32"/>
      <c r="F3" s="32"/>
      <c r="G3" s="32"/>
      <c r="H3" s="32"/>
      <c r="I3" s="32"/>
      <c r="J3" s="34"/>
      <c r="K3" s="34"/>
      <c r="L3" s="34"/>
      <c r="M3" s="34"/>
      <c r="N3" s="34"/>
      <c r="O3" s="34"/>
      <c r="P3" s="34"/>
      <c r="Q3" s="34"/>
      <c r="R3" s="32"/>
      <c r="S3" s="32"/>
      <c r="T3" s="32"/>
      <c r="U3" s="32"/>
      <c r="V3" s="32"/>
      <c r="W3" s="14"/>
      <c r="X3" s="14"/>
      <c r="Y3" s="14"/>
      <c r="Z3" s="14"/>
      <c r="AA3" s="14"/>
      <c r="AB3" s="14"/>
      <c r="AC3" s="14"/>
      <c r="AD3" s="14"/>
      <c r="AE3" s="14"/>
      <c r="AF3" s="14"/>
      <c r="AG3" s="14"/>
      <c r="AH3" s="14"/>
      <c r="AI3" s="14"/>
      <c r="AJ3" s="14"/>
      <c r="AK3" s="14"/>
      <c r="AL3" s="14"/>
      <c r="AM3" s="14"/>
      <c r="AN3" s="14"/>
      <c r="AO3" s="14"/>
    </row>
    <row r="4" ht="15.7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 r="A5" s="138" t="s">
        <v>909</v>
      </c>
      <c r="B5" s="64" t="s">
        <v>179</v>
      </c>
      <c r="C5" s="71" t="s">
        <v>913</v>
      </c>
      <c r="D5" s="176" t="s">
        <v>917</v>
      </c>
      <c r="E5" s="122"/>
      <c r="F5" s="64"/>
      <c r="G5" s="64" t="s">
        <v>918</v>
      </c>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row>
    <row r="6">
      <c r="A6" s="137" t="s">
        <v>432</v>
      </c>
      <c r="B6" s="122" t="s">
        <v>179</v>
      </c>
      <c r="C6" s="71" t="s">
        <v>920</v>
      </c>
      <c r="D6" s="71" t="s">
        <v>436</v>
      </c>
      <c r="E6" s="122" t="s">
        <v>197</v>
      </c>
      <c r="F6" s="64"/>
      <c r="G6" s="64" t="s">
        <v>929</v>
      </c>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row>
    <row r="7">
      <c r="A7" s="138" t="s">
        <v>440</v>
      </c>
      <c r="B7" s="64" t="s">
        <v>60</v>
      </c>
      <c r="C7" s="71" t="s">
        <v>442</v>
      </c>
      <c r="D7" s="71" t="s">
        <v>449</v>
      </c>
      <c r="E7" s="71" t="s">
        <v>451</v>
      </c>
      <c r="F7" s="64"/>
      <c r="G7" s="64" t="s">
        <v>453</v>
      </c>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row>
    <row r="8">
      <c r="A8" s="140" t="s">
        <v>455</v>
      </c>
      <c r="B8" s="141" t="s">
        <v>456</v>
      </c>
      <c r="C8" s="98" t="s">
        <v>457</v>
      </c>
      <c r="D8" s="98" t="s">
        <v>460</v>
      </c>
      <c r="E8" s="145" t="s">
        <v>463</v>
      </c>
      <c r="F8" s="146"/>
      <c r="G8" s="146" t="s">
        <v>471</v>
      </c>
      <c r="H8" s="147"/>
      <c r="I8" s="147"/>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row>
    <row r="9">
      <c r="A9" s="148" t="s">
        <v>472</v>
      </c>
      <c r="B9" s="40" t="s">
        <v>60</v>
      </c>
      <c r="C9" s="52" t="s">
        <v>473</v>
      </c>
      <c r="D9" s="40" t="s">
        <v>153</v>
      </c>
      <c r="E9" s="52" t="s">
        <v>475</v>
      </c>
      <c r="F9" s="64"/>
      <c r="G9" s="64" t="s">
        <v>477</v>
      </c>
      <c r="H9" s="152"/>
      <c r="I9" s="147"/>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c r="A10" s="140" t="s">
        <v>478</v>
      </c>
      <c r="B10" s="141" t="s">
        <v>469</v>
      </c>
      <c r="C10" s="98" t="s">
        <v>479</v>
      </c>
      <c r="D10" s="98" t="s">
        <v>481</v>
      </c>
      <c r="E10" s="145" t="s">
        <v>486</v>
      </c>
      <c r="F10" s="146"/>
      <c r="G10" s="146" t="s">
        <v>153</v>
      </c>
      <c r="H10" s="147"/>
      <c r="I10" s="147"/>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c r="A11" s="137" t="s">
        <v>490</v>
      </c>
      <c r="B11" s="122" t="s">
        <v>60</v>
      </c>
      <c r="C11" s="176"/>
      <c r="D11" s="71" t="s">
        <v>494</v>
      </c>
      <c r="E11" s="139" t="s">
        <v>974</v>
      </c>
      <c r="F11" s="122"/>
      <c r="G11" s="122" t="s">
        <v>500</v>
      </c>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row>
    <row r="12">
      <c r="A12" s="140" t="s">
        <v>505</v>
      </c>
      <c r="B12" s="141" t="s">
        <v>179</v>
      </c>
      <c r="C12" s="142" t="s">
        <v>506</v>
      </c>
      <c r="D12" s="142" t="s">
        <v>509</v>
      </c>
      <c r="E12" s="59" t="s">
        <v>511</v>
      </c>
      <c r="F12" s="146"/>
      <c r="G12" s="146" t="s">
        <v>153</v>
      </c>
      <c r="H12" s="147"/>
      <c r="I12" s="147"/>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row>
    <row r="13">
      <c r="A13" s="140" t="s">
        <v>513</v>
      </c>
      <c r="B13" s="141" t="s">
        <v>456</v>
      </c>
      <c r="C13" s="142" t="s">
        <v>514</v>
      </c>
      <c r="D13" s="142" t="s">
        <v>516</v>
      </c>
      <c r="E13" s="156" t="s">
        <v>153</v>
      </c>
      <c r="F13" s="146"/>
      <c r="G13" s="146" t="s">
        <v>998</v>
      </c>
      <c r="H13" s="147"/>
      <c r="I13" s="147"/>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c r="A14" s="140" t="s">
        <v>523</v>
      </c>
      <c r="B14" s="141" t="s">
        <v>524</v>
      </c>
      <c r="C14" s="98" t="s">
        <v>525</v>
      </c>
      <c r="D14" s="98" t="s">
        <v>529</v>
      </c>
      <c r="E14" s="98" t="s">
        <v>531</v>
      </c>
      <c r="F14" s="146"/>
      <c r="G14" s="146" t="s">
        <v>533</v>
      </c>
      <c r="H14" s="147"/>
      <c r="I14" s="147"/>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row>
    <row r="15">
      <c r="A15" s="148" t="s">
        <v>534</v>
      </c>
      <c r="B15" s="141" t="s">
        <v>456</v>
      </c>
      <c r="C15" s="84" t="s">
        <v>535</v>
      </c>
      <c r="D15" s="84" t="s">
        <v>537</v>
      </c>
      <c r="E15" s="83" t="s">
        <v>197</v>
      </c>
      <c r="F15" s="83"/>
      <c r="G15" s="83" t="s">
        <v>544</v>
      </c>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row>
    <row r="16">
      <c r="A16" s="148" t="s">
        <v>546</v>
      </c>
      <c r="B16" s="83" t="s">
        <v>302</v>
      </c>
      <c r="C16" s="84" t="s">
        <v>547</v>
      </c>
      <c r="D16" s="83" t="s">
        <v>549</v>
      </c>
      <c r="E16" s="14"/>
      <c r="F16" s="83"/>
      <c r="G16" s="83" t="s">
        <v>550</v>
      </c>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row>
    <row r="17">
      <c r="A17" s="148" t="s">
        <v>551</v>
      </c>
      <c r="B17" s="146" t="s">
        <v>254</v>
      </c>
      <c r="C17" s="157" t="s">
        <v>1017</v>
      </c>
      <c r="D17" s="158" t="s">
        <v>555</v>
      </c>
      <c r="E17" s="200"/>
      <c r="F17" s="146"/>
      <c r="G17" s="146" t="s">
        <v>561</v>
      </c>
      <c r="H17" s="152"/>
      <c r="I17" s="147"/>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row>
    <row r="18">
      <c r="A18" s="148" t="s">
        <v>563</v>
      </c>
      <c r="B18" s="146" t="s">
        <v>564</v>
      </c>
      <c r="C18" s="157" t="s">
        <v>565</v>
      </c>
      <c r="D18" s="84" t="s">
        <v>1028</v>
      </c>
      <c r="E18" s="157" t="s">
        <v>574</v>
      </c>
      <c r="F18" s="146"/>
      <c r="G18" s="146" t="s">
        <v>576</v>
      </c>
      <c r="H18" s="152"/>
      <c r="I18" s="147"/>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row>
    <row r="19">
      <c r="A19" s="140" t="s">
        <v>1034</v>
      </c>
      <c r="B19" s="141" t="s">
        <v>197</v>
      </c>
      <c r="C19" s="98" t="s">
        <v>1036</v>
      </c>
      <c r="D19" s="84" t="s">
        <v>1039</v>
      </c>
      <c r="E19" s="83" t="s">
        <v>197</v>
      </c>
      <c r="F19" s="146"/>
      <c r="G19" s="146" t="s">
        <v>1042</v>
      </c>
      <c r="H19" s="147"/>
      <c r="I19" s="147"/>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row>
    <row r="20">
      <c r="A20" s="140" t="s">
        <v>1043</v>
      </c>
      <c r="B20" s="141" t="s">
        <v>456</v>
      </c>
      <c r="C20" s="98" t="s">
        <v>1045</v>
      </c>
      <c r="D20" s="84" t="s">
        <v>1047</v>
      </c>
      <c r="E20" s="84" t="s">
        <v>1053</v>
      </c>
      <c r="F20" s="146"/>
      <c r="G20" s="146" t="s">
        <v>1055</v>
      </c>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row>
    <row r="22">
      <c r="A22" s="30" t="s">
        <v>577</v>
      </c>
      <c r="B22" s="32"/>
      <c r="C22" s="33"/>
      <c r="D22" s="32"/>
      <c r="E22" s="32"/>
      <c r="F22" s="32"/>
      <c r="G22" s="32"/>
      <c r="H22" s="32"/>
      <c r="I22" s="32"/>
      <c r="J22" s="34"/>
      <c r="K22" s="34"/>
      <c r="L22" s="34"/>
      <c r="M22" s="34"/>
      <c r="N22" s="34"/>
      <c r="O22" s="34"/>
      <c r="P22" s="34"/>
      <c r="Q22" s="34"/>
      <c r="R22" s="32"/>
      <c r="S22" s="32"/>
      <c r="T22" s="32"/>
      <c r="U22" s="32"/>
      <c r="V22" s="32"/>
      <c r="W22" s="14"/>
      <c r="X22" s="14"/>
      <c r="Y22" s="14"/>
      <c r="Z22" s="14"/>
      <c r="AA22" s="14"/>
      <c r="AB22" s="14"/>
      <c r="AC22" s="14"/>
      <c r="AD22" s="14"/>
      <c r="AE22" s="14"/>
      <c r="AF22" s="14"/>
      <c r="AG22" s="14"/>
      <c r="AH22" s="14"/>
      <c r="AI22" s="14"/>
      <c r="AJ22" s="14"/>
      <c r="AK22" s="14"/>
      <c r="AL22" s="14"/>
      <c r="AM22" s="14"/>
      <c r="AN22" s="14"/>
      <c r="AO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row>
    <row r="24">
      <c r="A24" s="140" t="s">
        <v>579</v>
      </c>
      <c r="B24" s="141" t="s">
        <v>254</v>
      </c>
      <c r="C24" s="98" t="s">
        <v>580</v>
      </c>
      <c r="D24" s="156" t="s">
        <v>153</v>
      </c>
      <c r="E24" s="98" t="s">
        <v>586</v>
      </c>
      <c r="F24" s="146"/>
      <c r="G24" s="146" t="s">
        <v>589</v>
      </c>
      <c r="H24" s="147"/>
      <c r="I24" s="147"/>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row>
    <row r="25">
      <c r="A25" s="140" t="s">
        <v>590</v>
      </c>
      <c r="B25" s="141" t="s">
        <v>194</v>
      </c>
      <c r="C25" s="156" t="s">
        <v>1064</v>
      </c>
      <c r="D25" s="98" t="s">
        <v>593</v>
      </c>
      <c r="E25" s="98" t="s">
        <v>594</v>
      </c>
      <c r="F25" s="146"/>
      <c r="G25" s="146" t="s">
        <v>597</v>
      </c>
      <c r="H25" s="147"/>
      <c r="I25" s="147"/>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row>
    <row r="26">
      <c r="A26" s="148" t="s">
        <v>598</v>
      </c>
      <c r="B26" s="40" t="s">
        <v>179</v>
      </c>
      <c r="C26" s="125" t="s">
        <v>599</v>
      </c>
      <c r="D26" s="40" t="s">
        <v>601</v>
      </c>
      <c r="E26" s="14"/>
      <c r="F26" s="69"/>
      <c r="G26" s="69" t="s">
        <v>604</v>
      </c>
      <c r="H26" s="147"/>
      <c r="I26" s="147"/>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row>
    <row r="27">
      <c r="A27" s="160" t="s">
        <v>605</v>
      </c>
      <c r="B27" s="83" t="s">
        <v>179</v>
      </c>
      <c r="C27" s="84" t="s">
        <v>609</v>
      </c>
      <c r="D27" s="84" t="s">
        <v>614</v>
      </c>
      <c r="E27" s="14"/>
      <c r="F27" s="83"/>
      <c r="G27" s="83" t="s">
        <v>616</v>
      </c>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row>
    <row r="28">
      <c r="A28" s="140" t="s">
        <v>618</v>
      </c>
      <c r="B28" s="141" t="s">
        <v>60</v>
      </c>
      <c r="C28" s="98" t="s">
        <v>619</v>
      </c>
      <c r="D28" s="142" t="s">
        <v>621</v>
      </c>
      <c r="E28" s="98" t="s">
        <v>622</v>
      </c>
      <c r="F28" s="146"/>
      <c r="G28" s="146" t="s">
        <v>624</v>
      </c>
      <c r="H28" s="147"/>
      <c r="I28" s="147"/>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row>
    <row r="29">
      <c r="A29" s="140" t="s">
        <v>625</v>
      </c>
      <c r="B29" s="141" t="s">
        <v>60</v>
      </c>
      <c r="C29" s="98" t="s">
        <v>626</v>
      </c>
      <c r="D29" s="98" t="s">
        <v>630</v>
      </c>
      <c r="E29" s="145" t="s">
        <v>636</v>
      </c>
      <c r="F29" s="146"/>
      <c r="G29" s="146" t="s">
        <v>638</v>
      </c>
      <c r="H29" s="161"/>
      <c r="I29" s="147"/>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row>
    <row r="30">
      <c r="A30" s="140" t="s">
        <v>640</v>
      </c>
      <c r="B30" s="141" t="s">
        <v>179</v>
      </c>
      <c r="C30" s="98" t="s">
        <v>641</v>
      </c>
      <c r="D30" s="98" t="s">
        <v>644</v>
      </c>
      <c r="E30" s="161" t="s">
        <v>197</v>
      </c>
      <c r="F30" s="146"/>
      <c r="G30" s="146" t="s">
        <v>646</v>
      </c>
      <c r="H30" s="147"/>
      <c r="I30" s="147"/>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row r="31">
      <c r="A31" s="140" t="s">
        <v>647</v>
      </c>
      <c r="B31" s="141" t="s">
        <v>267</v>
      </c>
      <c r="C31" s="142" t="s">
        <v>648</v>
      </c>
      <c r="D31" s="98" t="s">
        <v>651</v>
      </c>
      <c r="E31" s="161" t="s">
        <v>197</v>
      </c>
      <c r="F31" s="146"/>
      <c r="G31" s="146" t="s">
        <v>646</v>
      </c>
      <c r="H31" s="147"/>
      <c r="I31" s="147"/>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row>
    <row r="32">
      <c r="A32" s="140" t="s">
        <v>658</v>
      </c>
      <c r="B32" s="141"/>
      <c r="C32" s="98" t="s">
        <v>659</v>
      </c>
      <c r="D32" s="98" t="s">
        <v>662</v>
      </c>
      <c r="E32" s="156"/>
      <c r="F32" s="146"/>
      <c r="G32" s="146" t="s">
        <v>663</v>
      </c>
      <c r="H32" s="147"/>
      <c r="I32" s="147"/>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row>
    <row r="33">
      <c r="A33" s="140" t="s">
        <v>665</v>
      </c>
      <c r="B33" s="83" t="s">
        <v>179</v>
      </c>
      <c r="C33" s="84" t="s">
        <v>666</v>
      </c>
      <c r="D33" s="14"/>
      <c r="E33" s="83" t="s">
        <v>668</v>
      </c>
      <c r="F33" s="83"/>
      <c r="G33" s="83" t="s">
        <v>669</v>
      </c>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row>
    <row r="34">
      <c r="A34" s="140" t="s">
        <v>670</v>
      </c>
      <c r="B34" s="83" t="s">
        <v>243</v>
      </c>
      <c r="C34" s="84" t="s">
        <v>672</v>
      </c>
      <c r="D34" s="14"/>
      <c r="E34" s="84" t="s">
        <v>677</v>
      </c>
      <c r="F34" s="83"/>
      <c r="G34" s="83" t="s">
        <v>680</v>
      </c>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c r="AO34" s="194"/>
    </row>
    <row r="35">
      <c r="A35" s="140" t="s">
        <v>1129</v>
      </c>
      <c r="B35" s="83" t="s">
        <v>469</v>
      </c>
      <c r="C35" s="84" t="s">
        <v>1130</v>
      </c>
      <c r="D35" s="83" t="s">
        <v>1132</v>
      </c>
      <c r="E35" s="84" t="s">
        <v>1133</v>
      </c>
      <c r="F35" s="83"/>
      <c r="G35" s="83" t="s">
        <v>1136</v>
      </c>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c r="AG35" s="194"/>
      <c r="AH35" s="194"/>
      <c r="AI35" s="194"/>
      <c r="AJ35" s="194"/>
      <c r="AK35" s="194"/>
      <c r="AL35" s="194"/>
      <c r="AM35" s="194"/>
      <c r="AN35" s="194"/>
      <c r="AO35" s="19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 r="A37" s="30" t="s">
        <v>682</v>
      </c>
      <c r="B37" s="32"/>
      <c r="C37" s="33"/>
      <c r="D37" s="32"/>
      <c r="E37" s="32"/>
      <c r="F37" s="32"/>
      <c r="G37" s="32"/>
      <c r="H37" s="32"/>
      <c r="I37" s="32"/>
      <c r="J37" s="34"/>
      <c r="K37" s="34"/>
      <c r="L37" s="34"/>
      <c r="M37" s="34"/>
      <c r="N37" s="34"/>
      <c r="O37" s="34"/>
      <c r="P37" s="34"/>
      <c r="Q37" s="34"/>
      <c r="R37" s="32"/>
      <c r="S37" s="32"/>
      <c r="T37" s="32"/>
      <c r="U37" s="32"/>
      <c r="V37" s="32"/>
      <c r="W37" s="14"/>
      <c r="X37" s="14"/>
      <c r="Y37" s="14"/>
      <c r="Z37" s="14"/>
      <c r="AA37" s="14"/>
      <c r="AB37" s="14"/>
      <c r="AC37" s="14"/>
      <c r="AD37" s="14"/>
      <c r="AE37" s="14"/>
      <c r="AF37" s="14"/>
      <c r="AG37" s="14"/>
      <c r="AH37" s="14"/>
      <c r="AI37" s="14"/>
      <c r="AJ37" s="14"/>
      <c r="AK37" s="14"/>
      <c r="AL37" s="14"/>
      <c r="AM37" s="14"/>
      <c r="AN37" s="14"/>
      <c r="AO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ht="18.0" customHeight="1">
      <c r="A39" s="140" t="s">
        <v>684</v>
      </c>
      <c r="B39" s="141" t="s">
        <v>254</v>
      </c>
      <c r="C39" s="142" t="s">
        <v>685</v>
      </c>
      <c r="D39" s="147"/>
      <c r="E39" s="147"/>
      <c r="F39" s="146"/>
      <c r="G39" s="146" t="s">
        <v>686</v>
      </c>
      <c r="H39" s="147"/>
      <c r="I39" s="147"/>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c r="A40" s="140" t="s">
        <v>687</v>
      </c>
      <c r="B40" s="83" t="s">
        <v>194</v>
      </c>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c r="A41" s="140" t="s">
        <v>688</v>
      </c>
      <c r="B41" s="83" t="s">
        <v>689</v>
      </c>
      <c r="C41" s="149" t="s">
        <v>690</v>
      </c>
      <c r="D41" s="14"/>
      <c r="E41" s="14"/>
      <c r="F41" s="83"/>
      <c r="G41" s="83" t="s">
        <v>1153</v>
      </c>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c r="A42" s="140" t="s">
        <v>1155</v>
      </c>
      <c r="B42" s="83" t="s">
        <v>778</v>
      </c>
      <c r="C42" s="149" t="s">
        <v>1156</v>
      </c>
      <c r="D42" s="149" t="s">
        <v>1159</v>
      </c>
      <c r="E42" s="83" t="s">
        <v>197</v>
      </c>
      <c r="F42" s="83"/>
      <c r="G42" s="83" t="s">
        <v>1167</v>
      </c>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c r="A44" s="168" t="s">
        <v>697</v>
      </c>
      <c r="B44" s="169"/>
      <c r="C44" s="171"/>
      <c r="D44" s="169"/>
      <c r="E44" s="169"/>
      <c r="F44" s="169"/>
      <c r="G44" s="169"/>
      <c r="H44" s="169"/>
      <c r="I44" s="169"/>
      <c r="J44" s="172"/>
      <c r="K44" s="172"/>
      <c r="L44" s="172"/>
      <c r="M44" s="172"/>
      <c r="N44" s="172"/>
      <c r="O44" s="172"/>
      <c r="P44" s="172"/>
      <c r="Q44" s="172"/>
      <c r="R44" s="169"/>
      <c r="S44" s="169"/>
      <c r="T44" s="169"/>
      <c r="U44" s="169"/>
      <c r="V44" s="169"/>
      <c r="W44" s="14"/>
      <c r="X44" s="14"/>
      <c r="Y44" s="14"/>
      <c r="Z44" s="14"/>
      <c r="AA44" s="14"/>
      <c r="AB44" s="14"/>
      <c r="AC44" s="14"/>
      <c r="AD44" s="14"/>
      <c r="AE44" s="14"/>
      <c r="AF44" s="14"/>
      <c r="AG44" s="14"/>
      <c r="AH44" s="14"/>
      <c r="AI44" s="14"/>
      <c r="AJ44" s="14"/>
      <c r="AK44" s="14"/>
      <c r="AL44" s="14"/>
      <c r="AM44" s="14"/>
      <c r="AN44" s="14"/>
      <c r="AO44" s="14"/>
    </row>
    <row r="45">
      <c r="A45" s="17"/>
      <c r="B45" s="22"/>
      <c r="C45" s="21"/>
      <c r="D45" s="22"/>
      <c r="E45" s="22"/>
      <c r="F45" s="22"/>
      <c r="G45" s="22"/>
      <c r="H45" s="22"/>
      <c r="I45" s="22"/>
      <c r="J45" s="43"/>
      <c r="K45" s="43"/>
      <c r="L45" s="43"/>
      <c r="M45" s="43"/>
      <c r="N45" s="43"/>
      <c r="O45" s="43"/>
      <c r="P45" s="43"/>
      <c r="Q45" s="43"/>
      <c r="R45" s="22"/>
      <c r="S45" s="22"/>
      <c r="T45" s="22"/>
      <c r="U45" s="22"/>
      <c r="V45" s="22"/>
      <c r="W45" s="14"/>
      <c r="X45" s="14"/>
      <c r="Y45" s="14"/>
      <c r="Z45" s="14"/>
      <c r="AA45" s="14"/>
      <c r="AB45" s="14"/>
      <c r="AC45" s="14"/>
      <c r="AD45" s="14"/>
      <c r="AE45" s="14"/>
      <c r="AF45" s="14"/>
      <c r="AG45" s="14"/>
      <c r="AH45" s="14"/>
      <c r="AI45" s="14"/>
      <c r="AJ45" s="14"/>
      <c r="AK45" s="14"/>
      <c r="AL45" s="14"/>
      <c r="AM45" s="14"/>
      <c r="AN45" s="14"/>
      <c r="AO45" s="14"/>
    </row>
    <row r="46">
      <c r="A46" s="174" t="s">
        <v>702</v>
      </c>
      <c r="B46" s="141" t="s">
        <v>456</v>
      </c>
      <c r="C46" s="142" t="s">
        <v>703</v>
      </c>
      <c r="D46" s="142" t="s">
        <v>703</v>
      </c>
      <c r="E46" s="175" t="s">
        <v>1180</v>
      </c>
      <c r="F46" s="146"/>
      <c r="G46" s="146" t="s">
        <v>707</v>
      </c>
      <c r="H46" s="147"/>
      <c r="I46" s="147"/>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c r="A47" s="148" t="s">
        <v>708</v>
      </c>
      <c r="B47" s="40" t="s">
        <v>179</v>
      </c>
      <c r="C47" s="125" t="s">
        <v>709</v>
      </c>
      <c r="D47" s="55" t="s">
        <v>711</v>
      </c>
      <c r="E47" s="176" t="s">
        <v>197</v>
      </c>
      <c r="F47" s="69"/>
      <c r="G47" s="69" t="s">
        <v>714</v>
      </c>
      <c r="H47" s="96"/>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c r="A48" s="148" t="s">
        <v>716</v>
      </c>
      <c r="B48" s="141" t="s">
        <v>179</v>
      </c>
      <c r="C48" s="98" t="s">
        <v>717</v>
      </c>
      <c r="D48" s="98" t="s">
        <v>723</v>
      </c>
      <c r="E48" s="98" t="s">
        <v>725</v>
      </c>
      <c r="F48" s="146"/>
      <c r="G48" s="146" t="s">
        <v>726</v>
      </c>
      <c r="H48" s="147"/>
      <c r="I48" s="147"/>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c r="A49" s="148" t="s">
        <v>728</v>
      </c>
      <c r="B49" s="141" t="s">
        <v>218</v>
      </c>
      <c r="C49" s="101" t="s">
        <v>729</v>
      </c>
      <c r="D49" s="101" t="s">
        <v>731</v>
      </c>
      <c r="E49" s="101" t="s">
        <v>732</v>
      </c>
      <c r="F49" s="64"/>
      <c r="G49" s="64" t="s">
        <v>734</v>
      </c>
      <c r="H49" s="152"/>
      <c r="I49" s="147"/>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c r="A50" s="148" t="s">
        <v>737</v>
      </c>
      <c r="B50" s="177" t="s">
        <v>179</v>
      </c>
      <c r="C50" s="98" t="s">
        <v>738</v>
      </c>
      <c r="D50" s="98" t="s">
        <v>744</v>
      </c>
      <c r="E50" s="178" t="s">
        <v>746</v>
      </c>
      <c r="F50" s="146"/>
      <c r="G50" s="146" t="s">
        <v>153</v>
      </c>
      <c r="H50" s="147"/>
      <c r="I50" s="147"/>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c r="A51" s="140" t="s">
        <v>749</v>
      </c>
      <c r="B51" s="141" t="s">
        <v>194</v>
      </c>
      <c r="C51" s="142" t="s">
        <v>750</v>
      </c>
      <c r="D51" s="141" t="s">
        <v>754</v>
      </c>
      <c r="E51" s="145" t="s">
        <v>755</v>
      </c>
      <c r="F51" s="146"/>
      <c r="G51" s="146" t="s">
        <v>761</v>
      </c>
      <c r="H51" s="147"/>
      <c r="I51" s="147"/>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c r="A52" s="140" t="s">
        <v>763</v>
      </c>
      <c r="B52" s="141" t="s">
        <v>179</v>
      </c>
      <c r="C52" s="142" t="s">
        <v>764</v>
      </c>
      <c r="D52" s="142" t="s">
        <v>765</v>
      </c>
      <c r="E52" s="145" t="s">
        <v>768</v>
      </c>
      <c r="F52" s="146"/>
      <c r="G52" s="146" t="s">
        <v>153</v>
      </c>
      <c r="H52" s="147"/>
      <c r="I52" s="147"/>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c r="A53" s="140" t="s">
        <v>771</v>
      </c>
      <c r="B53" s="141" t="s">
        <v>179</v>
      </c>
      <c r="C53" s="98" t="s">
        <v>774</v>
      </c>
      <c r="D53" s="141" t="s">
        <v>780</v>
      </c>
      <c r="E53" s="145" t="s">
        <v>781</v>
      </c>
      <c r="F53" s="146"/>
      <c r="G53" s="146" t="s">
        <v>153</v>
      </c>
      <c r="H53" s="147"/>
      <c r="I53" s="147"/>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c r="A54" s="140" t="s">
        <v>783</v>
      </c>
      <c r="B54" s="141" t="s">
        <v>179</v>
      </c>
      <c r="C54" s="98" t="s">
        <v>784</v>
      </c>
      <c r="D54" s="141" t="s">
        <v>786</v>
      </c>
      <c r="E54" s="83" t="s">
        <v>197</v>
      </c>
      <c r="F54" s="146"/>
      <c r="G54" s="146" t="s">
        <v>787</v>
      </c>
      <c r="H54" s="147"/>
      <c r="I54" s="147"/>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row>
    <row r="55">
      <c r="A55" s="140" t="s">
        <v>1235</v>
      </c>
      <c r="B55" s="141" t="s">
        <v>456</v>
      </c>
      <c r="C55" s="98" t="s">
        <v>1236</v>
      </c>
      <c r="D55" s="84" t="s">
        <v>1238</v>
      </c>
      <c r="E55" s="83" t="s">
        <v>197</v>
      </c>
      <c r="F55" s="146"/>
      <c r="G55" s="146" t="s">
        <v>1240</v>
      </c>
      <c r="H55" s="147"/>
      <c r="I55" s="147"/>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c r="AG57" s="194"/>
      <c r="AH57" s="194"/>
      <c r="AI57" s="194"/>
      <c r="AJ57" s="194"/>
      <c r="AK57" s="194"/>
      <c r="AL57" s="194"/>
      <c r="AM57" s="194"/>
      <c r="AN57" s="194"/>
      <c r="AO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c r="AF59" s="194"/>
      <c r="AG59" s="194"/>
      <c r="AH59" s="194"/>
      <c r="AI59" s="194"/>
      <c r="AJ59" s="194"/>
      <c r="AK59" s="194"/>
      <c r="AL59" s="194"/>
      <c r="AM59" s="194"/>
      <c r="AN59" s="194"/>
      <c r="AO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194"/>
      <c r="AL60" s="194"/>
      <c r="AM60" s="194"/>
      <c r="AN60" s="194"/>
      <c r="AO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row>
    <row r="62">
      <c r="A62" s="194"/>
      <c r="B62" s="194"/>
      <c r="C62" s="194"/>
      <c r="D62" s="194"/>
      <c r="E62" s="208"/>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c r="AG62" s="194"/>
      <c r="AH62" s="194"/>
      <c r="AI62" s="194"/>
      <c r="AJ62" s="194"/>
      <c r="AK62" s="194"/>
      <c r="AL62" s="194"/>
      <c r="AM62" s="194"/>
      <c r="AN62" s="194"/>
      <c r="AO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c r="AG63" s="194"/>
      <c r="AH63" s="194"/>
      <c r="AI63" s="194"/>
      <c r="AJ63" s="194"/>
      <c r="AK63" s="194"/>
      <c r="AL63" s="194"/>
      <c r="AM63" s="194"/>
      <c r="AN63" s="194"/>
      <c r="AO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c r="AJ64" s="194"/>
      <c r="AK64" s="194"/>
      <c r="AL64" s="194"/>
      <c r="AM64" s="194"/>
      <c r="AN64" s="194"/>
      <c r="AO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c r="AJ65" s="194"/>
      <c r="AK65" s="194"/>
      <c r="AL65" s="194"/>
      <c r="AM65" s="194"/>
      <c r="AN65" s="194"/>
      <c r="AO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c r="AJ66" s="194"/>
      <c r="AK66" s="194"/>
      <c r="AL66" s="194"/>
      <c r="AM66" s="194"/>
      <c r="AN66" s="194"/>
      <c r="AO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c r="AF70" s="194"/>
      <c r="AG70" s="194"/>
      <c r="AH70" s="194"/>
      <c r="AI70" s="194"/>
      <c r="AJ70" s="194"/>
      <c r="AK70" s="194"/>
      <c r="AL70" s="194"/>
      <c r="AM70" s="194"/>
      <c r="AN70" s="194"/>
      <c r="AO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c r="AF71" s="194"/>
      <c r="AG71" s="194"/>
      <c r="AH71" s="194"/>
      <c r="AI71" s="194"/>
      <c r="AJ71" s="194"/>
      <c r="AK71" s="194"/>
      <c r="AL71" s="194"/>
      <c r="AM71" s="194"/>
      <c r="AN71" s="194"/>
      <c r="AO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c r="AF72" s="194"/>
      <c r="AG72" s="194"/>
      <c r="AH72" s="194"/>
      <c r="AI72" s="194"/>
      <c r="AJ72" s="194"/>
      <c r="AK72" s="194"/>
      <c r="AL72" s="194"/>
      <c r="AM72" s="194"/>
      <c r="AN72" s="194"/>
      <c r="AO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c r="AF73" s="194"/>
      <c r="AG73" s="194"/>
      <c r="AH73" s="194"/>
      <c r="AI73" s="194"/>
      <c r="AJ73" s="194"/>
      <c r="AK73" s="194"/>
      <c r="AL73" s="194"/>
      <c r="AM73" s="194"/>
      <c r="AN73" s="194"/>
      <c r="AO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c r="AO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c r="AF76" s="194"/>
      <c r="AG76" s="194"/>
      <c r="AH76" s="194"/>
      <c r="AI76" s="194"/>
      <c r="AJ76" s="194"/>
      <c r="AK76" s="194"/>
      <c r="AL76" s="194"/>
      <c r="AM76" s="194"/>
      <c r="AN76" s="194"/>
      <c r="AO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c r="AF77" s="194"/>
      <c r="AG77" s="194"/>
      <c r="AH77" s="194"/>
      <c r="AI77" s="194"/>
      <c r="AJ77" s="194"/>
      <c r="AK77" s="194"/>
      <c r="AL77" s="194"/>
      <c r="AM77" s="194"/>
      <c r="AN77" s="194"/>
      <c r="AO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c r="AF78" s="194"/>
      <c r="AG78" s="194"/>
      <c r="AH78" s="194"/>
      <c r="AI78" s="194"/>
      <c r="AJ78" s="194"/>
      <c r="AK78" s="194"/>
      <c r="AL78" s="194"/>
      <c r="AM78" s="194"/>
      <c r="AN78" s="194"/>
      <c r="AO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c r="AG79" s="194"/>
      <c r="AH79" s="194"/>
      <c r="AI79" s="194"/>
      <c r="AJ79" s="194"/>
      <c r="AK79" s="194"/>
      <c r="AL79" s="194"/>
      <c r="AM79" s="194"/>
      <c r="AN79" s="194"/>
      <c r="AO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c r="AF80" s="194"/>
      <c r="AG80" s="194"/>
      <c r="AH80" s="194"/>
      <c r="AI80" s="194"/>
      <c r="AJ80" s="194"/>
      <c r="AK80" s="194"/>
      <c r="AL80" s="194"/>
      <c r="AM80" s="194"/>
      <c r="AN80" s="194"/>
      <c r="AO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c r="AF81" s="194"/>
      <c r="AG81" s="194"/>
      <c r="AH81" s="194"/>
      <c r="AI81" s="194"/>
      <c r="AJ81" s="194"/>
      <c r="AK81" s="194"/>
      <c r="AL81" s="194"/>
      <c r="AM81" s="194"/>
      <c r="AN81" s="194"/>
      <c r="AO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c r="AG82" s="194"/>
      <c r="AH82" s="194"/>
      <c r="AI82" s="194"/>
      <c r="AJ82" s="194"/>
      <c r="AK82" s="194"/>
      <c r="AL82" s="194"/>
      <c r="AM82" s="194"/>
      <c r="AN82" s="194"/>
      <c r="AO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c r="AF83" s="194"/>
      <c r="AG83" s="194"/>
      <c r="AH83" s="194"/>
      <c r="AI83" s="194"/>
      <c r="AJ83" s="194"/>
      <c r="AK83" s="194"/>
      <c r="AL83" s="194"/>
      <c r="AM83" s="194"/>
      <c r="AN83" s="194"/>
      <c r="AO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c r="AO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c r="AF85" s="194"/>
      <c r="AG85" s="194"/>
      <c r="AH85" s="194"/>
      <c r="AI85" s="194"/>
      <c r="AJ85" s="194"/>
      <c r="AK85" s="194"/>
      <c r="AL85" s="194"/>
      <c r="AM85" s="194"/>
      <c r="AN85" s="194"/>
      <c r="AO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c r="AF86" s="194"/>
      <c r="AG86" s="194"/>
      <c r="AH86" s="194"/>
      <c r="AI86" s="194"/>
      <c r="AJ86" s="194"/>
      <c r="AK86" s="194"/>
      <c r="AL86" s="194"/>
      <c r="AM86" s="194"/>
      <c r="AN86" s="194"/>
      <c r="AO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c r="AF87" s="194"/>
      <c r="AG87" s="194"/>
      <c r="AH87" s="194"/>
      <c r="AI87" s="194"/>
      <c r="AJ87" s="194"/>
      <c r="AK87" s="194"/>
      <c r="AL87" s="194"/>
      <c r="AM87" s="194"/>
      <c r="AN87" s="194"/>
      <c r="AO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c r="AF88" s="194"/>
      <c r="AG88" s="194"/>
      <c r="AH88" s="194"/>
      <c r="AI88" s="194"/>
      <c r="AJ88" s="194"/>
      <c r="AK88" s="194"/>
      <c r="AL88" s="194"/>
      <c r="AM88" s="194"/>
      <c r="AN88" s="194"/>
      <c r="AO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c r="AF89" s="194"/>
      <c r="AG89" s="194"/>
      <c r="AH89" s="194"/>
      <c r="AI89" s="194"/>
      <c r="AJ89" s="194"/>
      <c r="AK89" s="194"/>
      <c r="AL89" s="194"/>
      <c r="AM89" s="194"/>
      <c r="AN89" s="194"/>
      <c r="AO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c r="AF91" s="194"/>
      <c r="AG91" s="194"/>
      <c r="AH91" s="194"/>
      <c r="AI91" s="194"/>
      <c r="AJ91" s="194"/>
      <c r="AK91" s="194"/>
      <c r="AL91" s="194"/>
      <c r="AM91" s="194"/>
      <c r="AN91" s="194"/>
      <c r="AO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c r="AF92" s="194"/>
      <c r="AG92" s="194"/>
      <c r="AH92" s="194"/>
      <c r="AI92" s="194"/>
      <c r="AJ92" s="194"/>
      <c r="AK92" s="194"/>
      <c r="AL92" s="194"/>
      <c r="AM92" s="194"/>
      <c r="AN92" s="194"/>
      <c r="AO92" s="194"/>
    </row>
    <row r="93">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c r="AA93" s="194"/>
      <c r="AB93" s="194"/>
      <c r="AC93" s="194"/>
      <c r="AD93" s="194"/>
      <c r="AE93" s="194"/>
      <c r="AF93" s="194"/>
      <c r="AG93" s="194"/>
      <c r="AH93" s="194"/>
      <c r="AI93" s="194"/>
      <c r="AJ93" s="194"/>
      <c r="AK93" s="194"/>
      <c r="AL93" s="194"/>
      <c r="AM93" s="194"/>
      <c r="AN93" s="194"/>
      <c r="AO93" s="194"/>
    </row>
    <row r="94">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c r="AA94" s="194"/>
      <c r="AB94" s="194"/>
      <c r="AC94" s="194"/>
      <c r="AD94" s="194"/>
      <c r="AE94" s="194"/>
      <c r="AF94" s="194"/>
      <c r="AG94" s="194"/>
      <c r="AH94" s="194"/>
      <c r="AI94" s="194"/>
      <c r="AJ94" s="194"/>
      <c r="AK94" s="194"/>
      <c r="AL94" s="194"/>
      <c r="AM94" s="194"/>
      <c r="AN94" s="194"/>
      <c r="AO94" s="194"/>
    </row>
    <row r="9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4"/>
      <c r="AD95" s="194"/>
      <c r="AE95" s="194"/>
      <c r="AF95" s="194"/>
      <c r="AG95" s="194"/>
      <c r="AH95" s="194"/>
      <c r="AI95" s="194"/>
      <c r="AJ95" s="194"/>
      <c r="AK95" s="194"/>
      <c r="AL95" s="194"/>
      <c r="AM95" s="194"/>
      <c r="AN95" s="194"/>
      <c r="AO95" s="194"/>
    </row>
    <row r="96">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row>
    <row r="97">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4"/>
      <c r="AD97" s="194"/>
      <c r="AE97" s="194"/>
      <c r="AF97" s="194"/>
      <c r="AG97" s="194"/>
      <c r="AH97" s="194"/>
      <c r="AI97" s="194"/>
      <c r="AJ97" s="194"/>
      <c r="AK97" s="194"/>
      <c r="AL97" s="194"/>
      <c r="AM97" s="194"/>
      <c r="AN97" s="194"/>
      <c r="AO97" s="194"/>
    </row>
    <row r="98">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row>
    <row r="99">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c r="AO99" s="194"/>
    </row>
    <row r="100">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row>
    <row r="10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c r="AO101" s="194"/>
    </row>
    <row r="102">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94"/>
      <c r="AH102" s="194"/>
      <c r="AI102" s="194"/>
      <c r="AJ102" s="194"/>
      <c r="AK102" s="194"/>
      <c r="AL102" s="194"/>
      <c r="AM102" s="194"/>
      <c r="AN102" s="194"/>
      <c r="AO102" s="194"/>
    </row>
    <row r="103">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c r="AC103" s="194"/>
      <c r="AD103" s="194"/>
      <c r="AE103" s="194"/>
      <c r="AF103" s="194"/>
      <c r="AG103" s="194"/>
      <c r="AH103" s="194"/>
      <c r="AI103" s="194"/>
      <c r="AJ103" s="194"/>
      <c r="AK103" s="194"/>
      <c r="AL103" s="194"/>
      <c r="AM103" s="194"/>
      <c r="AN103" s="194"/>
      <c r="AO103" s="194"/>
    </row>
    <row r="104">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c r="AC104" s="194"/>
      <c r="AD104" s="194"/>
      <c r="AE104" s="194"/>
      <c r="AF104" s="194"/>
      <c r="AG104" s="194"/>
      <c r="AH104" s="194"/>
      <c r="AI104" s="194"/>
      <c r="AJ104" s="194"/>
      <c r="AK104" s="194"/>
      <c r="AL104" s="194"/>
      <c r="AM104" s="194"/>
      <c r="AN104" s="194"/>
      <c r="AO104" s="194"/>
    </row>
    <row r="105">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row>
    <row r="106">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c r="AF106" s="194"/>
      <c r="AG106" s="194"/>
      <c r="AH106" s="194"/>
      <c r="AI106" s="194"/>
      <c r="AJ106" s="194"/>
      <c r="AK106" s="194"/>
      <c r="AL106" s="194"/>
      <c r="AM106" s="194"/>
      <c r="AN106" s="194"/>
      <c r="AO106" s="194"/>
    </row>
    <row r="107">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c r="AO107" s="194"/>
    </row>
    <row r="108">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194"/>
      <c r="AH108" s="194"/>
      <c r="AI108" s="194"/>
      <c r="AJ108" s="194"/>
      <c r="AK108" s="194"/>
      <c r="AL108" s="194"/>
      <c r="AM108" s="194"/>
      <c r="AN108" s="194"/>
      <c r="AO108" s="194"/>
    </row>
    <row r="109">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c r="AA109" s="194"/>
      <c r="AB109" s="194"/>
      <c r="AC109" s="194"/>
      <c r="AD109" s="194"/>
      <c r="AE109" s="194"/>
      <c r="AF109" s="194"/>
      <c r="AG109" s="194"/>
      <c r="AH109" s="194"/>
      <c r="AI109" s="194"/>
      <c r="AJ109" s="194"/>
      <c r="AK109" s="194"/>
      <c r="AL109" s="194"/>
      <c r="AM109" s="194"/>
      <c r="AN109" s="194"/>
      <c r="AO109" s="194"/>
    </row>
    <row r="110">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c r="AA110" s="194"/>
      <c r="AB110" s="194"/>
      <c r="AC110" s="194"/>
      <c r="AD110" s="194"/>
      <c r="AE110" s="194"/>
      <c r="AF110" s="194"/>
      <c r="AG110" s="194"/>
      <c r="AH110" s="194"/>
      <c r="AI110" s="194"/>
      <c r="AJ110" s="194"/>
      <c r="AK110" s="194"/>
      <c r="AL110" s="194"/>
      <c r="AM110" s="194"/>
      <c r="AN110" s="194"/>
      <c r="AO110" s="194"/>
    </row>
    <row r="111">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c r="AC111" s="194"/>
      <c r="AD111" s="194"/>
      <c r="AE111" s="194"/>
      <c r="AF111" s="194"/>
      <c r="AG111" s="194"/>
      <c r="AH111" s="194"/>
      <c r="AI111" s="194"/>
      <c r="AJ111" s="194"/>
      <c r="AK111" s="194"/>
      <c r="AL111" s="194"/>
      <c r="AM111" s="194"/>
      <c r="AN111" s="194"/>
      <c r="AO111" s="194"/>
    </row>
    <row r="112">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c r="AF112" s="194"/>
      <c r="AG112" s="194"/>
      <c r="AH112" s="194"/>
      <c r="AI112" s="194"/>
      <c r="AJ112" s="194"/>
      <c r="AK112" s="194"/>
      <c r="AL112" s="194"/>
      <c r="AM112" s="194"/>
      <c r="AN112" s="194"/>
      <c r="AO112" s="194"/>
    </row>
    <row r="113">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c r="AO113" s="194"/>
    </row>
    <row r="114">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c r="AO114" s="194"/>
    </row>
    <row r="115">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row>
    <row r="116">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row>
    <row r="117">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row>
    <row r="118">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c r="AC118" s="194"/>
      <c r="AD118" s="194"/>
      <c r="AE118" s="194"/>
      <c r="AF118" s="194"/>
      <c r="AG118" s="194"/>
      <c r="AH118" s="194"/>
      <c r="AI118" s="194"/>
      <c r="AJ118" s="194"/>
      <c r="AK118" s="194"/>
      <c r="AL118" s="194"/>
      <c r="AM118" s="194"/>
      <c r="AN118" s="194"/>
      <c r="AO118" s="194"/>
    </row>
    <row r="119">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c r="AG119" s="194"/>
      <c r="AH119" s="194"/>
      <c r="AI119" s="194"/>
      <c r="AJ119" s="194"/>
      <c r="AK119" s="194"/>
      <c r="AL119" s="194"/>
      <c r="AM119" s="194"/>
      <c r="AN119" s="194"/>
      <c r="AO119" s="194"/>
    </row>
    <row r="120">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c r="AF120" s="194"/>
      <c r="AG120" s="194"/>
      <c r="AH120" s="194"/>
      <c r="AI120" s="194"/>
      <c r="AJ120" s="194"/>
      <c r="AK120" s="194"/>
      <c r="AL120" s="194"/>
      <c r="AM120" s="194"/>
      <c r="AN120" s="194"/>
      <c r="AO120" s="194"/>
    </row>
    <row r="121">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c r="AO121" s="194"/>
    </row>
    <row r="122">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c r="AO122" s="194"/>
    </row>
    <row r="123">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c r="AC123" s="194"/>
      <c r="AD123" s="194"/>
      <c r="AE123" s="194"/>
      <c r="AF123" s="194"/>
      <c r="AG123" s="194"/>
      <c r="AH123" s="194"/>
      <c r="AI123" s="194"/>
      <c r="AJ123" s="194"/>
      <c r="AK123" s="194"/>
      <c r="AL123" s="194"/>
      <c r="AM123" s="194"/>
      <c r="AN123" s="194"/>
      <c r="AO123" s="194"/>
    </row>
    <row r="124">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c r="AF124" s="194"/>
      <c r="AG124" s="194"/>
      <c r="AH124" s="194"/>
      <c r="AI124" s="194"/>
      <c r="AJ124" s="194"/>
      <c r="AK124" s="194"/>
      <c r="AL124" s="194"/>
      <c r="AM124" s="194"/>
      <c r="AN124" s="194"/>
      <c r="AO124" s="194"/>
    </row>
    <row r="125">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c r="AF125" s="194"/>
      <c r="AG125" s="194"/>
      <c r="AH125" s="194"/>
      <c r="AI125" s="194"/>
      <c r="AJ125" s="194"/>
      <c r="AK125" s="194"/>
      <c r="AL125" s="194"/>
      <c r="AM125" s="194"/>
      <c r="AN125" s="194"/>
      <c r="AO125" s="194"/>
    </row>
    <row r="126">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c r="AF126" s="194"/>
      <c r="AG126" s="194"/>
      <c r="AH126" s="194"/>
      <c r="AI126" s="194"/>
      <c r="AJ126" s="194"/>
      <c r="AK126" s="194"/>
      <c r="AL126" s="194"/>
      <c r="AM126" s="194"/>
      <c r="AN126" s="194"/>
      <c r="AO126" s="194"/>
    </row>
    <row r="127">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row>
    <row r="128">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194"/>
      <c r="AF128" s="194"/>
      <c r="AG128" s="194"/>
      <c r="AH128" s="194"/>
      <c r="AI128" s="194"/>
      <c r="AJ128" s="194"/>
      <c r="AK128" s="194"/>
      <c r="AL128" s="194"/>
      <c r="AM128" s="194"/>
      <c r="AN128" s="194"/>
      <c r="AO128" s="194"/>
    </row>
    <row r="129">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c r="AF129" s="194"/>
      <c r="AG129" s="194"/>
      <c r="AH129" s="194"/>
      <c r="AI129" s="194"/>
      <c r="AJ129" s="194"/>
      <c r="AK129" s="194"/>
      <c r="AL129" s="194"/>
      <c r="AM129" s="194"/>
      <c r="AN129" s="194"/>
      <c r="AO129" s="194"/>
    </row>
    <row r="130">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c r="AF130" s="194"/>
      <c r="AG130" s="194"/>
      <c r="AH130" s="194"/>
      <c r="AI130" s="194"/>
      <c r="AJ130" s="194"/>
      <c r="AK130" s="194"/>
      <c r="AL130" s="194"/>
      <c r="AM130" s="194"/>
      <c r="AN130" s="194"/>
      <c r="AO130" s="194"/>
    </row>
    <row r="131">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row>
    <row r="132">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c r="AC132" s="194"/>
      <c r="AD132" s="194"/>
      <c r="AE132" s="194"/>
      <c r="AF132" s="194"/>
      <c r="AG132" s="194"/>
      <c r="AH132" s="194"/>
      <c r="AI132" s="194"/>
      <c r="AJ132" s="194"/>
      <c r="AK132" s="194"/>
      <c r="AL132" s="194"/>
      <c r="AM132" s="194"/>
      <c r="AN132" s="194"/>
      <c r="AO132" s="194"/>
    </row>
    <row r="133">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c r="AO133" s="194"/>
    </row>
    <row r="134">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row>
    <row r="135">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row>
    <row r="136">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row>
    <row r="137">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row>
    <row r="138">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row>
    <row r="139">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row>
    <row r="140">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row>
    <row r="141">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row>
    <row r="142">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4"/>
      <c r="AE142" s="194"/>
      <c r="AF142" s="194"/>
      <c r="AG142" s="194"/>
      <c r="AH142" s="194"/>
      <c r="AI142" s="194"/>
      <c r="AJ142" s="194"/>
      <c r="AK142" s="194"/>
      <c r="AL142" s="194"/>
      <c r="AM142" s="194"/>
      <c r="AN142" s="194"/>
      <c r="AO142" s="194"/>
    </row>
    <row r="143">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194"/>
      <c r="AH143" s="194"/>
      <c r="AI143" s="194"/>
      <c r="AJ143" s="194"/>
      <c r="AK143" s="194"/>
      <c r="AL143" s="194"/>
      <c r="AM143" s="194"/>
      <c r="AN143" s="194"/>
      <c r="AO143" s="194"/>
    </row>
    <row r="144">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c r="AF144" s="194"/>
      <c r="AG144" s="194"/>
      <c r="AH144" s="194"/>
      <c r="AI144" s="194"/>
      <c r="AJ144" s="194"/>
      <c r="AK144" s="194"/>
      <c r="AL144" s="194"/>
      <c r="AM144" s="194"/>
      <c r="AN144" s="194"/>
      <c r="AO144" s="194"/>
    </row>
    <row r="145">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c r="AC145" s="194"/>
      <c r="AD145" s="194"/>
      <c r="AE145" s="194"/>
      <c r="AF145" s="194"/>
      <c r="AG145" s="194"/>
      <c r="AH145" s="194"/>
      <c r="AI145" s="194"/>
      <c r="AJ145" s="194"/>
      <c r="AK145" s="194"/>
      <c r="AL145" s="194"/>
      <c r="AM145" s="194"/>
      <c r="AN145" s="194"/>
      <c r="AO145" s="194"/>
    </row>
    <row r="146">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c r="AF146" s="194"/>
      <c r="AG146" s="194"/>
      <c r="AH146" s="194"/>
      <c r="AI146" s="194"/>
      <c r="AJ146" s="194"/>
      <c r="AK146" s="194"/>
      <c r="AL146" s="194"/>
      <c r="AM146" s="194"/>
      <c r="AN146" s="194"/>
      <c r="AO146" s="194"/>
    </row>
    <row r="147">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c r="AC147" s="194"/>
      <c r="AD147" s="194"/>
      <c r="AE147" s="194"/>
      <c r="AF147" s="194"/>
      <c r="AG147" s="194"/>
      <c r="AH147" s="194"/>
      <c r="AI147" s="194"/>
      <c r="AJ147" s="194"/>
      <c r="AK147" s="194"/>
      <c r="AL147" s="194"/>
      <c r="AM147" s="194"/>
      <c r="AN147" s="194"/>
      <c r="AO147" s="194"/>
    </row>
    <row r="148">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c r="AO148" s="194"/>
    </row>
    <row r="149">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c r="AO149" s="194"/>
    </row>
    <row r="150">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c r="AO150" s="194"/>
    </row>
    <row r="151">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row>
    <row r="152">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4"/>
      <c r="AE152" s="194"/>
      <c r="AF152" s="194"/>
      <c r="AG152" s="194"/>
      <c r="AH152" s="194"/>
      <c r="AI152" s="194"/>
      <c r="AJ152" s="194"/>
      <c r="AK152" s="194"/>
      <c r="AL152" s="194"/>
      <c r="AM152" s="194"/>
      <c r="AN152" s="194"/>
      <c r="AO152" s="194"/>
    </row>
    <row r="153">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c r="AF153" s="194"/>
      <c r="AG153" s="194"/>
      <c r="AH153" s="194"/>
      <c r="AI153" s="194"/>
      <c r="AJ153" s="194"/>
      <c r="AK153" s="194"/>
      <c r="AL153" s="194"/>
      <c r="AM153" s="194"/>
      <c r="AN153" s="194"/>
      <c r="AO153" s="194"/>
    </row>
    <row r="154">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c r="AF154" s="194"/>
      <c r="AG154" s="194"/>
      <c r="AH154" s="194"/>
      <c r="AI154" s="194"/>
      <c r="AJ154" s="194"/>
      <c r="AK154" s="194"/>
      <c r="AL154" s="194"/>
      <c r="AM154" s="194"/>
      <c r="AN154" s="194"/>
      <c r="AO154" s="194"/>
    </row>
    <row r="155">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c r="AF155" s="194"/>
      <c r="AG155" s="194"/>
      <c r="AH155" s="194"/>
      <c r="AI155" s="194"/>
      <c r="AJ155" s="194"/>
      <c r="AK155" s="194"/>
      <c r="AL155" s="194"/>
      <c r="AM155" s="194"/>
      <c r="AN155" s="194"/>
      <c r="AO155" s="194"/>
    </row>
    <row r="156">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row>
    <row r="157">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194"/>
      <c r="AH157" s="194"/>
      <c r="AI157" s="194"/>
      <c r="AJ157" s="194"/>
      <c r="AK157" s="194"/>
      <c r="AL157" s="194"/>
      <c r="AM157" s="194"/>
      <c r="AN157" s="194"/>
      <c r="AO157" s="194"/>
    </row>
    <row r="158">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94"/>
      <c r="AH158" s="194"/>
      <c r="AI158" s="194"/>
      <c r="AJ158" s="194"/>
      <c r="AK158" s="194"/>
      <c r="AL158" s="194"/>
      <c r="AM158" s="194"/>
      <c r="AN158" s="194"/>
      <c r="AO158" s="194"/>
    </row>
    <row r="159">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194"/>
      <c r="AH159" s="194"/>
      <c r="AI159" s="194"/>
      <c r="AJ159" s="194"/>
      <c r="AK159" s="194"/>
      <c r="AL159" s="194"/>
      <c r="AM159" s="194"/>
      <c r="AN159" s="194"/>
      <c r="AO159" s="194"/>
    </row>
    <row r="160">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194"/>
      <c r="AH160" s="194"/>
      <c r="AI160" s="194"/>
      <c r="AJ160" s="194"/>
      <c r="AK160" s="194"/>
      <c r="AL160" s="194"/>
      <c r="AM160" s="194"/>
      <c r="AN160" s="194"/>
      <c r="AO160" s="194"/>
    </row>
    <row r="161">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c r="AF161" s="194"/>
      <c r="AG161" s="194"/>
      <c r="AH161" s="194"/>
      <c r="AI161" s="194"/>
      <c r="AJ161" s="194"/>
      <c r="AK161" s="194"/>
      <c r="AL161" s="194"/>
      <c r="AM161" s="194"/>
      <c r="AN161" s="194"/>
      <c r="AO161" s="194"/>
    </row>
    <row r="162">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194"/>
      <c r="AH162" s="194"/>
      <c r="AI162" s="194"/>
      <c r="AJ162" s="194"/>
      <c r="AK162" s="194"/>
      <c r="AL162" s="194"/>
      <c r="AM162" s="194"/>
      <c r="AN162" s="194"/>
      <c r="AO162" s="194"/>
    </row>
    <row r="163">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194"/>
      <c r="AH163" s="194"/>
      <c r="AI163" s="194"/>
      <c r="AJ163" s="194"/>
      <c r="AK163" s="194"/>
      <c r="AL163" s="194"/>
      <c r="AM163" s="194"/>
      <c r="AN163" s="194"/>
      <c r="AO163" s="194"/>
    </row>
    <row r="164">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94"/>
      <c r="AH164" s="194"/>
      <c r="AI164" s="194"/>
      <c r="AJ164" s="194"/>
      <c r="AK164" s="194"/>
      <c r="AL164" s="194"/>
      <c r="AM164" s="194"/>
      <c r="AN164" s="194"/>
      <c r="AO164" s="194"/>
    </row>
    <row r="165">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194"/>
      <c r="AH165" s="194"/>
      <c r="AI165" s="194"/>
      <c r="AJ165" s="194"/>
      <c r="AK165" s="194"/>
      <c r="AL165" s="194"/>
      <c r="AM165" s="194"/>
      <c r="AN165" s="194"/>
      <c r="AO165" s="194"/>
    </row>
    <row r="166">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194"/>
      <c r="AH166" s="194"/>
      <c r="AI166" s="194"/>
      <c r="AJ166" s="194"/>
      <c r="AK166" s="194"/>
      <c r="AL166" s="194"/>
      <c r="AM166" s="194"/>
      <c r="AN166" s="194"/>
      <c r="AO166" s="194"/>
    </row>
    <row r="167">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c r="AC167" s="194"/>
      <c r="AD167" s="194"/>
      <c r="AE167" s="194"/>
      <c r="AF167" s="194"/>
      <c r="AG167" s="194"/>
      <c r="AH167" s="194"/>
      <c r="AI167" s="194"/>
      <c r="AJ167" s="194"/>
      <c r="AK167" s="194"/>
      <c r="AL167" s="194"/>
      <c r="AM167" s="194"/>
      <c r="AN167" s="194"/>
      <c r="AO167" s="194"/>
    </row>
    <row r="168">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194"/>
      <c r="AH168" s="194"/>
      <c r="AI168" s="194"/>
      <c r="AJ168" s="194"/>
      <c r="AK168" s="194"/>
      <c r="AL168" s="194"/>
      <c r="AM168" s="194"/>
      <c r="AN168" s="194"/>
      <c r="AO168" s="194"/>
    </row>
    <row r="169">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c r="AO169" s="194"/>
    </row>
    <row r="170">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c r="AF170" s="194"/>
      <c r="AG170" s="194"/>
      <c r="AH170" s="194"/>
      <c r="AI170" s="194"/>
      <c r="AJ170" s="194"/>
      <c r="AK170" s="194"/>
      <c r="AL170" s="194"/>
      <c r="AM170" s="194"/>
      <c r="AN170" s="194"/>
      <c r="AO170" s="194"/>
    </row>
    <row r="171">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c r="AF171" s="194"/>
      <c r="AG171" s="194"/>
      <c r="AH171" s="194"/>
      <c r="AI171" s="194"/>
      <c r="AJ171" s="194"/>
      <c r="AK171" s="194"/>
      <c r="AL171" s="194"/>
      <c r="AM171" s="194"/>
      <c r="AN171" s="194"/>
      <c r="AO171" s="194"/>
    </row>
    <row r="172">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c r="AF172" s="194"/>
      <c r="AG172" s="194"/>
      <c r="AH172" s="194"/>
      <c r="AI172" s="194"/>
      <c r="AJ172" s="194"/>
      <c r="AK172" s="194"/>
      <c r="AL172" s="194"/>
      <c r="AM172" s="194"/>
      <c r="AN172" s="194"/>
      <c r="AO172" s="194"/>
    </row>
    <row r="173">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row>
    <row r="174">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194"/>
      <c r="AH174" s="194"/>
      <c r="AI174" s="194"/>
      <c r="AJ174" s="194"/>
      <c r="AK174" s="194"/>
      <c r="AL174" s="194"/>
      <c r="AM174" s="194"/>
      <c r="AN174" s="194"/>
      <c r="AO174" s="194"/>
    </row>
    <row r="175">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94"/>
      <c r="AH175" s="194"/>
      <c r="AI175" s="194"/>
      <c r="AJ175" s="194"/>
      <c r="AK175" s="194"/>
      <c r="AL175" s="194"/>
      <c r="AM175" s="194"/>
      <c r="AN175" s="194"/>
      <c r="AO175" s="194"/>
    </row>
    <row r="176">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c r="AJ176" s="194"/>
      <c r="AK176" s="194"/>
      <c r="AL176" s="194"/>
      <c r="AM176" s="194"/>
      <c r="AN176" s="194"/>
      <c r="AO176" s="194"/>
    </row>
    <row r="177">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c r="AF177" s="194"/>
      <c r="AG177" s="194"/>
      <c r="AH177" s="194"/>
      <c r="AI177" s="194"/>
      <c r="AJ177" s="194"/>
      <c r="AK177" s="194"/>
      <c r="AL177" s="194"/>
      <c r="AM177" s="194"/>
      <c r="AN177" s="194"/>
      <c r="AO177" s="194"/>
    </row>
    <row r="178">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c r="AF178" s="194"/>
      <c r="AG178" s="194"/>
      <c r="AH178" s="194"/>
      <c r="AI178" s="194"/>
      <c r="AJ178" s="194"/>
      <c r="AK178" s="194"/>
      <c r="AL178" s="194"/>
      <c r="AM178" s="194"/>
      <c r="AN178" s="194"/>
      <c r="AO178" s="194"/>
    </row>
    <row r="179">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row>
    <row r="180">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c r="AK180" s="194"/>
      <c r="AL180" s="194"/>
      <c r="AM180" s="194"/>
      <c r="AN180" s="194"/>
      <c r="AO180" s="194"/>
    </row>
    <row r="181">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194"/>
      <c r="AH181" s="194"/>
      <c r="AI181" s="194"/>
      <c r="AJ181" s="194"/>
      <c r="AK181" s="194"/>
      <c r="AL181" s="194"/>
      <c r="AM181" s="194"/>
      <c r="AN181" s="194"/>
      <c r="AO181" s="194"/>
    </row>
    <row r="182">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c r="AF182" s="194"/>
      <c r="AG182" s="194"/>
      <c r="AH182" s="194"/>
      <c r="AI182" s="194"/>
      <c r="AJ182" s="194"/>
      <c r="AK182" s="194"/>
      <c r="AL182" s="194"/>
      <c r="AM182" s="194"/>
      <c r="AN182" s="194"/>
      <c r="AO182" s="194"/>
    </row>
    <row r="183">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c r="AF183" s="194"/>
      <c r="AG183" s="194"/>
      <c r="AH183" s="194"/>
      <c r="AI183" s="194"/>
      <c r="AJ183" s="194"/>
      <c r="AK183" s="194"/>
      <c r="AL183" s="194"/>
      <c r="AM183" s="194"/>
      <c r="AN183" s="194"/>
      <c r="AO183" s="194"/>
    </row>
    <row r="184">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194"/>
      <c r="AH184" s="194"/>
      <c r="AI184" s="194"/>
      <c r="AJ184" s="194"/>
      <c r="AK184" s="194"/>
      <c r="AL184" s="194"/>
      <c r="AM184" s="194"/>
      <c r="AN184" s="194"/>
      <c r="AO184" s="194"/>
    </row>
    <row r="185">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c r="AF185" s="194"/>
      <c r="AG185" s="194"/>
      <c r="AH185" s="194"/>
      <c r="AI185" s="194"/>
      <c r="AJ185" s="194"/>
      <c r="AK185" s="194"/>
      <c r="AL185" s="194"/>
      <c r="AM185" s="194"/>
      <c r="AN185" s="194"/>
      <c r="AO185" s="194"/>
    </row>
    <row r="186">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194"/>
      <c r="AH186" s="194"/>
      <c r="AI186" s="194"/>
      <c r="AJ186" s="194"/>
      <c r="AK186" s="194"/>
      <c r="AL186" s="194"/>
      <c r="AM186" s="194"/>
      <c r="AN186" s="194"/>
      <c r="AO186" s="194"/>
    </row>
    <row r="187">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c r="AF187" s="194"/>
      <c r="AG187" s="194"/>
      <c r="AH187" s="194"/>
      <c r="AI187" s="194"/>
      <c r="AJ187" s="194"/>
      <c r="AK187" s="194"/>
      <c r="AL187" s="194"/>
      <c r="AM187" s="194"/>
      <c r="AN187" s="194"/>
      <c r="AO187" s="194"/>
    </row>
    <row r="188">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c r="AC188" s="194"/>
      <c r="AD188" s="194"/>
      <c r="AE188" s="194"/>
      <c r="AF188" s="194"/>
      <c r="AG188" s="194"/>
      <c r="AH188" s="194"/>
      <c r="AI188" s="194"/>
      <c r="AJ188" s="194"/>
      <c r="AK188" s="194"/>
      <c r="AL188" s="194"/>
      <c r="AM188" s="194"/>
      <c r="AN188" s="194"/>
      <c r="AO188" s="194"/>
    </row>
    <row r="189">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94"/>
      <c r="AH189" s="194"/>
      <c r="AI189" s="194"/>
      <c r="AJ189" s="194"/>
      <c r="AK189" s="194"/>
      <c r="AL189" s="194"/>
      <c r="AM189" s="194"/>
      <c r="AN189" s="194"/>
      <c r="AO189" s="194"/>
    </row>
    <row r="190">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c r="AC190" s="194"/>
      <c r="AD190" s="194"/>
      <c r="AE190" s="194"/>
      <c r="AF190" s="194"/>
      <c r="AG190" s="194"/>
      <c r="AH190" s="194"/>
      <c r="AI190" s="194"/>
      <c r="AJ190" s="194"/>
      <c r="AK190" s="194"/>
      <c r="AL190" s="194"/>
      <c r="AM190" s="194"/>
      <c r="AN190" s="194"/>
      <c r="AO190" s="194"/>
    </row>
    <row r="191">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c r="AC191" s="194"/>
      <c r="AD191" s="194"/>
      <c r="AE191" s="194"/>
      <c r="AF191" s="194"/>
      <c r="AG191" s="194"/>
      <c r="AH191" s="194"/>
      <c r="AI191" s="194"/>
      <c r="AJ191" s="194"/>
      <c r="AK191" s="194"/>
      <c r="AL191" s="194"/>
      <c r="AM191" s="194"/>
      <c r="AN191" s="194"/>
      <c r="AO191" s="194"/>
    </row>
    <row r="192">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c r="AF192" s="194"/>
      <c r="AG192" s="194"/>
      <c r="AH192" s="194"/>
      <c r="AI192" s="194"/>
      <c r="AJ192" s="194"/>
      <c r="AK192" s="194"/>
      <c r="AL192" s="194"/>
      <c r="AM192" s="194"/>
      <c r="AN192" s="194"/>
      <c r="AO192" s="194"/>
    </row>
    <row r="193">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c r="AF193" s="194"/>
      <c r="AG193" s="194"/>
      <c r="AH193" s="194"/>
      <c r="AI193" s="194"/>
      <c r="AJ193" s="194"/>
      <c r="AK193" s="194"/>
      <c r="AL193" s="194"/>
      <c r="AM193" s="194"/>
      <c r="AN193" s="194"/>
      <c r="AO193" s="194"/>
    </row>
    <row r="194">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c r="AF194" s="194"/>
      <c r="AG194" s="194"/>
      <c r="AH194" s="194"/>
      <c r="AI194" s="194"/>
      <c r="AJ194" s="194"/>
      <c r="AK194" s="194"/>
      <c r="AL194" s="194"/>
      <c r="AM194" s="194"/>
      <c r="AN194" s="194"/>
      <c r="AO194" s="194"/>
    </row>
    <row r="195">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c r="AF195" s="194"/>
      <c r="AG195" s="194"/>
      <c r="AH195" s="194"/>
      <c r="AI195" s="194"/>
      <c r="AJ195" s="194"/>
      <c r="AK195" s="194"/>
      <c r="AL195" s="194"/>
      <c r="AM195" s="194"/>
      <c r="AN195" s="194"/>
      <c r="AO195" s="194"/>
    </row>
    <row r="196">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row>
    <row r="197">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c r="AF197" s="194"/>
      <c r="AG197" s="194"/>
      <c r="AH197" s="194"/>
      <c r="AI197" s="194"/>
      <c r="AJ197" s="194"/>
      <c r="AK197" s="194"/>
      <c r="AL197" s="194"/>
      <c r="AM197" s="194"/>
      <c r="AN197" s="194"/>
      <c r="AO197" s="194"/>
    </row>
    <row r="198">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c r="AC198" s="194"/>
      <c r="AD198" s="194"/>
      <c r="AE198" s="194"/>
      <c r="AF198" s="194"/>
      <c r="AG198" s="194"/>
      <c r="AH198" s="194"/>
      <c r="AI198" s="194"/>
      <c r="AJ198" s="194"/>
      <c r="AK198" s="194"/>
      <c r="AL198" s="194"/>
      <c r="AM198" s="194"/>
      <c r="AN198" s="194"/>
      <c r="AO198" s="194"/>
    </row>
    <row r="199">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c r="AF199" s="194"/>
      <c r="AG199" s="194"/>
      <c r="AH199" s="194"/>
      <c r="AI199" s="194"/>
      <c r="AJ199" s="194"/>
      <c r="AK199" s="194"/>
      <c r="AL199" s="194"/>
      <c r="AM199" s="194"/>
      <c r="AN199" s="194"/>
      <c r="AO199" s="194"/>
    </row>
    <row r="200">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c r="AC200" s="194"/>
      <c r="AD200" s="194"/>
      <c r="AE200" s="194"/>
      <c r="AF200" s="194"/>
      <c r="AG200" s="194"/>
      <c r="AH200" s="194"/>
      <c r="AI200" s="194"/>
      <c r="AJ200" s="194"/>
      <c r="AK200" s="194"/>
      <c r="AL200" s="194"/>
      <c r="AM200" s="194"/>
      <c r="AN200" s="194"/>
      <c r="AO200" s="194"/>
    </row>
    <row r="201">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c r="AF201" s="194"/>
      <c r="AG201" s="194"/>
      <c r="AH201" s="194"/>
      <c r="AI201" s="194"/>
      <c r="AJ201" s="194"/>
      <c r="AK201" s="194"/>
      <c r="AL201" s="194"/>
      <c r="AM201" s="194"/>
      <c r="AN201" s="194"/>
      <c r="AO201" s="194"/>
    </row>
    <row r="202">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row>
    <row r="203">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row>
    <row r="204">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row>
    <row r="205">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row>
    <row r="206">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c r="AF206" s="194"/>
      <c r="AG206" s="194"/>
      <c r="AH206" s="194"/>
      <c r="AI206" s="194"/>
      <c r="AJ206" s="194"/>
      <c r="AK206" s="194"/>
      <c r="AL206" s="194"/>
      <c r="AM206" s="194"/>
      <c r="AN206" s="194"/>
      <c r="AO206" s="194"/>
    </row>
    <row r="207">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c r="AF207" s="194"/>
      <c r="AG207" s="194"/>
      <c r="AH207" s="194"/>
      <c r="AI207" s="194"/>
      <c r="AJ207" s="194"/>
      <c r="AK207" s="194"/>
      <c r="AL207" s="194"/>
      <c r="AM207" s="194"/>
      <c r="AN207" s="194"/>
      <c r="AO207" s="194"/>
    </row>
    <row r="208">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c r="AF208" s="194"/>
      <c r="AG208" s="194"/>
      <c r="AH208" s="194"/>
      <c r="AI208" s="194"/>
      <c r="AJ208" s="194"/>
      <c r="AK208" s="194"/>
      <c r="AL208" s="194"/>
      <c r="AM208" s="194"/>
      <c r="AN208" s="194"/>
      <c r="AO208" s="194"/>
    </row>
    <row r="209">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c r="AC209" s="194"/>
      <c r="AD209" s="194"/>
      <c r="AE209" s="194"/>
      <c r="AF209" s="194"/>
      <c r="AG209" s="194"/>
      <c r="AH209" s="194"/>
      <c r="AI209" s="194"/>
      <c r="AJ209" s="194"/>
      <c r="AK209" s="194"/>
      <c r="AL209" s="194"/>
      <c r="AM209" s="194"/>
      <c r="AN209" s="194"/>
      <c r="AO209" s="194"/>
    </row>
    <row r="210">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c r="AC210" s="194"/>
      <c r="AD210" s="194"/>
      <c r="AE210" s="194"/>
      <c r="AF210" s="194"/>
      <c r="AG210" s="194"/>
      <c r="AH210" s="194"/>
      <c r="AI210" s="194"/>
      <c r="AJ210" s="194"/>
      <c r="AK210" s="194"/>
      <c r="AL210" s="194"/>
      <c r="AM210" s="194"/>
      <c r="AN210" s="194"/>
      <c r="AO210" s="194"/>
    </row>
    <row r="211">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c r="AC211" s="194"/>
      <c r="AD211" s="194"/>
      <c r="AE211" s="194"/>
      <c r="AF211" s="194"/>
      <c r="AG211" s="194"/>
      <c r="AH211" s="194"/>
      <c r="AI211" s="194"/>
      <c r="AJ211" s="194"/>
      <c r="AK211" s="194"/>
      <c r="AL211" s="194"/>
      <c r="AM211" s="194"/>
      <c r="AN211" s="194"/>
      <c r="AO211" s="194"/>
    </row>
    <row r="212">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c r="AC212" s="194"/>
      <c r="AD212" s="194"/>
      <c r="AE212" s="194"/>
      <c r="AF212" s="194"/>
      <c r="AG212" s="194"/>
      <c r="AH212" s="194"/>
      <c r="AI212" s="194"/>
      <c r="AJ212" s="194"/>
      <c r="AK212" s="194"/>
      <c r="AL212" s="194"/>
      <c r="AM212" s="194"/>
      <c r="AN212" s="194"/>
      <c r="AO212" s="194"/>
    </row>
    <row r="213">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c r="AC213" s="194"/>
      <c r="AD213" s="194"/>
      <c r="AE213" s="194"/>
      <c r="AF213" s="194"/>
      <c r="AG213" s="194"/>
      <c r="AH213" s="194"/>
      <c r="AI213" s="194"/>
      <c r="AJ213" s="194"/>
      <c r="AK213" s="194"/>
      <c r="AL213" s="194"/>
      <c r="AM213" s="194"/>
      <c r="AN213" s="194"/>
      <c r="AO213" s="194"/>
    </row>
    <row r="214">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c r="AF214" s="194"/>
      <c r="AG214" s="194"/>
      <c r="AH214" s="194"/>
      <c r="AI214" s="194"/>
      <c r="AJ214" s="194"/>
      <c r="AK214" s="194"/>
      <c r="AL214" s="194"/>
      <c r="AM214" s="194"/>
      <c r="AN214" s="194"/>
      <c r="AO214" s="194"/>
    </row>
    <row r="215">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c r="AF215" s="194"/>
      <c r="AG215" s="194"/>
      <c r="AH215" s="194"/>
      <c r="AI215" s="194"/>
      <c r="AJ215" s="194"/>
      <c r="AK215" s="194"/>
      <c r="AL215" s="194"/>
      <c r="AM215" s="194"/>
      <c r="AN215" s="194"/>
      <c r="AO215" s="194"/>
    </row>
    <row r="216">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194"/>
      <c r="AH216" s="194"/>
      <c r="AI216" s="194"/>
      <c r="AJ216" s="194"/>
      <c r="AK216" s="194"/>
      <c r="AL216" s="194"/>
      <c r="AM216" s="194"/>
      <c r="AN216" s="194"/>
      <c r="AO216" s="194"/>
    </row>
    <row r="217">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c r="AF217" s="194"/>
      <c r="AG217" s="194"/>
      <c r="AH217" s="194"/>
      <c r="AI217" s="194"/>
      <c r="AJ217" s="194"/>
      <c r="AK217" s="194"/>
      <c r="AL217" s="194"/>
      <c r="AM217" s="194"/>
      <c r="AN217" s="194"/>
      <c r="AO217" s="194"/>
    </row>
    <row r="218">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c r="AF218" s="194"/>
      <c r="AG218" s="194"/>
      <c r="AH218" s="194"/>
      <c r="AI218" s="194"/>
      <c r="AJ218" s="194"/>
      <c r="AK218" s="194"/>
      <c r="AL218" s="194"/>
      <c r="AM218" s="194"/>
      <c r="AN218" s="194"/>
      <c r="AO218" s="194"/>
    </row>
    <row r="219">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c r="AF219" s="194"/>
      <c r="AG219" s="194"/>
      <c r="AH219" s="194"/>
      <c r="AI219" s="194"/>
      <c r="AJ219" s="194"/>
      <c r="AK219" s="194"/>
      <c r="AL219" s="194"/>
      <c r="AM219" s="194"/>
      <c r="AN219" s="194"/>
      <c r="AO219" s="194"/>
    </row>
    <row r="220">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194"/>
      <c r="AH220" s="194"/>
      <c r="AI220" s="194"/>
      <c r="AJ220" s="194"/>
      <c r="AK220" s="194"/>
      <c r="AL220" s="194"/>
      <c r="AM220" s="194"/>
      <c r="AN220" s="194"/>
      <c r="AO220" s="194"/>
    </row>
    <row r="221">
      <c r="A221" s="194"/>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194"/>
      <c r="AH221" s="194"/>
      <c r="AI221" s="194"/>
      <c r="AJ221" s="194"/>
      <c r="AK221" s="194"/>
      <c r="AL221" s="194"/>
      <c r="AM221" s="194"/>
      <c r="AN221" s="194"/>
      <c r="AO221" s="194"/>
    </row>
    <row r="222">
      <c r="A222" s="194"/>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c r="AF222" s="194"/>
      <c r="AG222" s="194"/>
      <c r="AH222" s="194"/>
      <c r="AI222" s="194"/>
      <c r="AJ222" s="194"/>
      <c r="AK222" s="194"/>
      <c r="AL222" s="194"/>
      <c r="AM222" s="194"/>
      <c r="AN222" s="194"/>
      <c r="AO222" s="194"/>
    </row>
    <row r="223">
      <c r="A223" s="194"/>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c r="AC223" s="194"/>
      <c r="AD223" s="194"/>
      <c r="AE223" s="194"/>
      <c r="AF223" s="194"/>
      <c r="AG223" s="194"/>
      <c r="AH223" s="194"/>
      <c r="AI223" s="194"/>
      <c r="AJ223" s="194"/>
      <c r="AK223" s="194"/>
      <c r="AL223" s="194"/>
      <c r="AM223" s="194"/>
      <c r="AN223" s="194"/>
      <c r="AO223" s="194"/>
    </row>
    <row r="224">
      <c r="A224" s="194"/>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c r="AC224" s="194"/>
      <c r="AD224" s="194"/>
      <c r="AE224" s="194"/>
      <c r="AF224" s="194"/>
      <c r="AG224" s="194"/>
      <c r="AH224" s="194"/>
      <c r="AI224" s="194"/>
      <c r="AJ224" s="194"/>
      <c r="AK224" s="194"/>
      <c r="AL224" s="194"/>
      <c r="AM224" s="194"/>
      <c r="AN224" s="194"/>
      <c r="AO224" s="194"/>
    </row>
    <row r="225">
      <c r="A225" s="194"/>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c r="AF225" s="194"/>
      <c r="AG225" s="194"/>
      <c r="AH225" s="194"/>
      <c r="AI225" s="194"/>
      <c r="AJ225" s="194"/>
      <c r="AK225" s="194"/>
      <c r="AL225" s="194"/>
      <c r="AM225" s="194"/>
      <c r="AN225" s="194"/>
      <c r="AO225" s="194"/>
    </row>
    <row r="226">
      <c r="A226" s="194"/>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c r="AC226" s="194"/>
      <c r="AD226" s="194"/>
      <c r="AE226" s="194"/>
      <c r="AF226" s="194"/>
      <c r="AG226" s="194"/>
      <c r="AH226" s="194"/>
      <c r="AI226" s="194"/>
      <c r="AJ226" s="194"/>
      <c r="AK226" s="194"/>
      <c r="AL226" s="194"/>
      <c r="AM226" s="194"/>
      <c r="AN226" s="194"/>
      <c r="AO226" s="194"/>
    </row>
    <row r="227">
      <c r="A227" s="194"/>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c r="AC227" s="194"/>
      <c r="AD227" s="194"/>
      <c r="AE227" s="194"/>
      <c r="AF227" s="194"/>
      <c r="AG227" s="194"/>
      <c r="AH227" s="194"/>
      <c r="AI227" s="194"/>
      <c r="AJ227" s="194"/>
      <c r="AK227" s="194"/>
      <c r="AL227" s="194"/>
      <c r="AM227" s="194"/>
      <c r="AN227" s="194"/>
      <c r="AO227" s="194"/>
    </row>
    <row r="228">
      <c r="A228" s="194"/>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c r="AC228" s="194"/>
      <c r="AD228" s="194"/>
      <c r="AE228" s="194"/>
      <c r="AF228" s="194"/>
      <c r="AG228" s="194"/>
      <c r="AH228" s="194"/>
      <c r="AI228" s="194"/>
      <c r="AJ228" s="194"/>
      <c r="AK228" s="194"/>
      <c r="AL228" s="194"/>
      <c r="AM228" s="194"/>
      <c r="AN228" s="194"/>
      <c r="AO228" s="194"/>
    </row>
    <row r="229">
      <c r="A229" s="194"/>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c r="AC229" s="194"/>
      <c r="AD229" s="194"/>
      <c r="AE229" s="194"/>
      <c r="AF229" s="194"/>
      <c r="AG229" s="194"/>
      <c r="AH229" s="194"/>
      <c r="AI229" s="194"/>
      <c r="AJ229" s="194"/>
      <c r="AK229" s="194"/>
      <c r="AL229" s="194"/>
      <c r="AM229" s="194"/>
      <c r="AN229" s="194"/>
      <c r="AO229" s="194"/>
    </row>
    <row r="230">
      <c r="A230" s="194"/>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c r="AF230" s="194"/>
      <c r="AG230" s="194"/>
      <c r="AH230" s="194"/>
      <c r="AI230" s="194"/>
      <c r="AJ230" s="194"/>
      <c r="AK230" s="194"/>
      <c r="AL230" s="194"/>
      <c r="AM230" s="194"/>
      <c r="AN230" s="194"/>
      <c r="AO230" s="194"/>
    </row>
    <row r="231">
      <c r="A231" s="194"/>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194"/>
      <c r="AH231" s="194"/>
      <c r="AI231" s="194"/>
      <c r="AJ231" s="194"/>
      <c r="AK231" s="194"/>
      <c r="AL231" s="194"/>
      <c r="AM231" s="194"/>
      <c r="AN231" s="194"/>
      <c r="AO231" s="194"/>
    </row>
    <row r="232">
      <c r="A232" s="194"/>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c r="AF232" s="194"/>
      <c r="AG232" s="194"/>
      <c r="AH232" s="194"/>
      <c r="AI232" s="194"/>
      <c r="AJ232" s="194"/>
      <c r="AK232" s="194"/>
      <c r="AL232" s="194"/>
      <c r="AM232" s="194"/>
      <c r="AN232" s="194"/>
      <c r="AO232" s="194"/>
    </row>
    <row r="233">
      <c r="A233" s="194"/>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c r="AF233" s="194"/>
      <c r="AG233" s="194"/>
      <c r="AH233" s="194"/>
      <c r="AI233" s="194"/>
      <c r="AJ233" s="194"/>
      <c r="AK233" s="194"/>
      <c r="AL233" s="194"/>
      <c r="AM233" s="194"/>
      <c r="AN233" s="194"/>
      <c r="AO233" s="194"/>
    </row>
    <row r="234">
      <c r="A234" s="194"/>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c r="AF234" s="194"/>
      <c r="AG234" s="194"/>
      <c r="AH234" s="194"/>
      <c r="AI234" s="194"/>
      <c r="AJ234" s="194"/>
      <c r="AK234" s="194"/>
      <c r="AL234" s="194"/>
      <c r="AM234" s="194"/>
      <c r="AN234" s="194"/>
      <c r="AO234" s="194"/>
    </row>
    <row r="235">
      <c r="A235" s="194"/>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c r="AF235" s="194"/>
      <c r="AG235" s="194"/>
      <c r="AH235" s="194"/>
      <c r="AI235" s="194"/>
      <c r="AJ235" s="194"/>
      <c r="AK235" s="194"/>
      <c r="AL235" s="194"/>
      <c r="AM235" s="194"/>
      <c r="AN235" s="194"/>
      <c r="AO235" s="194"/>
    </row>
    <row r="236">
      <c r="A236" s="194"/>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c r="AF236" s="194"/>
      <c r="AG236" s="194"/>
      <c r="AH236" s="194"/>
      <c r="AI236" s="194"/>
      <c r="AJ236" s="194"/>
      <c r="AK236" s="194"/>
      <c r="AL236" s="194"/>
      <c r="AM236" s="194"/>
      <c r="AN236" s="194"/>
      <c r="AO236" s="194"/>
    </row>
    <row r="237">
      <c r="A237" s="194"/>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c r="AC237" s="194"/>
      <c r="AD237" s="194"/>
      <c r="AE237" s="194"/>
      <c r="AF237" s="194"/>
      <c r="AG237" s="194"/>
      <c r="AH237" s="194"/>
      <c r="AI237" s="194"/>
      <c r="AJ237" s="194"/>
      <c r="AK237" s="194"/>
      <c r="AL237" s="194"/>
      <c r="AM237" s="194"/>
      <c r="AN237" s="194"/>
      <c r="AO237" s="194"/>
    </row>
    <row r="238">
      <c r="A238" s="194"/>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c r="AA238" s="194"/>
      <c r="AB238" s="194"/>
      <c r="AC238" s="194"/>
      <c r="AD238" s="194"/>
      <c r="AE238" s="194"/>
      <c r="AF238" s="194"/>
      <c r="AG238" s="194"/>
      <c r="AH238" s="194"/>
      <c r="AI238" s="194"/>
      <c r="AJ238" s="194"/>
      <c r="AK238" s="194"/>
      <c r="AL238" s="194"/>
      <c r="AM238" s="194"/>
      <c r="AN238" s="194"/>
      <c r="AO238" s="194"/>
    </row>
    <row r="239">
      <c r="A239" s="194"/>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c r="AA239" s="194"/>
      <c r="AB239" s="194"/>
      <c r="AC239" s="194"/>
      <c r="AD239" s="194"/>
      <c r="AE239" s="194"/>
      <c r="AF239" s="194"/>
      <c r="AG239" s="194"/>
      <c r="AH239" s="194"/>
      <c r="AI239" s="194"/>
      <c r="AJ239" s="194"/>
      <c r="AK239" s="194"/>
      <c r="AL239" s="194"/>
      <c r="AM239" s="194"/>
      <c r="AN239" s="194"/>
      <c r="AO239" s="194"/>
    </row>
    <row r="240">
      <c r="A240" s="194"/>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c r="AC240" s="194"/>
      <c r="AD240" s="194"/>
      <c r="AE240" s="194"/>
      <c r="AF240" s="194"/>
      <c r="AG240" s="194"/>
      <c r="AH240" s="194"/>
      <c r="AI240" s="194"/>
      <c r="AJ240" s="194"/>
      <c r="AK240" s="194"/>
      <c r="AL240" s="194"/>
      <c r="AM240" s="194"/>
      <c r="AN240" s="194"/>
      <c r="AO240" s="194"/>
    </row>
    <row r="241">
      <c r="A241" s="194"/>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c r="AC241" s="194"/>
      <c r="AD241" s="194"/>
      <c r="AE241" s="194"/>
      <c r="AF241" s="194"/>
      <c r="AG241" s="194"/>
      <c r="AH241" s="194"/>
      <c r="AI241" s="194"/>
      <c r="AJ241" s="194"/>
      <c r="AK241" s="194"/>
      <c r="AL241" s="194"/>
      <c r="AM241" s="194"/>
      <c r="AN241" s="194"/>
      <c r="AO241" s="194"/>
    </row>
    <row r="242">
      <c r="A242" s="194"/>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c r="AF242" s="194"/>
      <c r="AG242" s="194"/>
      <c r="AH242" s="194"/>
      <c r="AI242" s="194"/>
      <c r="AJ242" s="194"/>
      <c r="AK242" s="194"/>
      <c r="AL242" s="194"/>
      <c r="AM242" s="194"/>
      <c r="AN242" s="194"/>
      <c r="AO242" s="194"/>
    </row>
    <row r="243">
      <c r="A243" s="194"/>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c r="AF243" s="194"/>
      <c r="AG243" s="194"/>
      <c r="AH243" s="194"/>
      <c r="AI243" s="194"/>
      <c r="AJ243" s="194"/>
      <c r="AK243" s="194"/>
      <c r="AL243" s="194"/>
      <c r="AM243" s="194"/>
      <c r="AN243" s="194"/>
      <c r="AO243" s="194"/>
    </row>
    <row r="244">
      <c r="A244" s="194"/>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c r="AC244" s="194"/>
      <c r="AD244" s="194"/>
      <c r="AE244" s="194"/>
      <c r="AF244" s="194"/>
      <c r="AG244" s="194"/>
      <c r="AH244" s="194"/>
      <c r="AI244" s="194"/>
      <c r="AJ244" s="194"/>
      <c r="AK244" s="194"/>
      <c r="AL244" s="194"/>
      <c r="AM244" s="194"/>
      <c r="AN244" s="194"/>
      <c r="AO244" s="194"/>
    </row>
    <row r="245">
      <c r="A245" s="194"/>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194"/>
      <c r="AH245" s="194"/>
      <c r="AI245" s="194"/>
      <c r="AJ245" s="194"/>
      <c r="AK245" s="194"/>
      <c r="AL245" s="194"/>
      <c r="AM245" s="194"/>
      <c r="AN245" s="194"/>
      <c r="AO245" s="194"/>
    </row>
    <row r="246">
      <c r="A246" s="194"/>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c r="AC246" s="194"/>
      <c r="AD246" s="194"/>
      <c r="AE246" s="194"/>
      <c r="AF246" s="194"/>
      <c r="AG246" s="194"/>
      <c r="AH246" s="194"/>
      <c r="AI246" s="194"/>
      <c r="AJ246" s="194"/>
      <c r="AK246" s="194"/>
      <c r="AL246" s="194"/>
      <c r="AM246" s="194"/>
      <c r="AN246" s="194"/>
      <c r="AO246" s="194"/>
    </row>
    <row r="247">
      <c r="A247" s="194"/>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c r="AC247" s="194"/>
      <c r="AD247" s="194"/>
      <c r="AE247" s="194"/>
      <c r="AF247" s="194"/>
      <c r="AG247" s="194"/>
      <c r="AH247" s="194"/>
      <c r="AI247" s="194"/>
      <c r="AJ247" s="194"/>
      <c r="AK247" s="194"/>
      <c r="AL247" s="194"/>
      <c r="AM247" s="194"/>
      <c r="AN247" s="194"/>
      <c r="AO247" s="194"/>
    </row>
    <row r="248">
      <c r="A248" s="194"/>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c r="AC248" s="194"/>
      <c r="AD248" s="194"/>
      <c r="AE248" s="194"/>
      <c r="AF248" s="194"/>
      <c r="AG248" s="194"/>
      <c r="AH248" s="194"/>
      <c r="AI248" s="194"/>
      <c r="AJ248" s="194"/>
      <c r="AK248" s="194"/>
      <c r="AL248" s="194"/>
      <c r="AM248" s="194"/>
      <c r="AN248" s="194"/>
      <c r="AO248" s="194"/>
    </row>
    <row r="249">
      <c r="A249" s="194"/>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c r="AC249" s="194"/>
      <c r="AD249" s="194"/>
      <c r="AE249" s="194"/>
      <c r="AF249" s="194"/>
      <c r="AG249" s="194"/>
      <c r="AH249" s="194"/>
      <c r="AI249" s="194"/>
      <c r="AJ249" s="194"/>
      <c r="AK249" s="194"/>
      <c r="AL249" s="194"/>
      <c r="AM249" s="194"/>
      <c r="AN249" s="194"/>
      <c r="AO249" s="194"/>
    </row>
    <row r="250">
      <c r="A250" s="194"/>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c r="AC250" s="194"/>
      <c r="AD250" s="194"/>
      <c r="AE250" s="194"/>
      <c r="AF250" s="194"/>
      <c r="AG250" s="194"/>
      <c r="AH250" s="194"/>
      <c r="AI250" s="194"/>
      <c r="AJ250" s="194"/>
      <c r="AK250" s="194"/>
      <c r="AL250" s="194"/>
      <c r="AM250" s="194"/>
      <c r="AN250" s="194"/>
      <c r="AO250" s="194"/>
    </row>
    <row r="251">
      <c r="A251" s="194"/>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c r="AC251" s="194"/>
      <c r="AD251" s="194"/>
      <c r="AE251" s="194"/>
      <c r="AF251" s="194"/>
      <c r="AG251" s="194"/>
      <c r="AH251" s="194"/>
      <c r="AI251" s="194"/>
      <c r="AJ251" s="194"/>
      <c r="AK251" s="194"/>
      <c r="AL251" s="194"/>
      <c r="AM251" s="194"/>
      <c r="AN251" s="194"/>
      <c r="AO251" s="194"/>
    </row>
    <row r="252">
      <c r="A252" s="194"/>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row>
    <row r="253">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row>
    <row r="254">
      <c r="A254" s="194"/>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c r="AC254" s="194"/>
      <c r="AD254" s="194"/>
      <c r="AE254" s="194"/>
      <c r="AF254" s="194"/>
      <c r="AG254" s="194"/>
      <c r="AH254" s="194"/>
      <c r="AI254" s="194"/>
      <c r="AJ254" s="194"/>
      <c r="AK254" s="194"/>
      <c r="AL254" s="194"/>
      <c r="AM254" s="194"/>
      <c r="AN254" s="194"/>
      <c r="AO254" s="194"/>
    </row>
    <row r="25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c r="AC255" s="194"/>
      <c r="AD255" s="194"/>
      <c r="AE255" s="194"/>
      <c r="AF255" s="194"/>
      <c r="AG255" s="194"/>
      <c r="AH255" s="194"/>
      <c r="AI255" s="194"/>
      <c r="AJ255" s="194"/>
      <c r="AK255" s="194"/>
      <c r="AL255" s="194"/>
      <c r="AM255" s="194"/>
      <c r="AN255" s="194"/>
      <c r="AO255" s="194"/>
    </row>
    <row r="256">
      <c r="A256" s="194"/>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c r="AC256" s="194"/>
      <c r="AD256" s="194"/>
      <c r="AE256" s="194"/>
      <c r="AF256" s="194"/>
      <c r="AG256" s="194"/>
      <c r="AH256" s="194"/>
      <c r="AI256" s="194"/>
      <c r="AJ256" s="194"/>
      <c r="AK256" s="194"/>
      <c r="AL256" s="194"/>
      <c r="AM256" s="194"/>
      <c r="AN256" s="194"/>
      <c r="AO256" s="194"/>
    </row>
    <row r="257">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c r="AC257" s="194"/>
      <c r="AD257" s="194"/>
      <c r="AE257" s="194"/>
      <c r="AF257" s="194"/>
      <c r="AG257" s="194"/>
      <c r="AH257" s="194"/>
      <c r="AI257" s="194"/>
      <c r="AJ257" s="194"/>
      <c r="AK257" s="194"/>
      <c r="AL257" s="194"/>
      <c r="AM257" s="194"/>
      <c r="AN257" s="194"/>
      <c r="AO257" s="194"/>
    </row>
    <row r="258">
      <c r="A258" s="194"/>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c r="AC258" s="194"/>
      <c r="AD258" s="194"/>
      <c r="AE258" s="194"/>
      <c r="AF258" s="194"/>
      <c r="AG258" s="194"/>
      <c r="AH258" s="194"/>
      <c r="AI258" s="194"/>
      <c r="AJ258" s="194"/>
      <c r="AK258" s="194"/>
      <c r="AL258" s="194"/>
      <c r="AM258" s="194"/>
      <c r="AN258" s="194"/>
      <c r="AO258" s="194"/>
    </row>
    <row r="259">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c r="AC259" s="194"/>
      <c r="AD259" s="194"/>
      <c r="AE259" s="194"/>
      <c r="AF259" s="194"/>
      <c r="AG259" s="194"/>
      <c r="AH259" s="194"/>
      <c r="AI259" s="194"/>
      <c r="AJ259" s="194"/>
      <c r="AK259" s="194"/>
      <c r="AL259" s="194"/>
      <c r="AM259" s="194"/>
      <c r="AN259" s="194"/>
      <c r="AO259" s="194"/>
    </row>
    <row r="260">
      <c r="A260" s="194"/>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c r="AF260" s="194"/>
      <c r="AG260" s="194"/>
      <c r="AH260" s="194"/>
      <c r="AI260" s="194"/>
      <c r="AJ260" s="194"/>
      <c r="AK260" s="194"/>
      <c r="AL260" s="194"/>
      <c r="AM260" s="194"/>
      <c r="AN260" s="194"/>
      <c r="AO260" s="194"/>
    </row>
    <row r="261">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c r="AC261" s="194"/>
      <c r="AD261" s="194"/>
      <c r="AE261" s="194"/>
      <c r="AF261" s="194"/>
      <c r="AG261" s="194"/>
      <c r="AH261" s="194"/>
      <c r="AI261" s="194"/>
      <c r="AJ261" s="194"/>
      <c r="AK261" s="194"/>
      <c r="AL261" s="194"/>
      <c r="AM261" s="194"/>
      <c r="AN261" s="194"/>
      <c r="AO261" s="194"/>
    </row>
    <row r="262">
      <c r="A262" s="194"/>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c r="AC262" s="194"/>
      <c r="AD262" s="194"/>
      <c r="AE262" s="194"/>
      <c r="AF262" s="194"/>
      <c r="AG262" s="194"/>
      <c r="AH262" s="194"/>
      <c r="AI262" s="194"/>
      <c r="AJ262" s="194"/>
      <c r="AK262" s="194"/>
      <c r="AL262" s="194"/>
      <c r="AM262" s="194"/>
      <c r="AN262" s="194"/>
      <c r="AO262" s="194"/>
    </row>
    <row r="263">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c r="AF263" s="194"/>
      <c r="AG263" s="194"/>
      <c r="AH263" s="194"/>
      <c r="AI263" s="194"/>
      <c r="AJ263" s="194"/>
      <c r="AK263" s="194"/>
      <c r="AL263" s="194"/>
      <c r="AM263" s="194"/>
      <c r="AN263" s="194"/>
      <c r="AO263" s="194"/>
    </row>
    <row r="264">
      <c r="A264" s="194"/>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c r="AA264" s="194"/>
      <c r="AB264" s="194"/>
      <c r="AC264" s="194"/>
      <c r="AD264" s="194"/>
      <c r="AE264" s="194"/>
      <c r="AF264" s="194"/>
      <c r="AG264" s="194"/>
      <c r="AH264" s="194"/>
      <c r="AI264" s="194"/>
      <c r="AJ264" s="194"/>
      <c r="AK264" s="194"/>
      <c r="AL264" s="194"/>
      <c r="AM264" s="194"/>
      <c r="AN264" s="194"/>
      <c r="AO264" s="194"/>
    </row>
    <row r="26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c r="AC265" s="194"/>
      <c r="AD265" s="194"/>
      <c r="AE265" s="194"/>
      <c r="AF265" s="194"/>
      <c r="AG265" s="194"/>
      <c r="AH265" s="194"/>
      <c r="AI265" s="194"/>
      <c r="AJ265" s="194"/>
      <c r="AK265" s="194"/>
      <c r="AL265" s="194"/>
      <c r="AM265" s="194"/>
      <c r="AN265" s="194"/>
      <c r="AO265" s="194"/>
    </row>
    <row r="266">
      <c r="A266" s="194"/>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c r="AA266" s="194"/>
      <c r="AB266" s="194"/>
      <c r="AC266" s="194"/>
      <c r="AD266" s="194"/>
      <c r="AE266" s="194"/>
      <c r="AF266" s="194"/>
      <c r="AG266" s="194"/>
      <c r="AH266" s="194"/>
      <c r="AI266" s="194"/>
      <c r="AJ266" s="194"/>
      <c r="AK266" s="194"/>
      <c r="AL266" s="194"/>
      <c r="AM266" s="194"/>
      <c r="AN266" s="194"/>
      <c r="AO266" s="194"/>
    </row>
    <row r="267">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c r="AC267" s="194"/>
      <c r="AD267" s="194"/>
      <c r="AE267" s="194"/>
      <c r="AF267" s="194"/>
      <c r="AG267" s="194"/>
      <c r="AH267" s="194"/>
      <c r="AI267" s="194"/>
      <c r="AJ267" s="194"/>
      <c r="AK267" s="194"/>
      <c r="AL267" s="194"/>
      <c r="AM267" s="194"/>
      <c r="AN267" s="194"/>
      <c r="AO267" s="194"/>
    </row>
    <row r="268">
      <c r="A268" s="194"/>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c r="AC268" s="194"/>
      <c r="AD268" s="194"/>
      <c r="AE268" s="194"/>
      <c r="AF268" s="194"/>
      <c r="AG268" s="194"/>
      <c r="AH268" s="194"/>
      <c r="AI268" s="194"/>
      <c r="AJ268" s="194"/>
      <c r="AK268" s="194"/>
      <c r="AL268" s="194"/>
      <c r="AM268" s="194"/>
      <c r="AN268" s="194"/>
      <c r="AO268" s="194"/>
    </row>
    <row r="269">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row>
    <row r="270">
      <c r="A270" s="194"/>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row>
    <row r="271">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row>
    <row r="272">
      <c r="A272" s="194"/>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row>
    <row r="273">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c r="AF273" s="194"/>
      <c r="AG273" s="194"/>
      <c r="AH273" s="194"/>
      <c r="AI273" s="194"/>
      <c r="AJ273" s="194"/>
      <c r="AK273" s="194"/>
      <c r="AL273" s="194"/>
      <c r="AM273" s="194"/>
      <c r="AN273" s="194"/>
      <c r="AO273" s="194"/>
    </row>
    <row r="274">
      <c r="A274" s="194"/>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row>
    <row r="27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c r="AF275" s="194"/>
      <c r="AG275" s="194"/>
      <c r="AH275" s="194"/>
      <c r="AI275" s="194"/>
      <c r="AJ275" s="194"/>
      <c r="AK275" s="194"/>
      <c r="AL275" s="194"/>
      <c r="AM275" s="194"/>
      <c r="AN275" s="194"/>
      <c r="AO275" s="194"/>
    </row>
    <row r="276">
      <c r="A276" s="194"/>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c r="AA276" s="194"/>
      <c r="AB276" s="194"/>
      <c r="AC276" s="194"/>
      <c r="AD276" s="194"/>
      <c r="AE276" s="194"/>
      <c r="AF276" s="194"/>
      <c r="AG276" s="194"/>
      <c r="AH276" s="194"/>
      <c r="AI276" s="194"/>
      <c r="AJ276" s="194"/>
      <c r="AK276" s="194"/>
      <c r="AL276" s="194"/>
      <c r="AM276" s="194"/>
      <c r="AN276" s="194"/>
      <c r="AO276" s="194"/>
    </row>
    <row r="277">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c r="AC277" s="194"/>
      <c r="AD277" s="194"/>
      <c r="AE277" s="194"/>
      <c r="AF277" s="194"/>
      <c r="AG277" s="194"/>
      <c r="AH277" s="194"/>
      <c r="AI277" s="194"/>
      <c r="AJ277" s="194"/>
      <c r="AK277" s="194"/>
      <c r="AL277" s="194"/>
      <c r="AM277" s="194"/>
      <c r="AN277" s="194"/>
      <c r="AO277" s="194"/>
    </row>
    <row r="278">
      <c r="A278" s="194"/>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c r="AC278" s="194"/>
      <c r="AD278" s="194"/>
      <c r="AE278" s="194"/>
      <c r="AF278" s="194"/>
      <c r="AG278" s="194"/>
      <c r="AH278" s="194"/>
      <c r="AI278" s="194"/>
      <c r="AJ278" s="194"/>
      <c r="AK278" s="194"/>
      <c r="AL278" s="194"/>
      <c r="AM278" s="194"/>
      <c r="AN278" s="194"/>
      <c r="AO278" s="194"/>
    </row>
    <row r="279">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c r="AC279" s="194"/>
      <c r="AD279" s="194"/>
      <c r="AE279" s="194"/>
      <c r="AF279" s="194"/>
      <c r="AG279" s="194"/>
      <c r="AH279" s="194"/>
      <c r="AI279" s="194"/>
      <c r="AJ279" s="194"/>
      <c r="AK279" s="194"/>
      <c r="AL279" s="194"/>
      <c r="AM279" s="194"/>
      <c r="AN279" s="194"/>
      <c r="AO279" s="194"/>
    </row>
    <row r="280">
      <c r="A280" s="194"/>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c r="AA280" s="194"/>
      <c r="AB280" s="194"/>
      <c r="AC280" s="194"/>
      <c r="AD280" s="194"/>
      <c r="AE280" s="194"/>
      <c r="AF280" s="194"/>
      <c r="AG280" s="194"/>
      <c r="AH280" s="194"/>
      <c r="AI280" s="194"/>
      <c r="AJ280" s="194"/>
      <c r="AK280" s="194"/>
      <c r="AL280" s="194"/>
      <c r="AM280" s="194"/>
      <c r="AN280" s="194"/>
      <c r="AO280" s="194"/>
    </row>
    <row r="281">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c r="AC281" s="194"/>
      <c r="AD281" s="194"/>
      <c r="AE281" s="194"/>
      <c r="AF281" s="194"/>
      <c r="AG281" s="194"/>
      <c r="AH281" s="194"/>
      <c r="AI281" s="194"/>
      <c r="AJ281" s="194"/>
      <c r="AK281" s="194"/>
      <c r="AL281" s="194"/>
      <c r="AM281" s="194"/>
      <c r="AN281" s="194"/>
      <c r="AO281" s="194"/>
    </row>
    <row r="282">
      <c r="A282" s="194"/>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c r="AA282" s="194"/>
      <c r="AB282" s="194"/>
      <c r="AC282" s="194"/>
      <c r="AD282" s="194"/>
      <c r="AE282" s="194"/>
      <c r="AF282" s="194"/>
      <c r="AG282" s="194"/>
      <c r="AH282" s="194"/>
      <c r="AI282" s="194"/>
      <c r="AJ282" s="194"/>
      <c r="AK282" s="194"/>
      <c r="AL282" s="194"/>
      <c r="AM282" s="194"/>
      <c r="AN282" s="194"/>
      <c r="AO282" s="194"/>
    </row>
    <row r="283">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c r="AC283" s="194"/>
      <c r="AD283" s="194"/>
      <c r="AE283" s="194"/>
      <c r="AF283" s="194"/>
      <c r="AG283" s="194"/>
      <c r="AH283" s="194"/>
      <c r="AI283" s="194"/>
      <c r="AJ283" s="194"/>
      <c r="AK283" s="194"/>
      <c r="AL283" s="194"/>
      <c r="AM283" s="194"/>
      <c r="AN283" s="194"/>
      <c r="AO283" s="194"/>
    </row>
    <row r="284">
      <c r="A284" s="194"/>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c r="AA284" s="194"/>
      <c r="AB284" s="194"/>
      <c r="AC284" s="194"/>
      <c r="AD284" s="194"/>
      <c r="AE284" s="194"/>
      <c r="AF284" s="194"/>
      <c r="AG284" s="194"/>
      <c r="AH284" s="194"/>
      <c r="AI284" s="194"/>
      <c r="AJ284" s="194"/>
      <c r="AK284" s="194"/>
      <c r="AL284" s="194"/>
      <c r="AM284" s="194"/>
      <c r="AN284" s="194"/>
      <c r="AO284" s="194"/>
    </row>
    <row r="28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c r="AC285" s="194"/>
      <c r="AD285" s="194"/>
      <c r="AE285" s="194"/>
      <c r="AF285" s="194"/>
      <c r="AG285" s="194"/>
      <c r="AH285" s="194"/>
      <c r="AI285" s="194"/>
      <c r="AJ285" s="194"/>
      <c r="AK285" s="194"/>
      <c r="AL285" s="194"/>
      <c r="AM285" s="194"/>
      <c r="AN285" s="194"/>
      <c r="AO285" s="194"/>
    </row>
    <row r="286">
      <c r="A286" s="194"/>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c r="AA286" s="194"/>
      <c r="AB286" s="194"/>
      <c r="AC286" s="194"/>
      <c r="AD286" s="194"/>
      <c r="AE286" s="194"/>
      <c r="AF286" s="194"/>
      <c r="AG286" s="194"/>
      <c r="AH286" s="194"/>
      <c r="AI286" s="194"/>
      <c r="AJ286" s="194"/>
      <c r="AK286" s="194"/>
      <c r="AL286" s="194"/>
      <c r="AM286" s="194"/>
      <c r="AN286" s="194"/>
      <c r="AO286" s="194"/>
    </row>
    <row r="287">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c r="AC287" s="194"/>
      <c r="AD287" s="194"/>
      <c r="AE287" s="194"/>
      <c r="AF287" s="194"/>
      <c r="AG287" s="194"/>
      <c r="AH287" s="194"/>
      <c r="AI287" s="194"/>
      <c r="AJ287" s="194"/>
      <c r="AK287" s="194"/>
      <c r="AL287" s="194"/>
      <c r="AM287" s="194"/>
      <c r="AN287" s="194"/>
      <c r="AO287" s="194"/>
    </row>
    <row r="288">
      <c r="A288" s="194"/>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c r="AA288" s="194"/>
      <c r="AB288" s="194"/>
      <c r="AC288" s="194"/>
      <c r="AD288" s="194"/>
      <c r="AE288" s="194"/>
      <c r="AF288" s="194"/>
      <c r="AG288" s="194"/>
      <c r="AH288" s="194"/>
      <c r="AI288" s="194"/>
      <c r="AJ288" s="194"/>
      <c r="AK288" s="194"/>
      <c r="AL288" s="194"/>
      <c r="AM288" s="194"/>
      <c r="AN288" s="194"/>
      <c r="AO288" s="194"/>
    </row>
    <row r="289">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c r="AC289" s="194"/>
      <c r="AD289" s="194"/>
      <c r="AE289" s="194"/>
      <c r="AF289" s="194"/>
      <c r="AG289" s="194"/>
      <c r="AH289" s="194"/>
      <c r="AI289" s="194"/>
      <c r="AJ289" s="194"/>
      <c r="AK289" s="194"/>
      <c r="AL289" s="194"/>
      <c r="AM289" s="194"/>
      <c r="AN289" s="194"/>
      <c r="AO289" s="194"/>
    </row>
    <row r="290">
      <c r="A290" s="194"/>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c r="AA290" s="194"/>
      <c r="AB290" s="194"/>
      <c r="AC290" s="194"/>
      <c r="AD290" s="194"/>
      <c r="AE290" s="194"/>
      <c r="AF290" s="194"/>
      <c r="AG290" s="194"/>
      <c r="AH290" s="194"/>
      <c r="AI290" s="194"/>
      <c r="AJ290" s="194"/>
      <c r="AK290" s="194"/>
      <c r="AL290" s="194"/>
      <c r="AM290" s="194"/>
      <c r="AN290" s="194"/>
      <c r="AO290" s="194"/>
    </row>
    <row r="291">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c r="AC291" s="194"/>
      <c r="AD291" s="194"/>
      <c r="AE291" s="194"/>
      <c r="AF291" s="194"/>
      <c r="AG291" s="194"/>
      <c r="AH291" s="194"/>
      <c r="AI291" s="194"/>
      <c r="AJ291" s="194"/>
      <c r="AK291" s="194"/>
      <c r="AL291" s="194"/>
      <c r="AM291" s="194"/>
      <c r="AN291" s="194"/>
      <c r="AO291" s="194"/>
    </row>
    <row r="292">
      <c r="A292" s="194"/>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c r="AF292" s="194"/>
      <c r="AG292" s="194"/>
      <c r="AH292" s="194"/>
      <c r="AI292" s="194"/>
      <c r="AJ292" s="194"/>
      <c r="AK292" s="194"/>
      <c r="AL292" s="194"/>
      <c r="AM292" s="194"/>
      <c r="AN292" s="194"/>
      <c r="AO292" s="194"/>
    </row>
    <row r="293">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c r="AC293" s="194"/>
      <c r="AD293" s="194"/>
      <c r="AE293" s="194"/>
      <c r="AF293" s="194"/>
      <c r="AG293" s="194"/>
      <c r="AH293" s="194"/>
      <c r="AI293" s="194"/>
      <c r="AJ293" s="194"/>
      <c r="AK293" s="194"/>
      <c r="AL293" s="194"/>
      <c r="AM293" s="194"/>
      <c r="AN293" s="194"/>
      <c r="AO293" s="194"/>
    </row>
    <row r="294">
      <c r="A294" s="194"/>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c r="AA294" s="194"/>
      <c r="AB294" s="194"/>
      <c r="AC294" s="194"/>
      <c r="AD294" s="194"/>
      <c r="AE294" s="194"/>
      <c r="AF294" s="194"/>
      <c r="AG294" s="194"/>
      <c r="AH294" s="194"/>
      <c r="AI294" s="194"/>
      <c r="AJ294" s="194"/>
      <c r="AK294" s="194"/>
      <c r="AL294" s="194"/>
      <c r="AM294" s="194"/>
      <c r="AN294" s="194"/>
      <c r="AO294" s="194"/>
    </row>
    <row r="29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c r="AC295" s="194"/>
      <c r="AD295" s="194"/>
      <c r="AE295" s="194"/>
      <c r="AF295" s="194"/>
      <c r="AG295" s="194"/>
      <c r="AH295" s="194"/>
      <c r="AI295" s="194"/>
      <c r="AJ295" s="194"/>
      <c r="AK295" s="194"/>
      <c r="AL295" s="194"/>
      <c r="AM295" s="194"/>
      <c r="AN295" s="194"/>
      <c r="AO295" s="194"/>
    </row>
    <row r="296">
      <c r="A296" s="194"/>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c r="AA296" s="194"/>
      <c r="AB296" s="194"/>
      <c r="AC296" s="194"/>
      <c r="AD296" s="194"/>
      <c r="AE296" s="194"/>
      <c r="AF296" s="194"/>
      <c r="AG296" s="194"/>
      <c r="AH296" s="194"/>
      <c r="AI296" s="194"/>
      <c r="AJ296" s="194"/>
      <c r="AK296" s="194"/>
      <c r="AL296" s="194"/>
      <c r="AM296" s="194"/>
      <c r="AN296" s="194"/>
      <c r="AO296" s="194"/>
    </row>
    <row r="297">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c r="AC297" s="194"/>
      <c r="AD297" s="194"/>
      <c r="AE297" s="194"/>
      <c r="AF297" s="194"/>
      <c r="AG297" s="194"/>
      <c r="AH297" s="194"/>
      <c r="AI297" s="194"/>
      <c r="AJ297" s="194"/>
      <c r="AK297" s="194"/>
      <c r="AL297" s="194"/>
      <c r="AM297" s="194"/>
      <c r="AN297" s="194"/>
      <c r="AO297" s="194"/>
    </row>
    <row r="298">
      <c r="A298" s="194"/>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c r="AA298" s="194"/>
      <c r="AB298" s="194"/>
      <c r="AC298" s="194"/>
      <c r="AD298" s="194"/>
      <c r="AE298" s="194"/>
      <c r="AF298" s="194"/>
      <c r="AG298" s="194"/>
      <c r="AH298" s="194"/>
      <c r="AI298" s="194"/>
      <c r="AJ298" s="194"/>
      <c r="AK298" s="194"/>
      <c r="AL298" s="194"/>
      <c r="AM298" s="194"/>
      <c r="AN298" s="194"/>
      <c r="AO298" s="194"/>
    </row>
    <row r="299">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c r="AC299" s="194"/>
      <c r="AD299" s="194"/>
      <c r="AE299" s="194"/>
      <c r="AF299" s="194"/>
      <c r="AG299" s="194"/>
      <c r="AH299" s="194"/>
      <c r="AI299" s="194"/>
      <c r="AJ299" s="194"/>
      <c r="AK299" s="194"/>
      <c r="AL299" s="194"/>
      <c r="AM299" s="194"/>
      <c r="AN299" s="194"/>
      <c r="AO299" s="194"/>
    </row>
    <row r="300">
      <c r="A300" s="194"/>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c r="AA300" s="194"/>
      <c r="AB300" s="194"/>
      <c r="AC300" s="194"/>
      <c r="AD300" s="194"/>
      <c r="AE300" s="194"/>
      <c r="AF300" s="194"/>
      <c r="AG300" s="194"/>
      <c r="AH300" s="194"/>
      <c r="AI300" s="194"/>
      <c r="AJ300" s="194"/>
      <c r="AK300" s="194"/>
      <c r="AL300" s="194"/>
      <c r="AM300" s="194"/>
      <c r="AN300" s="194"/>
      <c r="AO300" s="194"/>
    </row>
    <row r="301">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c r="AC301" s="194"/>
      <c r="AD301" s="194"/>
      <c r="AE301" s="194"/>
      <c r="AF301" s="194"/>
      <c r="AG301" s="194"/>
      <c r="AH301" s="194"/>
      <c r="AI301" s="194"/>
      <c r="AJ301" s="194"/>
      <c r="AK301" s="194"/>
      <c r="AL301" s="194"/>
      <c r="AM301" s="194"/>
      <c r="AN301" s="194"/>
      <c r="AO301" s="194"/>
    </row>
    <row r="302">
      <c r="A302" s="194"/>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c r="AA302" s="194"/>
      <c r="AB302" s="194"/>
      <c r="AC302" s="194"/>
      <c r="AD302" s="194"/>
      <c r="AE302" s="194"/>
      <c r="AF302" s="194"/>
      <c r="AG302" s="194"/>
      <c r="AH302" s="194"/>
      <c r="AI302" s="194"/>
      <c r="AJ302" s="194"/>
      <c r="AK302" s="194"/>
      <c r="AL302" s="194"/>
      <c r="AM302" s="194"/>
      <c r="AN302" s="194"/>
      <c r="AO302" s="194"/>
    </row>
    <row r="303">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c r="AC303" s="194"/>
      <c r="AD303" s="194"/>
      <c r="AE303" s="194"/>
      <c r="AF303" s="194"/>
      <c r="AG303" s="194"/>
      <c r="AH303" s="194"/>
      <c r="AI303" s="194"/>
      <c r="AJ303" s="194"/>
      <c r="AK303" s="194"/>
      <c r="AL303" s="194"/>
      <c r="AM303" s="194"/>
      <c r="AN303" s="194"/>
      <c r="AO303" s="194"/>
    </row>
    <row r="304">
      <c r="A304" s="194"/>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c r="AA304" s="194"/>
      <c r="AB304" s="194"/>
      <c r="AC304" s="194"/>
      <c r="AD304" s="194"/>
      <c r="AE304" s="194"/>
      <c r="AF304" s="194"/>
      <c r="AG304" s="194"/>
      <c r="AH304" s="194"/>
      <c r="AI304" s="194"/>
      <c r="AJ304" s="194"/>
      <c r="AK304" s="194"/>
      <c r="AL304" s="194"/>
      <c r="AM304" s="194"/>
      <c r="AN304" s="194"/>
      <c r="AO304" s="194"/>
    </row>
    <row r="30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c r="AC305" s="194"/>
      <c r="AD305" s="194"/>
      <c r="AE305" s="194"/>
      <c r="AF305" s="194"/>
      <c r="AG305" s="194"/>
      <c r="AH305" s="194"/>
      <c r="AI305" s="194"/>
      <c r="AJ305" s="194"/>
      <c r="AK305" s="194"/>
      <c r="AL305" s="194"/>
      <c r="AM305" s="194"/>
      <c r="AN305" s="194"/>
      <c r="AO305" s="194"/>
    </row>
    <row r="306">
      <c r="A306" s="194"/>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c r="AA306" s="194"/>
      <c r="AB306" s="194"/>
      <c r="AC306" s="194"/>
      <c r="AD306" s="194"/>
      <c r="AE306" s="194"/>
      <c r="AF306" s="194"/>
      <c r="AG306" s="194"/>
      <c r="AH306" s="194"/>
      <c r="AI306" s="194"/>
      <c r="AJ306" s="194"/>
      <c r="AK306" s="194"/>
      <c r="AL306" s="194"/>
      <c r="AM306" s="194"/>
      <c r="AN306" s="194"/>
      <c r="AO306" s="194"/>
    </row>
    <row r="307">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c r="AC307" s="194"/>
      <c r="AD307" s="194"/>
      <c r="AE307" s="194"/>
      <c r="AF307" s="194"/>
      <c r="AG307" s="194"/>
      <c r="AH307" s="194"/>
      <c r="AI307" s="194"/>
      <c r="AJ307" s="194"/>
      <c r="AK307" s="194"/>
      <c r="AL307" s="194"/>
      <c r="AM307" s="194"/>
      <c r="AN307" s="194"/>
      <c r="AO307" s="194"/>
    </row>
    <row r="308">
      <c r="A308" s="194"/>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c r="AA308" s="194"/>
      <c r="AB308" s="194"/>
      <c r="AC308" s="194"/>
      <c r="AD308" s="194"/>
      <c r="AE308" s="194"/>
      <c r="AF308" s="194"/>
      <c r="AG308" s="194"/>
      <c r="AH308" s="194"/>
      <c r="AI308" s="194"/>
      <c r="AJ308" s="194"/>
      <c r="AK308" s="194"/>
      <c r="AL308" s="194"/>
      <c r="AM308" s="194"/>
      <c r="AN308" s="194"/>
      <c r="AO308" s="194"/>
    </row>
    <row r="309">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c r="AC309" s="194"/>
      <c r="AD309" s="194"/>
      <c r="AE309" s="194"/>
      <c r="AF309" s="194"/>
      <c r="AG309" s="194"/>
      <c r="AH309" s="194"/>
      <c r="AI309" s="194"/>
      <c r="AJ309" s="194"/>
      <c r="AK309" s="194"/>
      <c r="AL309" s="194"/>
      <c r="AM309" s="194"/>
      <c r="AN309" s="194"/>
      <c r="AO309" s="194"/>
    </row>
    <row r="310">
      <c r="A310" s="194"/>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c r="AA310" s="194"/>
      <c r="AB310" s="194"/>
      <c r="AC310" s="194"/>
      <c r="AD310" s="194"/>
      <c r="AE310" s="194"/>
      <c r="AF310" s="194"/>
      <c r="AG310" s="194"/>
      <c r="AH310" s="194"/>
      <c r="AI310" s="194"/>
      <c r="AJ310" s="194"/>
      <c r="AK310" s="194"/>
      <c r="AL310" s="194"/>
      <c r="AM310" s="194"/>
      <c r="AN310" s="194"/>
      <c r="AO310" s="194"/>
    </row>
    <row r="311">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c r="AC311" s="194"/>
      <c r="AD311" s="194"/>
      <c r="AE311" s="194"/>
      <c r="AF311" s="194"/>
      <c r="AG311" s="194"/>
      <c r="AH311" s="194"/>
      <c r="AI311" s="194"/>
      <c r="AJ311" s="194"/>
      <c r="AK311" s="194"/>
      <c r="AL311" s="194"/>
      <c r="AM311" s="194"/>
      <c r="AN311" s="194"/>
      <c r="AO311" s="194"/>
    </row>
    <row r="312">
      <c r="A312" s="194"/>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c r="AA312" s="194"/>
      <c r="AB312" s="194"/>
      <c r="AC312" s="194"/>
      <c r="AD312" s="194"/>
      <c r="AE312" s="194"/>
      <c r="AF312" s="194"/>
      <c r="AG312" s="194"/>
      <c r="AH312" s="194"/>
      <c r="AI312" s="194"/>
      <c r="AJ312" s="194"/>
      <c r="AK312" s="194"/>
      <c r="AL312" s="194"/>
      <c r="AM312" s="194"/>
      <c r="AN312" s="194"/>
      <c r="AO312" s="194"/>
    </row>
    <row r="313">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c r="AA313" s="194"/>
      <c r="AB313" s="194"/>
      <c r="AC313" s="194"/>
      <c r="AD313" s="194"/>
      <c r="AE313" s="194"/>
      <c r="AF313" s="194"/>
      <c r="AG313" s="194"/>
      <c r="AH313" s="194"/>
      <c r="AI313" s="194"/>
      <c r="AJ313" s="194"/>
      <c r="AK313" s="194"/>
      <c r="AL313" s="194"/>
      <c r="AM313" s="194"/>
      <c r="AN313" s="194"/>
      <c r="AO313" s="194"/>
    </row>
    <row r="314">
      <c r="A314" s="194"/>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c r="AA314" s="194"/>
      <c r="AB314" s="194"/>
      <c r="AC314" s="194"/>
      <c r="AD314" s="194"/>
      <c r="AE314" s="194"/>
      <c r="AF314" s="194"/>
      <c r="AG314" s="194"/>
      <c r="AH314" s="194"/>
      <c r="AI314" s="194"/>
      <c r="AJ314" s="194"/>
      <c r="AK314" s="194"/>
      <c r="AL314" s="194"/>
      <c r="AM314" s="194"/>
      <c r="AN314" s="194"/>
      <c r="AO314" s="194"/>
    </row>
    <row r="31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c r="AA315" s="194"/>
      <c r="AB315" s="194"/>
      <c r="AC315" s="194"/>
      <c r="AD315" s="194"/>
      <c r="AE315" s="194"/>
      <c r="AF315" s="194"/>
      <c r="AG315" s="194"/>
      <c r="AH315" s="194"/>
      <c r="AI315" s="194"/>
      <c r="AJ315" s="194"/>
      <c r="AK315" s="194"/>
      <c r="AL315" s="194"/>
      <c r="AM315" s="194"/>
      <c r="AN315" s="194"/>
      <c r="AO315" s="194"/>
    </row>
    <row r="316">
      <c r="A316" s="194"/>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c r="AA316" s="194"/>
      <c r="AB316" s="194"/>
      <c r="AC316" s="194"/>
      <c r="AD316" s="194"/>
      <c r="AE316" s="194"/>
      <c r="AF316" s="194"/>
      <c r="AG316" s="194"/>
      <c r="AH316" s="194"/>
      <c r="AI316" s="194"/>
      <c r="AJ316" s="194"/>
      <c r="AK316" s="194"/>
      <c r="AL316" s="194"/>
      <c r="AM316" s="194"/>
      <c r="AN316" s="194"/>
      <c r="AO316" s="194"/>
    </row>
    <row r="317">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c r="AA317" s="194"/>
      <c r="AB317" s="194"/>
      <c r="AC317" s="194"/>
      <c r="AD317" s="194"/>
      <c r="AE317" s="194"/>
      <c r="AF317" s="194"/>
      <c r="AG317" s="194"/>
      <c r="AH317" s="194"/>
      <c r="AI317" s="194"/>
      <c r="AJ317" s="194"/>
      <c r="AK317" s="194"/>
      <c r="AL317" s="194"/>
      <c r="AM317" s="194"/>
      <c r="AN317" s="194"/>
      <c r="AO317" s="194"/>
    </row>
    <row r="318">
      <c r="A318" s="194"/>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c r="AC318" s="194"/>
      <c r="AD318" s="194"/>
      <c r="AE318" s="194"/>
      <c r="AF318" s="194"/>
      <c r="AG318" s="194"/>
      <c r="AH318" s="194"/>
      <c r="AI318" s="194"/>
      <c r="AJ318" s="194"/>
      <c r="AK318" s="194"/>
      <c r="AL318" s="194"/>
      <c r="AM318" s="194"/>
      <c r="AN318" s="194"/>
      <c r="AO318" s="194"/>
    </row>
    <row r="319">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c r="AA319" s="194"/>
      <c r="AB319" s="194"/>
      <c r="AC319" s="194"/>
      <c r="AD319" s="194"/>
      <c r="AE319" s="194"/>
      <c r="AF319" s="194"/>
      <c r="AG319" s="194"/>
      <c r="AH319" s="194"/>
      <c r="AI319" s="194"/>
      <c r="AJ319" s="194"/>
      <c r="AK319" s="194"/>
      <c r="AL319" s="194"/>
      <c r="AM319" s="194"/>
      <c r="AN319" s="194"/>
      <c r="AO319" s="194"/>
    </row>
    <row r="320">
      <c r="A320" s="194"/>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c r="AA320" s="194"/>
      <c r="AB320" s="194"/>
      <c r="AC320" s="194"/>
      <c r="AD320" s="194"/>
      <c r="AE320" s="194"/>
      <c r="AF320" s="194"/>
      <c r="AG320" s="194"/>
      <c r="AH320" s="194"/>
      <c r="AI320" s="194"/>
      <c r="AJ320" s="194"/>
      <c r="AK320" s="194"/>
      <c r="AL320" s="194"/>
      <c r="AM320" s="194"/>
      <c r="AN320" s="194"/>
      <c r="AO320" s="194"/>
    </row>
    <row r="321">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c r="AA321" s="194"/>
      <c r="AB321" s="194"/>
      <c r="AC321" s="194"/>
      <c r="AD321" s="194"/>
      <c r="AE321" s="194"/>
      <c r="AF321" s="194"/>
      <c r="AG321" s="194"/>
      <c r="AH321" s="194"/>
      <c r="AI321" s="194"/>
      <c r="AJ321" s="194"/>
      <c r="AK321" s="194"/>
      <c r="AL321" s="194"/>
      <c r="AM321" s="194"/>
      <c r="AN321" s="194"/>
      <c r="AO321" s="194"/>
    </row>
    <row r="322">
      <c r="A322" s="194"/>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c r="AA322" s="194"/>
      <c r="AB322" s="194"/>
      <c r="AC322" s="194"/>
      <c r="AD322" s="194"/>
      <c r="AE322" s="194"/>
      <c r="AF322" s="194"/>
      <c r="AG322" s="194"/>
      <c r="AH322" s="194"/>
      <c r="AI322" s="194"/>
      <c r="AJ322" s="194"/>
      <c r="AK322" s="194"/>
      <c r="AL322" s="194"/>
      <c r="AM322" s="194"/>
      <c r="AN322" s="194"/>
      <c r="AO322" s="194"/>
    </row>
    <row r="323">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c r="AC323" s="194"/>
      <c r="AD323" s="194"/>
      <c r="AE323" s="194"/>
      <c r="AF323" s="194"/>
      <c r="AG323" s="194"/>
      <c r="AH323" s="194"/>
      <c r="AI323" s="194"/>
      <c r="AJ323" s="194"/>
      <c r="AK323" s="194"/>
      <c r="AL323" s="194"/>
      <c r="AM323" s="194"/>
      <c r="AN323" s="194"/>
      <c r="AO323" s="194"/>
    </row>
    <row r="324">
      <c r="A324" s="194"/>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c r="AA324" s="194"/>
      <c r="AB324" s="194"/>
      <c r="AC324" s="194"/>
      <c r="AD324" s="194"/>
      <c r="AE324" s="194"/>
      <c r="AF324" s="194"/>
      <c r="AG324" s="194"/>
      <c r="AH324" s="194"/>
      <c r="AI324" s="194"/>
      <c r="AJ324" s="194"/>
      <c r="AK324" s="194"/>
      <c r="AL324" s="194"/>
      <c r="AM324" s="194"/>
      <c r="AN324" s="194"/>
      <c r="AO324" s="194"/>
    </row>
    <row r="3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4"/>
      <c r="AC325" s="194"/>
      <c r="AD325" s="194"/>
      <c r="AE325" s="194"/>
      <c r="AF325" s="194"/>
      <c r="AG325" s="194"/>
      <c r="AH325" s="194"/>
      <c r="AI325" s="194"/>
      <c r="AJ325" s="194"/>
      <c r="AK325" s="194"/>
      <c r="AL325" s="194"/>
      <c r="AM325" s="194"/>
      <c r="AN325" s="194"/>
      <c r="AO325" s="194"/>
    </row>
    <row r="326">
      <c r="A326" s="194"/>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c r="AA326" s="194"/>
      <c r="AB326" s="194"/>
      <c r="AC326" s="194"/>
      <c r="AD326" s="194"/>
      <c r="AE326" s="194"/>
      <c r="AF326" s="194"/>
      <c r="AG326" s="194"/>
      <c r="AH326" s="194"/>
      <c r="AI326" s="194"/>
      <c r="AJ326" s="194"/>
      <c r="AK326" s="194"/>
      <c r="AL326" s="194"/>
      <c r="AM326" s="194"/>
      <c r="AN326" s="194"/>
      <c r="AO326" s="194"/>
    </row>
    <row r="327">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194"/>
      <c r="AC327" s="194"/>
      <c r="AD327" s="194"/>
      <c r="AE327" s="194"/>
      <c r="AF327" s="194"/>
      <c r="AG327" s="194"/>
      <c r="AH327" s="194"/>
      <c r="AI327" s="194"/>
      <c r="AJ327" s="194"/>
      <c r="AK327" s="194"/>
      <c r="AL327" s="194"/>
      <c r="AM327" s="194"/>
      <c r="AN327" s="194"/>
      <c r="AO327" s="194"/>
    </row>
    <row r="328">
      <c r="A328" s="194"/>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c r="AA328" s="194"/>
      <c r="AB328" s="194"/>
      <c r="AC328" s="194"/>
      <c r="AD328" s="194"/>
      <c r="AE328" s="194"/>
      <c r="AF328" s="194"/>
      <c r="AG328" s="194"/>
      <c r="AH328" s="194"/>
      <c r="AI328" s="194"/>
      <c r="AJ328" s="194"/>
      <c r="AK328" s="194"/>
      <c r="AL328" s="194"/>
      <c r="AM328" s="194"/>
      <c r="AN328" s="194"/>
      <c r="AO328" s="194"/>
    </row>
    <row r="329">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c r="AC329" s="194"/>
      <c r="AD329" s="194"/>
      <c r="AE329" s="194"/>
      <c r="AF329" s="194"/>
      <c r="AG329" s="194"/>
      <c r="AH329" s="194"/>
      <c r="AI329" s="194"/>
      <c r="AJ329" s="194"/>
      <c r="AK329" s="194"/>
      <c r="AL329" s="194"/>
      <c r="AM329" s="194"/>
      <c r="AN329" s="194"/>
      <c r="AO329" s="194"/>
    </row>
    <row r="330">
      <c r="A330" s="194"/>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c r="AA330" s="194"/>
      <c r="AB330" s="194"/>
      <c r="AC330" s="194"/>
      <c r="AD330" s="194"/>
      <c r="AE330" s="194"/>
      <c r="AF330" s="194"/>
      <c r="AG330" s="194"/>
      <c r="AH330" s="194"/>
      <c r="AI330" s="194"/>
      <c r="AJ330" s="194"/>
      <c r="AK330" s="194"/>
      <c r="AL330" s="194"/>
      <c r="AM330" s="194"/>
      <c r="AN330" s="194"/>
      <c r="AO330" s="194"/>
    </row>
    <row r="331">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c r="AA331" s="194"/>
      <c r="AB331" s="194"/>
      <c r="AC331" s="194"/>
      <c r="AD331" s="194"/>
      <c r="AE331" s="194"/>
      <c r="AF331" s="194"/>
      <c r="AG331" s="194"/>
      <c r="AH331" s="194"/>
      <c r="AI331" s="194"/>
      <c r="AJ331" s="194"/>
      <c r="AK331" s="194"/>
      <c r="AL331" s="194"/>
      <c r="AM331" s="194"/>
      <c r="AN331" s="194"/>
      <c r="AO331" s="194"/>
    </row>
    <row r="332">
      <c r="A332" s="194"/>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c r="AA332" s="194"/>
      <c r="AB332" s="194"/>
      <c r="AC332" s="194"/>
      <c r="AD332" s="194"/>
      <c r="AE332" s="194"/>
      <c r="AF332" s="194"/>
      <c r="AG332" s="194"/>
      <c r="AH332" s="194"/>
      <c r="AI332" s="194"/>
      <c r="AJ332" s="194"/>
      <c r="AK332" s="194"/>
      <c r="AL332" s="194"/>
      <c r="AM332" s="194"/>
      <c r="AN332" s="194"/>
      <c r="AO332" s="194"/>
    </row>
    <row r="333">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c r="AA333" s="194"/>
      <c r="AB333" s="194"/>
      <c r="AC333" s="194"/>
      <c r="AD333" s="194"/>
      <c r="AE333" s="194"/>
      <c r="AF333" s="194"/>
      <c r="AG333" s="194"/>
      <c r="AH333" s="194"/>
      <c r="AI333" s="194"/>
      <c r="AJ333" s="194"/>
      <c r="AK333" s="194"/>
      <c r="AL333" s="194"/>
      <c r="AM333" s="194"/>
      <c r="AN333" s="194"/>
      <c r="AO333" s="194"/>
    </row>
    <row r="334">
      <c r="A334" s="194"/>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c r="AA334" s="194"/>
      <c r="AB334" s="194"/>
      <c r="AC334" s="194"/>
      <c r="AD334" s="194"/>
      <c r="AE334" s="194"/>
      <c r="AF334" s="194"/>
      <c r="AG334" s="194"/>
      <c r="AH334" s="194"/>
      <c r="AI334" s="194"/>
      <c r="AJ334" s="194"/>
      <c r="AK334" s="194"/>
      <c r="AL334" s="194"/>
      <c r="AM334" s="194"/>
      <c r="AN334" s="194"/>
      <c r="AO334" s="194"/>
    </row>
    <row r="33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194"/>
      <c r="AC335" s="194"/>
      <c r="AD335" s="194"/>
      <c r="AE335" s="194"/>
      <c r="AF335" s="194"/>
      <c r="AG335" s="194"/>
      <c r="AH335" s="194"/>
      <c r="AI335" s="194"/>
      <c r="AJ335" s="194"/>
      <c r="AK335" s="194"/>
      <c r="AL335" s="194"/>
      <c r="AM335" s="194"/>
      <c r="AN335" s="194"/>
      <c r="AO335" s="194"/>
    </row>
    <row r="336">
      <c r="A336" s="194"/>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c r="AA336" s="194"/>
      <c r="AB336" s="194"/>
      <c r="AC336" s="194"/>
      <c r="AD336" s="194"/>
      <c r="AE336" s="194"/>
      <c r="AF336" s="194"/>
      <c r="AG336" s="194"/>
      <c r="AH336" s="194"/>
      <c r="AI336" s="194"/>
      <c r="AJ336" s="194"/>
      <c r="AK336" s="194"/>
      <c r="AL336" s="194"/>
      <c r="AM336" s="194"/>
      <c r="AN336" s="194"/>
      <c r="AO336" s="194"/>
    </row>
    <row r="337">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4"/>
    </row>
    <row r="338">
      <c r="A338" s="194"/>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row>
    <row r="339">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c r="AC339" s="194"/>
      <c r="AD339" s="194"/>
      <c r="AE339" s="194"/>
      <c r="AF339" s="194"/>
      <c r="AG339" s="194"/>
      <c r="AH339" s="194"/>
      <c r="AI339" s="194"/>
      <c r="AJ339" s="194"/>
      <c r="AK339" s="194"/>
      <c r="AL339" s="194"/>
      <c r="AM339" s="194"/>
      <c r="AN339" s="194"/>
      <c r="AO339" s="194"/>
    </row>
    <row r="340">
      <c r="A340" s="194"/>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c r="AC340" s="194"/>
      <c r="AD340" s="194"/>
      <c r="AE340" s="194"/>
      <c r="AF340" s="194"/>
      <c r="AG340" s="194"/>
      <c r="AH340" s="194"/>
      <c r="AI340" s="194"/>
      <c r="AJ340" s="194"/>
      <c r="AK340" s="194"/>
      <c r="AL340" s="194"/>
      <c r="AM340" s="194"/>
      <c r="AN340" s="194"/>
      <c r="AO340" s="194"/>
    </row>
    <row r="341">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c r="AC341" s="194"/>
      <c r="AD341" s="194"/>
      <c r="AE341" s="194"/>
      <c r="AF341" s="194"/>
      <c r="AG341" s="194"/>
      <c r="AH341" s="194"/>
      <c r="AI341" s="194"/>
      <c r="AJ341" s="194"/>
      <c r="AK341" s="194"/>
      <c r="AL341" s="194"/>
      <c r="AM341" s="194"/>
      <c r="AN341" s="194"/>
      <c r="AO341" s="194"/>
    </row>
    <row r="342">
      <c r="A342" s="194"/>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c r="AA342" s="194"/>
      <c r="AB342" s="194"/>
      <c r="AC342" s="194"/>
      <c r="AD342" s="194"/>
      <c r="AE342" s="194"/>
      <c r="AF342" s="194"/>
      <c r="AG342" s="194"/>
      <c r="AH342" s="194"/>
      <c r="AI342" s="194"/>
      <c r="AJ342" s="194"/>
      <c r="AK342" s="194"/>
      <c r="AL342" s="194"/>
      <c r="AM342" s="194"/>
      <c r="AN342" s="194"/>
      <c r="AO342" s="194"/>
    </row>
    <row r="343">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c r="AC343" s="194"/>
      <c r="AD343" s="194"/>
      <c r="AE343" s="194"/>
      <c r="AF343" s="194"/>
      <c r="AG343" s="194"/>
      <c r="AH343" s="194"/>
      <c r="AI343" s="194"/>
      <c r="AJ343" s="194"/>
      <c r="AK343" s="194"/>
      <c r="AL343" s="194"/>
      <c r="AM343" s="194"/>
      <c r="AN343" s="194"/>
      <c r="AO343" s="194"/>
    </row>
    <row r="344">
      <c r="A344" s="194"/>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c r="AA344" s="194"/>
      <c r="AB344" s="194"/>
      <c r="AC344" s="194"/>
      <c r="AD344" s="194"/>
      <c r="AE344" s="194"/>
      <c r="AF344" s="194"/>
      <c r="AG344" s="194"/>
      <c r="AH344" s="194"/>
      <c r="AI344" s="194"/>
      <c r="AJ344" s="194"/>
      <c r="AK344" s="194"/>
      <c r="AL344" s="194"/>
      <c r="AM344" s="194"/>
      <c r="AN344" s="194"/>
      <c r="AO344" s="194"/>
    </row>
    <row r="34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c r="AC345" s="194"/>
      <c r="AD345" s="194"/>
      <c r="AE345" s="194"/>
      <c r="AF345" s="194"/>
      <c r="AG345" s="194"/>
      <c r="AH345" s="194"/>
      <c r="AI345" s="194"/>
      <c r="AJ345" s="194"/>
      <c r="AK345" s="194"/>
      <c r="AL345" s="194"/>
      <c r="AM345" s="194"/>
      <c r="AN345" s="194"/>
      <c r="AO345" s="194"/>
    </row>
    <row r="346">
      <c r="A346" s="194"/>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c r="AA346" s="194"/>
      <c r="AB346" s="194"/>
      <c r="AC346" s="194"/>
      <c r="AD346" s="194"/>
      <c r="AE346" s="194"/>
      <c r="AF346" s="194"/>
      <c r="AG346" s="194"/>
      <c r="AH346" s="194"/>
      <c r="AI346" s="194"/>
      <c r="AJ346" s="194"/>
      <c r="AK346" s="194"/>
      <c r="AL346" s="194"/>
      <c r="AM346" s="194"/>
      <c r="AN346" s="194"/>
      <c r="AO346" s="194"/>
    </row>
    <row r="347">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c r="AA347" s="194"/>
      <c r="AB347" s="194"/>
      <c r="AC347" s="194"/>
      <c r="AD347" s="194"/>
      <c r="AE347" s="194"/>
      <c r="AF347" s="194"/>
      <c r="AG347" s="194"/>
      <c r="AH347" s="194"/>
      <c r="AI347" s="194"/>
      <c r="AJ347" s="194"/>
      <c r="AK347" s="194"/>
      <c r="AL347" s="194"/>
      <c r="AM347" s="194"/>
      <c r="AN347" s="194"/>
      <c r="AO347" s="194"/>
    </row>
    <row r="348">
      <c r="A348" s="194"/>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c r="AA348" s="194"/>
      <c r="AB348" s="194"/>
      <c r="AC348" s="194"/>
      <c r="AD348" s="194"/>
      <c r="AE348" s="194"/>
      <c r="AF348" s="194"/>
      <c r="AG348" s="194"/>
      <c r="AH348" s="194"/>
      <c r="AI348" s="194"/>
      <c r="AJ348" s="194"/>
      <c r="AK348" s="194"/>
      <c r="AL348" s="194"/>
      <c r="AM348" s="194"/>
      <c r="AN348" s="194"/>
      <c r="AO348" s="194"/>
    </row>
    <row r="349">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c r="AA349" s="194"/>
      <c r="AB349" s="194"/>
      <c r="AC349" s="194"/>
      <c r="AD349" s="194"/>
      <c r="AE349" s="194"/>
      <c r="AF349" s="194"/>
      <c r="AG349" s="194"/>
      <c r="AH349" s="194"/>
      <c r="AI349" s="194"/>
      <c r="AJ349" s="194"/>
      <c r="AK349" s="194"/>
      <c r="AL349" s="194"/>
      <c r="AM349" s="194"/>
      <c r="AN349" s="194"/>
      <c r="AO349" s="194"/>
    </row>
    <row r="350">
      <c r="A350" s="194"/>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4"/>
    </row>
    <row r="351">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c r="AA351" s="194"/>
      <c r="AB351" s="194"/>
      <c r="AC351" s="194"/>
      <c r="AD351" s="194"/>
      <c r="AE351" s="194"/>
      <c r="AF351" s="194"/>
      <c r="AG351" s="194"/>
      <c r="AH351" s="194"/>
      <c r="AI351" s="194"/>
      <c r="AJ351" s="194"/>
      <c r="AK351" s="194"/>
      <c r="AL351" s="194"/>
      <c r="AM351" s="194"/>
      <c r="AN351" s="194"/>
      <c r="AO351" s="194"/>
    </row>
    <row r="352">
      <c r="A352" s="194"/>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c r="AA352" s="194"/>
      <c r="AB352" s="194"/>
      <c r="AC352" s="194"/>
      <c r="AD352" s="194"/>
      <c r="AE352" s="194"/>
      <c r="AF352" s="194"/>
      <c r="AG352" s="194"/>
      <c r="AH352" s="194"/>
      <c r="AI352" s="194"/>
      <c r="AJ352" s="194"/>
      <c r="AK352" s="194"/>
      <c r="AL352" s="194"/>
      <c r="AM352" s="194"/>
      <c r="AN352" s="194"/>
      <c r="AO352" s="194"/>
    </row>
    <row r="353">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c r="AA353" s="194"/>
      <c r="AB353" s="194"/>
      <c r="AC353" s="194"/>
      <c r="AD353" s="194"/>
      <c r="AE353" s="194"/>
      <c r="AF353" s="194"/>
      <c r="AG353" s="194"/>
      <c r="AH353" s="194"/>
      <c r="AI353" s="194"/>
      <c r="AJ353" s="194"/>
      <c r="AK353" s="194"/>
      <c r="AL353" s="194"/>
      <c r="AM353" s="194"/>
      <c r="AN353" s="194"/>
      <c r="AO353" s="194"/>
    </row>
    <row r="354">
      <c r="A354" s="194"/>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c r="AA354" s="194"/>
      <c r="AB354" s="194"/>
      <c r="AC354" s="194"/>
      <c r="AD354" s="194"/>
      <c r="AE354" s="194"/>
      <c r="AF354" s="194"/>
      <c r="AG354" s="194"/>
      <c r="AH354" s="194"/>
      <c r="AI354" s="194"/>
      <c r="AJ354" s="194"/>
      <c r="AK354" s="194"/>
      <c r="AL354" s="194"/>
      <c r="AM354" s="194"/>
      <c r="AN354" s="194"/>
      <c r="AO354" s="194"/>
    </row>
    <row r="35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c r="AC355" s="194"/>
      <c r="AD355" s="194"/>
      <c r="AE355" s="194"/>
      <c r="AF355" s="194"/>
      <c r="AG355" s="194"/>
      <c r="AH355" s="194"/>
      <c r="AI355" s="194"/>
      <c r="AJ355" s="194"/>
      <c r="AK355" s="194"/>
      <c r="AL355" s="194"/>
      <c r="AM355" s="194"/>
      <c r="AN355" s="194"/>
      <c r="AO355" s="194"/>
    </row>
    <row r="356">
      <c r="A356" s="194"/>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c r="AA356" s="194"/>
      <c r="AB356" s="194"/>
      <c r="AC356" s="194"/>
      <c r="AD356" s="194"/>
      <c r="AE356" s="194"/>
      <c r="AF356" s="194"/>
      <c r="AG356" s="194"/>
      <c r="AH356" s="194"/>
      <c r="AI356" s="194"/>
      <c r="AJ356" s="194"/>
      <c r="AK356" s="194"/>
      <c r="AL356" s="194"/>
      <c r="AM356" s="194"/>
      <c r="AN356" s="194"/>
      <c r="AO356" s="194"/>
    </row>
    <row r="357">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c r="AC357" s="194"/>
      <c r="AD357" s="194"/>
      <c r="AE357" s="194"/>
      <c r="AF357" s="194"/>
      <c r="AG357" s="194"/>
      <c r="AH357" s="194"/>
      <c r="AI357" s="194"/>
      <c r="AJ357" s="194"/>
      <c r="AK357" s="194"/>
      <c r="AL357" s="194"/>
      <c r="AM357" s="194"/>
      <c r="AN357" s="194"/>
      <c r="AO357" s="194"/>
    </row>
    <row r="358">
      <c r="A358" s="194"/>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c r="AA358" s="194"/>
      <c r="AB358" s="194"/>
      <c r="AC358" s="194"/>
      <c r="AD358" s="194"/>
      <c r="AE358" s="194"/>
      <c r="AF358" s="194"/>
      <c r="AG358" s="194"/>
      <c r="AH358" s="194"/>
      <c r="AI358" s="194"/>
      <c r="AJ358" s="194"/>
      <c r="AK358" s="194"/>
      <c r="AL358" s="194"/>
      <c r="AM358" s="194"/>
      <c r="AN358" s="194"/>
      <c r="AO358" s="194"/>
    </row>
    <row r="359">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c r="AC359" s="194"/>
      <c r="AD359" s="194"/>
      <c r="AE359" s="194"/>
      <c r="AF359" s="194"/>
      <c r="AG359" s="194"/>
      <c r="AH359" s="194"/>
      <c r="AI359" s="194"/>
      <c r="AJ359" s="194"/>
      <c r="AK359" s="194"/>
      <c r="AL359" s="194"/>
      <c r="AM359" s="194"/>
      <c r="AN359" s="194"/>
      <c r="AO359" s="194"/>
    </row>
    <row r="360">
      <c r="A360" s="194"/>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c r="AA360" s="194"/>
      <c r="AB360" s="194"/>
      <c r="AC360" s="194"/>
      <c r="AD360" s="194"/>
      <c r="AE360" s="194"/>
      <c r="AF360" s="194"/>
      <c r="AG360" s="194"/>
      <c r="AH360" s="194"/>
      <c r="AI360" s="194"/>
      <c r="AJ360" s="194"/>
      <c r="AK360" s="194"/>
      <c r="AL360" s="194"/>
      <c r="AM360" s="194"/>
      <c r="AN360" s="194"/>
      <c r="AO360" s="194"/>
    </row>
    <row r="361">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c r="AC361" s="194"/>
      <c r="AD361" s="194"/>
      <c r="AE361" s="194"/>
      <c r="AF361" s="194"/>
      <c r="AG361" s="194"/>
      <c r="AH361" s="194"/>
      <c r="AI361" s="194"/>
      <c r="AJ361" s="194"/>
      <c r="AK361" s="194"/>
      <c r="AL361" s="194"/>
      <c r="AM361" s="194"/>
      <c r="AN361" s="194"/>
      <c r="AO361" s="194"/>
    </row>
    <row r="362">
      <c r="A362" s="194"/>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c r="AA362" s="194"/>
      <c r="AB362" s="194"/>
      <c r="AC362" s="194"/>
      <c r="AD362" s="194"/>
      <c r="AE362" s="194"/>
      <c r="AF362" s="194"/>
      <c r="AG362" s="194"/>
      <c r="AH362" s="194"/>
      <c r="AI362" s="194"/>
      <c r="AJ362" s="194"/>
      <c r="AK362" s="194"/>
      <c r="AL362" s="194"/>
      <c r="AM362" s="194"/>
      <c r="AN362" s="194"/>
      <c r="AO362" s="194"/>
    </row>
    <row r="363">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c r="AA363" s="194"/>
      <c r="AB363" s="194"/>
      <c r="AC363" s="194"/>
      <c r="AD363" s="194"/>
      <c r="AE363" s="194"/>
      <c r="AF363" s="194"/>
      <c r="AG363" s="194"/>
      <c r="AH363" s="194"/>
      <c r="AI363" s="194"/>
      <c r="AJ363" s="194"/>
      <c r="AK363" s="194"/>
      <c r="AL363" s="194"/>
      <c r="AM363" s="194"/>
      <c r="AN363" s="194"/>
      <c r="AO363" s="194"/>
    </row>
    <row r="364">
      <c r="A364" s="194"/>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c r="AA364" s="194"/>
      <c r="AB364" s="194"/>
      <c r="AC364" s="194"/>
      <c r="AD364" s="194"/>
      <c r="AE364" s="194"/>
      <c r="AF364" s="194"/>
      <c r="AG364" s="194"/>
      <c r="AH364" s="194"/>
      <c r="AI364" s="194"/>
      <c r="AJ364" s="194"/>
      <c r="AK364" s="194"/>
      <c r="AL364" s="194"/>
      <c r="AM364" s="194"/>
      <c r="AN364" s="194"/>
      <c r="AO364" s="194"/>
    </row>
    <row r="36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c r="AA365" s="194"/>
      <c r="AB365" s="194"/>
      <c r="AC365" s="194"/>
      <c r="AD365" s="194"/>
      <c r="AE365" s="194"/>
      <c r="AF365" s="194"/>
      <c r="AG365" s="194"/>
      <c r="AH365" s="194"/>
      <c r="AI365" s="194"/>
      <c r="AJ365" s="194"/>
      <c r="AK365" s="194"/>
      <c r="AL365" s="194"/>
      <c r="AM365" s="194"/>
      <c r="AN365" s="194"/>
      <c r="AO365" s="194"/>
    </row>
    <row r="366">
      <c r="A366" s="194"/>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c r="AA366" s="194"/>
      <c r="AB366" s="194"/>
      <c r="AC366" s="194"/>
      <c r="AD366" s="194"/>
      <c r="AE366" s="194"/>
      <c r="AF366" s="194"/>
      <c r="AG366" s="194"/>
      <c r="AH366" s="194"/>
      <c r="AI366" s="194"/>
      <c r="AJ366" s="194"/>
      <c r="AK366" s="194"/>
      <c r="AL366" s="194"/>
      <c r="AM366" s="194"/>
      <c r="AN366" s="194"/>
      <c r="AO366" s="194"/>
    </row>
    <row r="367">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c r="AC367" s="194"/>
      <c r="AD367" s="194"/>
      <c r="AE367" s="194"/>
      <c r="AF367" s="194"/>
      <c r="AG367" s="194"/>
      <c r="AH367" s="194"/>
      <c r="AI367" s="194"/>
      <c r="AJ367" s="194"/>
      <c r="AK367" s="194"/>
      <c r="AL367" s="194"/>
      <c r="AM367" s="194"/>
      <c r="AN367" s="194"/>
      <c r="AO367" s="194"/>
    </row>
    <row r="368">
      <c r="A368" s="194"/>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c r="AA368" s="194"/>
      <c r="AB368" s="194"/>
      <c r="AC368" s="194"/>
      <c r="AD368" s="194"/>
      <c r="AE368" s="194"/>
      <c r="AF368" s="194"/>
      <c r="AG368" s="194"/>
      <c r="AH368" s="194"/>
      <c r="AI368" s="194"/>
      <c r="AJ368" s="194"/>
      <c r="AK368" s="194"/>
      <c r="AL368" s="194"/>
      <c r="AM368" s="194"/>
      <c r="AN368" s="194"/>
      <c r="AO368" s="194"/>
    </row>
    <row r="369">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c r="AC369" s="194"/>
      <c r="AD369" s="194"/>
      <c r="AE369" s="194"/>
      <c r="AF369" s="194"/>
      <c r="AG369" s="194"/>
      <c r="AH369" s="194"/>
      <c r="AI369" s="194"/>
      <c r="AJ369" s="194"/>
      <c r="AK369" s="194"/>
      <c r="AL369" s="194"/>
      <c r="AM369" s="194"/>
      <c r="AN369" s="194"/>
      <c r="AO369" s="194"/>
    </row>
    <row r="370">
      <c r="A370" s="194"/>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c r="AA370" s="194"/>
      <c r="AB370" s="194"/>
      <c r="AC370" s="194"/>
      <c r="AD370" s="194"/>
      <c r="AE370" s="194"/>
      <c r="AF370" s="194"/>
      <c r="AG370" s="194"/>
      <c r="AH370" s="194"/>
      <c r="AI370" s="194"/>
      <c r="AJ370" s="194"/>
      <c r="AK370" s="194"/>
      <c r="AL370" s="194"/>
      <c r="AM370" s="194"/>
      <c r="AN370" s="194"/>
      <c r="AO370" s="194"/>
    </row>
    <row r="371">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c r="AA371" s="194"/>
      <c r="AB371" s="194"/>
      <c r="AC371" s="194"/>
      <c r="AD371" s="194"/>
      <c r="AE371" s="194"/>
      <c r="AF371" s="194"/>
      <c r="AG371" s="194"/>
      <c r="AH371" s="194"/>
      <c r="AI371" s="194"/>
      <c r="AJ371" s="194"/>
      <c r="AK371" s="194"/>
      <c r="AL371" s="194"/>
      <c r="AM371" s="194"/>
      <c r="AN371" s="194"/>
      <c r="AO371" s="194"/>
    </row>
    <row r="372">
      <c r="A372" s="194"/>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c r="AA372" s="194"/>
      <c r="AB372" s="194"/>
      <c r="AC372" s="194"/>
      <c r="AD372" s="194"/>
      <c r="AE372" s="194"/>
      <c r="AF372" s="194"/>
      <c r="AG372" s="194"/>
      <c r="AH372" s="194"/>
      <c r="AI372" s="194"/>
      <c r="AJ372" s="194"/>
      <c r="AK372" s="194"/>
      <c r="AL372" s="194"/>
      <c r="AM372" s="194"/>
      <c r="AN372" s="194"/>
      <c r="AO372" s="194"/>
    </row>
    <row r="373">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c r="AA373" s="194"/>
      <c r="AB373" s="194"/>
      <c r="AC373" s="194"/>
      <c r="AD373" s="194"/>
      <c r="AE373" s="194"/>
      <c r="AF373" s="194"/>
      <c r="AG373" s="194"/>
      <c r="AH373" s="194"/>
      <c r="AI373" s="194"/>
      <c r="AJ373" s="194"/>
      <c r="AK373" s="194"/>
      <c r="AL373" s="194"/>
      <c r="AM373" s="194"/>
      <c r="AN373" s="194"/>
      <c r="AO373" s="194"/>
    </row>
    <row r="374">
      <c r="A374" s="194"/>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c r="AA374" s="194"/>
      <c r="AB374" s="194"/>
      <c r="AC374" s="194"/>
      <c r="AD374" s="194"/>
      <c r="AE374" s="194"/>
      <c r="AF374" s="194"/>
      <c r="AG374" s="194"/>
      <c r="AH374" s="194"/>
      <c r="AI374" s="194"/>
      <c r="AJ374" s="194"/>
      <c r="AK374" s="194"/>
      <c r="AL374" s="194"/>
      <c r="AM374" s="194"/>
      <c r="AN374" s="194"/>
      <c r="AO374" s="194"/>
    </row>
    <row r="37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c r="AC375" s="194"/>
      <c r="AD375" s="194"/>
      <c r="AE375" s="194"/>
      <c r="AF375" s="194"/>
      <c r="AG375" s="194"/>
      <c r="AH375" s="194"/>
      <c r="AI375" s="194"/>
      <c r="AJ375" s="194"/>
      <c r="AK375" s="194"/>
      <c r="AL375" s="194"/>
      <c r="AM375" s="194"/>
      <c r="AN375" s="194"/>
      <c r="AO375" s="194"/>
    </row>
    <row r="376">
      <c r="A376" s="194"/>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c r="AA376" s="194"/>
      <c r="AB376" s="194"/>
      <c r="AC376" s="194"/>
      <c r="AD376" s="194"/>
      <c r="AE376" s="194"/>
      <c r="AF376" s="194"/>
      <c r="AG376" s="194"/>
      <c r="AH376" s="194"/>
      <c r="AI376" s="194"/>
      <c r="AJ376" s="194"/>
      <c r="AK376" s="194"/>
      <c r="AL376" s="194"/>
      <c r="AM376" s="194"/>
      <c r="AN376" s="194"/>
      <c r="AO376" s="194"/>
    </row>
    <row r="377">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c r="AA377" s="194"/>
      <c r="AB377" s="194"/>
      <c r="AC377" s="194"/>
      <c r="AD377" s="194"/>
      <c r="AE377" s="194"/>
      <c r="AF377" s="194"/>
      <c r="AG377" s="194"/>
      <c r="AH377" s="194"/>
      <c r="AI377" s="194"/>
      <c r="AJ377" s="194"/>
      <c r="AK377" s="194"/>
      <c r="AL377" s="194"/>
      <c r="AM377" s="194"/>
      <c r="AN377" s="194"/>
      <c r="AO377" s="194"/>
    </row>
    <row r="378">
      <c r="A378" s="194"/>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c r="AA378" s="194"/>
      <c r="AB378" s="194"/>
      <c r="AC378" s="194"/>
      <c r="AD378" s="194"/>
      <c r="AE378" s="194"/>
      <c r="AF378" s="194"/>
      <c r="AG378" s="194"/>
      <c r="AH378" s="194"/>
      <c r="AI378" s="194"/>
      <c r="AJ378" s="194"/>
      <c r="AK378" s="194"/>
      <c r="AL378" s="194"/>
      <c r="AM378" s="194"/>
      <c r="AN378" s="194"/>
      <c r="AO378" s="194"/>
    </row>
    <row r="379">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c r="AA379" s="194"/>
      <c r="AB379" s="194"/>
      <c r="AC379" s="194"/>
      <c r="AD379" s="194"/>
      <c r="AE379" s="194"/>
      <c r="AF379" s="194"/>
      <c r="AG379" s="194"/>
      <c r="AH379" s="194"/>
      <c r="AI379" s="194"/>
      <c r="AJ379" s="194"/>
      <c r="AK379" s="194"/>
      <c r="AL379" s="194"/>
      <c r="AM379" s="194"/>
      <c r="AN379" s="194"/>
      <c r="AO379" s="194"/>
    </row>
    <row r="380">
      <c r="A380" s="194"/>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c r="AA380" s="194"/>
      <c r="AB380" s="194"/>
      <c r="AC380" s="194"/>
      <c r="AD380" s="194"/>
      <c r="AE380" s="194"/>
      <c r="AF380" s="194"/>
      <c r="AG380" s="194"/>
      <c r="AH380" s="194"/>
      <c r="AI380" s="194"/>
      <c r="AJ380" s="194"/>
      <c r="AK380" s="194"/>
      <c r="AL380" s="194"/>
      <c r="AM380" s="194"/>
      <c r="AN380" s="194"/>
      <c r="AO380" s="194"/>
    </row>
    <row r="381">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c r="AA381" s="194"/>
      <c r="AB381" s="194"/>
      <c r="AC381" s="194"/>
      <c r="AD381" s="194"/>
      <c r="AE381" s="194"/>
      <c r="AF381" s="194"/>
      <c r="AG381" s="194"/>
      <c r="AH381" s="194"/>
      <c r="AI381" s="194"/>
      <c r="AJ381" s="194"/>
      <c r="AK381" s="194"/>
      <c r="AL381" s="194"/>
      <c r="AM381" s="194"/>
      <c r="AN381" s="194"/>
      <c r="AO381" s="194"/>
    </row>
    <row r="382">
      <c r="A382" s="194"/>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c r="AA382" s="194"/>
      <c r="AB382" s="194"/>
      <c r="AC382" s="194"/>
      <c r="AD382" s="194"/>
      <c r="AE382" s="194"/>
      <c r="AF382" s="194"/>
      <c r="AG382" s="194"/>
      <c r="AH382" s="194"/>
      <c r="AI382" s="194"/>
      <c r="AJ382" s="194"/>
      <c r="AK382" s="194"/>
      <c r="AL382" s="194"/>
      <c r="AM382" s="194"/>
      <c r="AN382" s="194"/>
      <c r="AO382" s="194"/>
    </row>
    <row r="383">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c r="AA383" s="194"/>
      <c r="AB383" s="194"/>
      <c r="AC383" s="194"/>
      <c r="AD383" s="194"/>
      <c r="AE383" s="194"/>
      <c r="AF383" s="194"/>
      <c r="AG383" s="194"/>
      <c r="AH383" s="194"/>
      <c r="AI383" s="194"/>
      <c r="AJ383" s="194"/>
      <c r="AK383" s="194"/>
      <c r="AL383" s="194"/>
      <c r="AM383" s="194"/>
      <c r="AN383" s="194"/>
      <c r="AO383" s="194"/>
    </row>
    <row r="384">
      <c r="A384" s="194"/>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c r="AA384" s="194"/>
      <c r="AB384" s="194"/>
      <c r="AC384" s="194"/>
      <c r="AD384" s="194"/>
      <c r="AE384" s="194"/>
      <c r="AF384" s="194"/>
      <c r="AG384" s="194"/>
      <c r="AH384" s="194"/>
      <c r="AI384" s="194"/>
      <c r="AJ384" s="194"/>
      <c r="AK384" s="194"/>
      <c r="AL384" s="194"/>
      <c r="AM384" s="194"/>
      <c r="AN384" s="194"/>
      <c r="AO384" s="194"/>
    </row>
    <row r="38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c r="AA385" s="194"/>
      <c r="AB385" s="194"/>
      <c r="AC385" s="194"/>
      <c r="AD385" s="194"/>
      <c r="AE385" s="194"/>
      <c r="AF385" s="194"/>
      <c r="AG385" s="194"/>
      <c r="AH385" s="194"/>
      <c r="AI385" s="194"/>
      <c r="AJ385" s="194"/>
      <c r="AK385" s="194"/>
      <c r="AL385" s="194"/>
      <c r="AM385" s="194"/>
      <c r="AN385" s="194"/>
      <c r="AO385" s="194"/>
    </row>
    <row r="386">
      <c r="A386" s="194"/>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c r="AA386" s="194"/>
      <c r="AB386" s="194"/>
      <c r="AC386" s="194"/>
      <c r="AD386" s="194"/>
      <c r="AE386" s="194"/>
      <c r="AF386" s="194"/>
      <c r="AG386" s="194"/>
      <c r="AH386" s="194"/>
      <c r="AI386" s="194"/>
      <c r="AJ386" s="194"/>
      <c r="AK386" s="194"/>
      <c r="AL386" s="194"/>
      <c r="AM386" s="194"/>
      <c r="AN386" s="194"/>
      <c r="AO386" s="194"/>
    </row>
    <row r="387">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c r="AA387" s="194"/>
      <c r="AB387" s="194"/>
      <c r="AC387" s="194"/>
      <c r="AD387" s="194"/>
      <c r="AE387" s="194"/>
      <c r="AF387" s="194"/>
      <c r="AG387" s="194"/>
      <c r="AH387" s="194"/>
      <c r="AI387" s="194"/>
      <c r="AJ387" s="194"/>
      <c r="AK387" s="194"/>
      <c r="AL387" s="194"/>
      <c r="AM387" s="194"/>
      <c r="AN387" s="194"/>
      <c r="AO387" s="194"/>
    </row>
    <row r="388">
      <c r="A388" s="194"/>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c r="AA388" s="194"/>
      <c r="AB388" s="194"/>
      <c r="AC388" s="194"/>
      <c r="AD388" s="194"/>
      <c r="AE388" s="194"/>
      <c r="AF388" s="194"/>
      <c r="AG388" s="194"/>
      <c r="AH388" s="194"/>
      <c r="AI388" s="194"/>
      <c r="AJ388" s="194"/>
      <c r="AK388" s="194"/>
      <c r="AL388" s="194"/>
      <c r="AM388" s="194"/>
      <c r="AN388" s="194"/>
      <c r="AO388" s="194"/>
    </row>
    <row r="389">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c r="AA389" s="194"/>
      <c r="AB389" s="194"/>
      <c r="AC389" s="194"/>
      <c r="AD389" s="194"/>
      <c r="AE389" s="194"/>
      <c r="AF389" s="194"/>
      <c r="AG389" s="194"/>
      <c r="AH389" s="194"/>
      <c r="AI389" s="194"/>
      <c r="AJ389" s="194"/>
      <c r="AK389" s="194"/>
      <c r="AL389" s="194"/>
      <c r="AM389" s="194"/>
      <c r="AN389" s="194"/>
      <c r="AO389" s="194"/>
    </row>
    <row r="390">
      <c r="A390" s="194"/>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c r="AA390" s="194"/>
      <c r="AB390" s="194"/>
      <c r="AC390" s="194"/>
      <c r="AD390" s="194"/>
      <c r="AE390" s="194"/>
      <c r="AF390" s="194"/>
      <c r="AG390" s="194"/>
      <c r="AH390" s="194"/>
      <c r="AI390" s="194"/>
      <c r="AJ390" s="194"/>
      <c r="AK390" s="194"/>
      <c r="AL390" s="194"/>
      <c r="AM390" s="194"/>
      <c r="AN390" s="194"/>
      <c r="AO390" s="194"/>
    </row>
    <row r="391">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c r="AC391" s="194"/>
      <c r="AD391" s="194"/>
      <c r="AE391" s="194"/>
      <c r="AF391" s="194"/>
      <c r="AG391" s="194"/>
      <c r="AH391" s="194"/>
      <c r="AI391" s="194"/>
      <c r="AJ391" s="194"/>
      <c r="AK391" s="194"/>
      <c r="AL391" s="194"/>
      <c r="AM391" s="194"/>
      <c r="AN391" s="194"/>
      <c r="AO391" s="194"/>
    </row>
    <row r="392">
      <c r="A392" s="194"/>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c r="AA392" s="194"/>
      <c r="AB392" s="194"/>
      <c r="AC392" s="194"/>
      <c r="AD392" s="194"/>
      <c r="AE392" s="194"/>
      <c r="AF392" s="194"/>
      <c r="AG392" s="194"/>
      <c r="AH392" s="194"/>
      <c r="AI392" s="194"/>
      <c r="AJ392" s="194"/>
      <c r="AK392" s="194"/>
      <c r="AL392" s="194"/>
      <c r="AM392" s="194"/>
      <c r="AN392" s="194"/>
      <c r="AO392" s="194"/>
    </row>
    <row r="393">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c r="AA393" s="194"/>
      <c r="AB393" s="194"/>
      <c r="AC393" s="194"/>
      <c r="AD393" s="194"/>
      <c r="AE393" s="194"/>
      <c r="AF393" s="194"/>
      <c r="AG393" s="194"/>
      <c r="AH393" s="194"/>
      <c r="AI393" s="194"/>
      <c r="AJ393" s="194"/>
      <c r="AK393" s="194"/>
      <c r="AL393" s="194"/>
      <c r="AM393" s="194"/>
      <c r="AN393" s="194"/>
      <c r="AO393" s="194"/>
    </row>
    <row r="394">
      <c r="A394" s="194"/>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c r="AA394" s="194"/>
      <c r="AB394" s="194"/>
      <c r="AC394" s="194"/>
      <c r="AD394" s="194"/>
      <c r="AE394" s="194"/>
      <c r="AF394" s="194"/>
      <c r="AG394" s="194"/>
      <c r="AH394" s="194"/>
      <c r="AI394" s="194"/>
      <c r="AJ394" s="194"/>
      <c r="AK394" s="194"/>
      <c r="AL394" s="194"/>
      <c r="AM394" s="194"/>
      <c r="AN394" s="194"/>
      <c r="AO394" s="194"/>
    </row>
    <row r="39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c r="AA395" s="194"/>
      <c r="AB395" s="194"/>
      <c r="AC395" s="194"/>
      <c r="AD395" s="194"/>
      <c r="AE395" s="194"/>
      <c r="AF395" s="194"/>
      <c r="AG395" s="194"/>
      <c r="AH395" s="194"/>
      <c r="AI395" s="194"/>
      <c r="AJ395" s="194"/>
      <c r="AK395" s="194"/>
      <c r="AL395" s="194"/>
      <c r="AM395" s="194"/>
      <c r="AN395" s="194"/>
      <c r="AO395" s="194"/>
    </row>
    <row r="396">
      <c r="A396" s="194"/>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c r="AA396" s="194"/>
      <c r="AB396" s="194"/>
      <c r="AC396" s="194"/>
      <c r="AD396" s="194"/>
      <c r="AE396" s="194"/>
      <c r="AF396" s="194"/>
      <c r="AG396" s="194"/>
      <c r="AH396" s="194"/>
      <c r="AI396" s="194"/>
      <c r="AJ396" s="194"/>
      <c r="AK396" s="194"/>
      <c r="AL396" s="194"/>
      <c r="AM396" s="194"/>
      <c r="AN396" s="194"/>
      <c r="AO396" s="194"/>
    </row>
    <row r="397">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c r="AA397" s="194"/>
      <c r="AB397" s="194"/>
      <c r="AC397" s="194"/>
      <c r="AD397" s="194"/>
      <c r="AE397" s="194"/>
      <c r="AF397" s="194"/>
      <c r="AG397" s="194"/>
      <c r="AH397" s="194"/>
      <c r="AI397" s="194"/>
      <c r="AJ397" s="194"/>
      <c r="AK397" s="194"/>
      <c r="AL397" s="194"/>
      <c r="AM397" s="194"/>
      <c r="AN397" s="194"/>
      <c r="AO397" s="194"/>
    </row>
    <row r="398">
      <c r="A398" s="194"/>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c r="AA398" s="194"/>
      <c r="AB398" s="194"/>
      <c r="AC398" s="194"/>
      <c r="AD398" s="194"/>
      <c r="AE398" s="194"/>
      <c r="AF398" s="194"/>
      <c r="AG398" s="194"/>
      <c r="AH398" s="194"/>
      <c r="AI398" s="194"/>
      <c r="AJ398" s="194"/>
      <c r="AK398" s="194"/>
      <c r="AL398" s="194"/>
      <c r="AM398" s="194"/>
      <c r="AN398" s="194"/>
      <c r="AO398" s="194"/>
    </row>
    <row r="399">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c r="AA399" s="194"/>
      <c r="AB399" s="194"/>
      <c r="AC399" s="194"/>
      <c r="AD399" s="194"/>
      <c r="AE399" s="194"/>
      <c r="AF399" s="194"/>
      <c r="AG399" s="194"/>
      <c r="AH399" s="194"/>
      <c r="AI399" s="194"/>
      <c r="AJ399" s="194"/>
      <c r="AK399" s="194"/>
      <c r="AL399" s="194"/>
      <c r="AM399" s="194"/>
      <c r="AN399" s="194"/>
      <c r="AO399" s="194"/>
    </row>
    <row r="400">
      <c r="A400" s="194"/>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c r="AA400" s="194"/>
      <c r="AB400" s="194"/>
      <c r="AC400" s="194"/>
      <c r="AD400" s="194"/>
      <c r="AE400" s="194"/>
      <c r="AF400" s="194"/>
      <c r="AG400" s="194"/>
      <c r="AH400" s="194"/>
      <c r="AI400" s="194"/>
      <c r="AJ400" s="194"/>
      <c r="AK400" s="194"/>
      <c r="AL400" s="194"/>
      <c r="AM400" s="194"/>
      <c r="AN400" s="194"/>
      <c r="AO400" s="194"/>
    </row>
    <row r="401">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c r="AA401" s="194"/>
      <c r="AB401" s="194"/>
      <c r="AC401" s="194"/>
      <c r="AD401" s="194"/>
      <c r="AE401" s="194"/>
      <c r="AF401" s="194"/>
      <c r="AG401" s="194"/>
      <c r="AH401" s="194"/>
      <c r="AI401" s="194"/>
      <c r="AJ401" s="194"/>
      <c r="AK401" s="194"/>
      <c r="AL401" s="194"/>
      <c r="AM401" s="194"/>
      <c r="AN401" s="194"/>
      <c r="AO401" s="194"/>
    </row>
    <row r="402">
      <c r="A402" s="194"/>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c r="AA402" s="194"/>
      <c r="AB402" s="194"/>
      <c r="AC402" s="194"/>
      <c r="AD402" s="194"/>
      <c r="AE402" s="194"/>
      <c r="AF402" s="194"/>
      <c r="AG402" s="194"/>
      <c r="AH402" s="194"/>
      <c r="AI402" s="194"/>
      <c r="AJ402" s="194"/>
      <c r="AK402" s="194"/>
      <c r="AL402" s="194"/>
      <c r="AM402" s="194"/>
      <c r="AN402" s="194"/>
      <c r="AO402" s="194"/>
    </row>
    <row r="403">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c r="AA403" s="194"/>
      <c r="AB403" s="194"/>
      <c r="AC403" s="194"/>
      <c r="AD403" s="194"/>
      <c r="AE403" s="194"/>
      <c r="AF403" s="194"/>
      <c r="AG403" s="194"/>
      <c r="AH403" s="194"/>
      <c r="AI403" s="194"/>
      <c r="AJ403" s="194"/>
      <c r="AK403" s="194"/>
      <c r="AL403" s="194"/>
      <c r="AM403" s="194"/>
      <c r="AN403" s="194"/>
      <c r="AO403" s="194"/>
    </row>
    <row r="404">
      <c r="A404" s="194"/>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c r="AA404" s="194"/>
      <c r="AB404" s="194"/>
      <c r="AC404" s="194"/>
      <c r="AD404" s="194"/>
      <c r="AE404" s="194"/>
      <c r="AF404" s="194"/>
      <c r="AG404" s="194"/>
      <c r="AH404" s="194"/>
      <c r="AI404" s="194"/>
      <c r="AJ404" s="194"/>
      <c r="AK404" s="194"/>
      <c r="AL404" s="194"/>
      <c r="AM404" s="194"/>
      <c r="AN404" s="194"/>
      <c r="AO404" s="194"/>
    </row>
    <row r="40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row>
    <row r="406">
      <c r="A406" s="194"/>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c r="AA406" s="194"/>
      <c r="AB406" s="194"/>
      <c r="AC406" s="194"/>
      <c r="AD406" s="194"/>
      <c r="AE406" s="194"/>
      <c r="AF406" s="194"/>
      <c r="AG406" s="194"/>
      <c r="AH406" s="194"/>
      <c r="AI406" s="194"/>
      <c r="AJ406" s="194"/>
      <c r="AK406" s="194"/>
      <c r="AL406" s="194"/>
      <c r="AM406" s="194"/>
      <c r="AN406" s="194"/>
      <c r="AO406" s="194"/>
    </row>
    <row r="407">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c r="AA407" s="194"/>
      <c r="AB407" s="194"/>
      <c r="AC407" s="194"/>
      <c r="AD407" s="194"/>
      <c r="AE407" s="194"/>
      <c r="AF407" s="194"/>
      <c r="AG407" s="194"/>
      <c r="AH407" s="194"/>
      <c r="AI407" s="194"/>
      <c r="AJ407" s="194"/>
      <c r="AK407" s="194"/>
      <c r="AL407" s="194"/>
      <c r="AM407" s="194"/>
      <c r="AN407" s="194"/>
      <c r="AO407" s="194"/>
    </row>
    <row r="408">
      <c r="A408" s="194"/>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c r="AA408" s="194"/>
      <c r="AB408" s="194"/>
      <c r="AC408" s="194"/>
      <c r="AD408" s="194"/>
      <c r="AE408" s="194"/>
      <c r="AF408" s="194"/>
      <c r="AG408" s="194"/>
      <c r="AH408" s="194"/>
      <c r="AI408" s="194"/>
      <c r="AJ408" s="194"/>
      <c r="AK408" s="194"/>
      <c r="AL408" s="194"/>
      <c r="AM408" s="194"/>
      <c r="AN408" s="194"/>
      <c r="AO408" s="194"/>
    </row>
    <row r="409">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c r="AF409" s="194"/>
      <c r="AG409" s="194"/>
      <c r="AH409" s="194"/>
      <c r="AI409" s="194"/>
      <c r="AJ409" s="194"/>
      <c r="AK409" s="194"/>
      <c r="AL409" s="194"/>
      <c r="AM409" s="194"/>
      <c r="AN409" s="194"/>
      <c r="AO409" s="194"/>
    </row>
    <row r="410">
      <c r="A410" s="194"/>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c r="AA410" s="194"/>
      <c r="AB410" s="194"/>
      <c r="AC410" s="194"/>
      <c r="AD410" s="194"/>
      <c r="AE410" s="194"/>
      <c r="AF410" s="194"/>
      <c r="AG410" s="194"/>
      <c r="AH410" s="194"/>
      <c r="AI410" s="194"/>
      <c r="AJ410" s="194"/>
      <c r="AK410" s="194"/>
      <c r="AL410" s="194"/>
      <c r="AM410" s="194"/>
      <c r="AN410" s="194"/>
      <c r="AO410" s="194"/>
    </row>
    <row r="411">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c r="AA411" s="194"/>
      <c r="AB411" s="194"/>
      <c r="AC411" s="194"/>
      <c r="AD411" s="194"/>
      <c r="AE411" s="194"/>
      <c r="AF411" s="194"/>
      <c r="AG411" s="194"/>
      <c r="AH411" s="194"/>
      <c r="AI411" s="194"/>
      <c r="AJ411" s="194"/>
      <c r="AK411" s="194"/>
      <c r="AL411" s="194"/>
      <c r="AM411" s="194"/>
      <c r="AN411" s="194"/>
      <c r="AO411" s="194"/>
    </row>
    <row r="412">
      <c r="A412" s="194"/>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c r="AA412" s="194"/>
      <c r="AB412" s="194"/>
      <c r="AC412" s="194"/>
      <c r="AD412" s="194"/>
      <c r="AE412" s="194"/>
      <c r="AF412" s="194"/>
      <c r="AG412" s="194"/>
      <c r="AH412" s="194"/>
      <c r="AI412" s="194"/>
      <c r="AJ412" s="194"/>
      <c r="AK412" s="194"/>
      <c r="AL412" s="194"/>
      <c r="AM412" s="194"/>
      <c r="AN412" s="194"/>
      <c r="AO412" s="194"/>
    </row>
    <row r="413">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c r="AA413" s="194"/>
      <c r="AB413" s="194"/>
      <c r="AC413" s="194"/>
      <c r="AD413" s="194"/>
      <c r="AE413" s="194"/>
      <c r="AF413" s="194"/>
      <c r="AG413" s="194"/>
      <c r="AH413" s="194"/>
      <c r="AI413" s="194"/>
      <c r="AJ413" s="194"/>
      <c r="AK413" s="194"/>
      <c r="AL413" s="194"/>
      <c r="AM413" s="194"/>
      <c r="AN413" s="194"/>
      <c r="AO413" s="194"/>
    </row>
    <row r="414">
      <c r="A414" s="194"/>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c r="AA414" s="194"/>
      <c r="AB414" s="194"/>
      <c r="AC414" s="194"/>
      <c r="AD414" s="194"/>
      <c r="AE414" s="194"/>
      <c r="AF414" s="194"/>
      <c r="AG414" s="194"/>
      <c r="AH414" s="194"/>
      <c r="AI414" s="194"/>
      <c r="AJ414" s="194"/>
      <c r="AK414" s="194"/>
      <c r="AL414" s="194"/>
      <c r="AM414" s="194"/>
      <c r="AN414" s="194"/>
      <c r="AO414" s="194"/>
    </row>
    <row r="41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c r="AA415" s="194"/>
      <c r="AB415" s="194"/>
      <c r="AC415" s="194"/>
      <c r="AD415" s="194"/>
      <c r="AE415" s="194"/>
      <c r="AF415" s="194"/>
      <c r="AG415" s="194"/>
      <c r="AH415" s="194"/>
      <c r="AI415" s="194"/>
      <c r="AJ415" s="194"/>
      <c r="AK415" s="194"/>
      <c r="AL415" s="194"/>
      <c r="AM415" s="194"/>
      <c r="AN415" s="194"/>
      <c r="AO415" s="194"/>
    </row>
    <row r="416">
      <c r="A416" s="194"/>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c r="AA416" s="194"/>
      <c r="AB416" s="194"/>
      <c r="AC416" s="194"/>
      <c r="AD416" s="194"/>
      <c r="AE416" s="194"/>
      <c r="AF416" s="194"/>
      <c r="AG416" s="194"/>
      <c r="AH416" s="194"/>
      <c r="AI416" s="194"/>
      <c r="AJ416" s="194"/>
      <c r="AK416" s="194"/>
      <c r="AL416" s="194"/>
      <c r="AM416" s="194"/>
      <c r="AN416" s="194"/>
      <c r="AO416" s="194"/>
    </row>
    <row r="417">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c r="AA417" s="194"/>
      <c r="AB417" s="194"/>
      <c r="AC417" s="194"/>
      <c r="AD417" s="194"/>
      <c r="AE417" s="194"/>
      <c r="AF417" s="194"/>
      <c r="AG417" s="194"/>
      <c r="AH417" s="194"/>
      <c r="AI417" s="194"/>
      <c r="AJ417" s="194"/>
      <c r="AK417" s="194"/>
      <c r="AL417" s="194"/>
      <c r="AM417" s="194"/>
      <c r="AN417" s="194"/>
      <c r="AO417" s="194"/>
    </row>
    <row r="418">
      <c r="A418" s="194"/>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c r="AA418" s="194"/>
      <c r="AB418" s="194"/>
      <c r="AC418" s="194"/>
      <c r="AD418" s="194"/>
      <c r="AE418" s="194"/>
      <c r="AF418" s="194"/>
      <c r="AG418" s="194"/>
      <c r="AH418" s="194"/>
      <c r="AI418" s="194"/>
      <c r="AJ418" s="194"/>
      <c r="AK418" s="194"/>
      <c r="AL418" s="194"/>
      <c r="AM418" s="194"/>
      <c r="AN418" s="194"/>
      <c r="AO418" s="194"/>
    </row>
    <row r="419">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c r="AA419" s="194"/>
      <c r="AB419" s="194"/>
      <c r="AC419" s="194"/>
      <c r="AD419" s="194"/>
      <c r="AE419" s="194"/>
      <c r="AF419" s="194"/>
      <c r="AG419" s="194"/>
      <c r="AH419" s="194"/>
      <c r="AI419" s="194"/>
      <c r="AJ419" s="194"/>
      <c r="AK419" s="194"/>
      <c r="AL419" s="194"/>
      <c r="AM419" s="194"/>
      <c r="AN419" s="194"/>
      <c r="AO419" s="194"/>
    </row>
    <row r="420">
      <c r="A420" s="194"/>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c r="AF420" s="194"/>
      <c r="AG420" s="194"/>
      <c r="AH420" s="194"/>
      <c r="AI420" s="194"/>
      <c r="AJ420" s="194"/>
      <c r="AK420" s="194"/>
      <c r="AL420" s="194"/>
      <c r="AM420" s="194"/>
      <c r="AN420" s="194"/>
      <c r="AO420" s="194"/>
    </row>
    <row r="421">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c r="AC421" s="194"/>
      <c r="AD421" s="194"/>
      <c r="AE421" s="194"/>
      <c r="AF421" s="194"/>
      <c r="AG421" s="194"/>
      <c r="AH421" s="194"/>
      <c r="AI421" s="194"/>
      <c r="AJ421" s="194"/>
      <c r="AK421" s="194"/>
      <c r="AL421" s="194"/>
      <c r="AM421" s="194"/>
      <c r="AN421" s="194"/>
      <c r="AO421" s="194"/>
    </row>
    <row r="422">
      <c r="A422" s="194"/>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c r="AC422" s="194"/>
      <c r="AD422" s="194"/>
      <c r="AE422" s="194"/>
      <c r="AF422" s="194"/>
      <c r="AG422" s="194"/>
      <c r="AH422" s="194"/>
      <c r="AI422" s="194"/>
      <c r="AJ422" s="194"/>
      <c r="AK422" s="194"/>
      <c r="AL422" s="194"/>
      <c r="AM422" s="194"/>
      <c r="AN422" s="194"/>
      <c r="AO422" s="194"/>
    </row>
    <row r="423">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c r="AC423" s="194"/>
      <c r="AD423" s="194"/>
      <c r="AE423" s="194"/>
      <c r="AF423" s="194"/>
      <c r="AG423" s="194"/>
      <c r="AH423" s="194"/>
      <c r="AI423" s="194"/>
      <c r="AJ423" s="194"/>
      <c r="AK423" s="194"/>
      <c r="AL423" s="194"/>
      <c r="AM423" s="194"/>
      <c r="AN423" s="194"/>
      <c r="AO423" s="194"/>
    </row>
    <row r="424">
      <c r="A424" s="194"/>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c r="AA424" s="194"/>
      <c r="AB424" s="194"/>
      <c r="AC424" s="194"/>
      <c r="AD424" s="194"/>
      <c r="AE424" s="194"/>
      <c r="AF424" s="194"/>
      <c r="AG424" s="194"/>
      <c r="AH424" s="194"/>
      <c r="AI424" s="194"/>
      <c r="AJ424" s="194"/>
      <c r="AK424" s="194"/>
      <c r="AL424" s="194"/>
      <c r="AM424" s="194"/>
      <c r="AN424" s="194"/>
      <c r="AO424" s="194"/>
    </row>
    <row r="4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c r="AA425" s="194"/>
      <c r="AB425" s="194"/>
      <c r="AC425" s="194"/>
      <c r="AD425" s="194"/>
      <c r="AE425" s="194"/>
      <c r="AF425" s="194"/>
      <c r="AG425" s="194"/>
      <c r="AH425" s="194"/>
      <c r="AI425" s="194"/>
      <c r="AJ425" s="194"/>
      <c r="AK425" s="194"/>
      <c r="AL425" s="194"/>
      <c r="AM425" s="194"/>
      <c r="AN425" s="194"/>
      <c r="AO425" s="194"/>
    </row>
    <row r="426">
      <c r="A426" s="194"/>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c r="AA426" s="194"/>
      <c r="AB426" s="194"/>
      <c r="AC426" s="194"/>
      <c r="AD426" s="194"/>
      <c r="AE426" s="194"/>
      <c r="AF426" s="194"/>
      <c r="AG426" s="194"/>
      <c r="AH426" s="194"/>
      <c r="AI426" s="194"/>
      <c r="AJ426" s="194"/>
      <c r="AK426" s="194"/>
      <c r="AL426" s="194"/>
      <c r="AM426" s="194"/>
      <c r="AN426" s="194"/>
      <c r="AO426" s="194"/>
    </row>
    <row r="427">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c r="AA427" s="194"/>
      <c r="AB427" s="194"/>
      <c r="AC427" s="194"/>
      <c r="AD427" s="194"/>
      <c r="AE427" s="194"/>
      <c r="AF427" s="194"/>
      <c r="AG427" s="194"/>
      <c r="AH427" s="194"/>
      <c r="AI427" s="194"/>
      <c r="AJ427" s="194"/>
      <c r="AK427" s="194"/>
      <c r="AL427" s="194"/>
      <c r="AM427" s="194"/>
      <c r="AN427" s="194"/>
      <c r="AO427" s="194"/>
    </row>
    <row r="428">
      <c r="A428" s="194"/>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c r="AA428" s="194"/>
      <c r="AB428" s="194"/>
      <c r="AC428" s="194"/>
      <c r="AD428" s="194"/>
      <c r="AE428" s="194"/>
      <c r="AF428" s="194"/>
      <c r="AG428" s="194"/>
      <c r="AH428" s="194"/>
      <c r="AI428" s="194"/>
      <c r="AJ428" s="194"/>
      <c r="AK428" s="194"/>
      <c r="AL428" s="194"/>
      <c r="AM428" s="194"/>
      <c r="AN428" s="194"/>
      <c r="AO428" s="194"/>
    </row>
    <row r="429">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c r="AA429" s="194"/>
      <c r="AB429" s="194"/>
      <c r="AC429" s="194"/>
      <c r="AD429" s="194"/>
      <c r="AE429" s="194"/>
      <c r="AF429" s="194"/>
      <c r="AG429" s="194"/>
      <c r="AH429" s="194"/>
      <c r="AI429" s="194"/>
      <c r="AJ429" s="194"/>
      <c r="AK429" s="194"/>
      <c r="AL429" s="194"/>
      <c r="AM429" s="194"/>
      <c r="AN429" s="194"/>
      <c r="AO429" s="194"/>
    </row>
    <row r="430">
      <c r="A430" s="194"/>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c r="AA430" s="194"/>
      <c r="AB430" s="194"/>
      <c r="AC430" s="194"/>
      <c r="AD430" s="194"/>
      <c r="AE430" s="194"/>
      <c r="AF430" s="194"/>
      <c r="AG430" s="194"/>
      <c r="AH430" s="194"/>
      <c r="AI430" s="194"/>
      <c r="AJ430" s="194"/>
      <c r="AK430" s="194"/>
      <c r="AL430" s="194"/>
      <c r="AM430" s="194"/>
      <c r="AN430" s="194"/>
      <c r="AO430" s="194"/>
    </row>
    <row r="431">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c r="AC431" s="194"/>
      <c r="AD431" s="194"/>
      <c r="AE431" s="194"/>
      <c r="AF431" s="194"/>
      <c r="AG431" s="194"/>
      <c r="AH431" s="194"/>
      <c r="AI431" s="194"/>
      <c r="AJ431" s="194"/>
      <c r="AK431" s="194"/>
      <c r="AL431" s="194"/>
      <c r="AM431" s="194"/>
      <c r="AN431" s="194"/>
      <c r="AO431" s="194"/>
    </row>
    <row r="432">
      <c r="A432" s="194"/>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c r="AC432" s="194"/>
      <c r="AD432" s="194"/>
      <c r="AE432" s="194"/>
      <c r="AF432" s="194"/>
      <c r="AG432" s="194"/>
      <c r="AH432" s="194"/>
      <c r="AI432" s="194"/>
      <c r="AJ432" s="194"/>
      <c r="AK432" s="194"/>
      <c r="AL432" s="194"/>
      <c r="AM432" s="194"/>
      <c r="AN432" s="194"/>
      <c r="AO432" s="194"/>
    </row>
    <row r="433">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c r="AA433" s="194"/>
      <c r="AB433" s="194"/>
      <c r="AC433" s="194"/>
      <c r="AD433" s="194"/>
      <c r="AE433" s="194"/>
      <c r="AF433" s="194"/>
      <c r="AG433" s="194"/>
      <c r="AH433" s="194"/>
      <c r="AI433" s="194"/>
      <c r="AJ433" s="194"/>
      <c r="AK433" s="194"/>
      <c r="AL433" s="194"/>
      <c r="AM433" s="194"/>
      <c r="AN433" s="194"/>
      <c r="AO433" s="194"/>
    </row>
    <row r="434">
      <c r="A434" s="194"/>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c r="AA434" s="194"/>
      <c r="AB434" s="194"/>
      <c r="AC434" s="194"/>
      <c r="AD434" s="194"/>
      <c r="AE434" s="194"/>
      <c r="AF434" s="194"/>
      <c r="AG434" s="194"/>
      <c r="AH434" s="194"/>
      <c r="AI434" s="194"/>
      <c r="AJ434" s="194"/>
      <c r="AK434" s="194"/>
      <c r="AL434" s="194"/>
      <c r="AM434" s="194"/>
      <c r="AN434" s="194"/>
      <c r="AO434" s="194"/>
    </row>
    <row r="43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c r="AC435" s="194"/>
      <c r="AD435" s="194"/>
      <c r="AE435" s="194"/>
      <c r="AF435" s="194"/>
      <c r="AG435" s="194"/>
      <c r="AH435" s="194"/>
      <c r="AI435" s="194"/>
      <c r="AJ435" s="194"/>
      <c r="AK435" s="194"/>
      <c r="AL435" s="194"/>
      <c r="AM435" s="194"/>
      <c r="AN435" s="194"/>
      <c r="AO435" s="194"/>
    </row>
    <row r="436">
      <c r="A436" s="194"/>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c r="AC436" s="194"/>
      <c r="AD436" s="194"/>
      <c r="AE436" s="194"/>
      <c r="AF436" s="194"/>
      <c r="AG436" s="194"/>
      <c r="AH436" s="194"/>
      <c r="AI436" s="194"/>
      <c r="AJ436" s="194"/>
      <c r="AK436" s="194"/>
      <c r="AL436" s="194"/>
      <c r="AM436" s="194"/>
      <c r="AN436" s="194"/>
      <c r="AO436" s="194"/>
    </row>
    <row r="437">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c r="AC437" s="194"/>
      <c r="AD437" s="194"/>
      <c r="AE437" s="194"/>
      <c r="AF437" s="194"/>
      <c r="AG437" s="194"/>
      <c r="AH437" s="194"/>
      <c r="AI437" s="194"/>
      <c r="AJ437" s="194"/>
      <c r="AK437" s="194"/>
      <c r="AL437" s="194"/>
      <c r="AM437" s="194"/>
      <c r="AN437" s="194"/>
      <c r="AO437" s="194"/>
    </row>
    <row r="438">
      <c r="A438" s="194"/>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c r="AC438" s="194"/>
      <c r="AD438" s="194"/>
      <c r="AE438" s="194"/>
      <c r="AF438" s="194"/>
      <c r="AG438" s="194"/>
      <c r="AH438" s="194"/>
      <c r="AI438" s="194"/>
      <c r="AJ438" s="194"/>
      <c r="AK438" s="194"/>
      <c r="AL438" s="194"/>
      <c r="AM438" s="194"/>
      <c r="AN438" s="194"/>
      <c r="AO438" s="194"/>
    </row>
    <row r="439">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c r="AA439" s="194"/>
      <c r="AB439" s="194"/>
      <c r="AC439" s="194"/>
      <c r="AD439" s="194"/>
      <c r="AE439" s="194"/>
      <c r="AF439" s="194"/>
      <c r="AG439" s="194"/>
      <c r="AH439" s="194"/>
      <c r="AI439" s="194"/>
      <c r="AJ439" s="194"/>
      <c r="AK439" s="194"/>
      <c r="AL439" s="194"/>
      <c r="AM439" s="194"/>
      <c r="AN439" s="194"/>
      <c r="AO439" s="194"/>
    </row>
    <row r="440">
      <c r="A440" s="194"/>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c r="AA440" s="194"/>
      <c r="AB440" s="194"/>
      <c r="AC440" s="194"/>
      <c r="AD440" s="194"/>
      <c r="AE440" s="194"/>
      <c r="AF440" s="194"/>
      <c r="AG440" s="194"/>
      <c r="AH440" s="194"/>
      <c r="AI440" s="194"/>
      <c r="AJ440" s="194"/>
      <c r="AK440" s="194"/>
      <c r="AL440" s="194"/>
      <c r="AM440" s="194"/>
      <c r="AN440" s="194"/>
      <c r="AO440" s="194"/>
    </row>
    <row r="441">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c r="AA441" s="194"/>
      <c r="AB441" s="194"/>
      <c r="AC441" s="194"/>
      <c r="AD441" s="194"/>
      <c r="AE441" s="194"/>
      <c r="AF441" s="194"/>
      <c r="AG441" s="194"/>
      <c r="AH441" s="194"/>
      <c r="AI441" s="194"/>
      <c r="AJ441" s="194"/>
      <c r="AK441" s="194"/>
      <c r="AL441" s="194"/>
      <c r="AM441" s="194"/>
      <c r="AN441" s="194"/>
      <c r="AO441" s="194"/>
    </row>
    <row r="442">
      <c r="A442" s="194"/>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c r="AA442" s="194"/>
      <c r="AB442" s="194"/>
      <c r="AC442" s="194"/>
      <c r="AD442" s="194"/>
      <c r="AE442" s="194"/>
      <c r="AF442" s="194"/>
      <c r="AG442" s="194"/>
      <c r="AH442" s="194"/>
      <c r="AI442" s="194"/>
      <c r="AJ442" s="194"/>
      <c r="AK442" s="194"/>
      <c r="AL442" s="194"/>
      <c r="AM442" s="194"/>
      <c r="AN442" s="194"/>
      <c r="AO442" s="194"/>
    </row>
    <row r="443">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c r="AA443" s="194"/>
      <c r="AB443" s="194"/>
      <c r="AC443" s="194"/>
      <c r="AD443" s="194"/>
      <c r="AE443" s="194"/>
      <c r="AF443" s="194"/>
      <c r="AG443" s="194"/>
      <c r="AH443" s="194"/>
      <c r="AI443" s="194"/>
      <c r="AJ443" s="194"/>
      <c r="AK443" s="194"/>
      <c r="AL443" s="194"/>
      <c r="AM443" s="194"/>
      <c r="AN443" s="194"/>
      <c r="AO443" s="194"/>
    </row>
    <row r="444">
      <c r="A444" s="194"/>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c r="AA444" s="194"/>
      <c r="AB444" s="194"/>
      <c r="AC444" s="194"/>
      <c r="AD444" s="194"/>
      <c r="AE444" s="194"/>
      <c r="AF444" s="194"/>
      <c r="AG444" s="194"/>
      <c r="AH444" s="194"/>
      <c r="AI444" s="194"/>
      <c r="AJ444" s="194"/>
      <c r="AK444" s="194"/>
      <c r="AL444" s="194"/>
      <c r="AM444" s="194"/>
      <c r="AN444" s="194"/>
      <c r="AO444" s="194"/>
    </row>
    <row r="44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c r="AA445" s="194"/>
      <c r="AB445" s="194"/>
      <c r="AC445" s="194"/>
      <c r="AD445" s="194"/>
      <c r="AE445" s="194"/>
      <c r="AF445" s="194"/>
      <c r="AG445" s="194"/>
      <c r="AH445" s="194"/>
      <c r="AI445" s="194"/>
      <c r="AJ445" s="194"/>
      <c r="AK445" s="194"/>
      <c r="AL445" s="194"/>
      <c r="AM445" s="194"/>
      <c r="AN445" s="194"/>
      <c r="AO445" s="194"/>
    </row>
    <row r="446">
      <c r="A446" s="194"/>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c r="AA446" s="194"/>
      <c r="AB446" s="194"/>
      <c r="AC446" s="194"/>
      <c r="AD446" s="194"/>
      <c r="AE446" s="194"/>
      <c r="AF446" s="194"/>
      <c r="AG446" s="194"/>
      <c r="AH446" s="194"/>
      <c r="AI446" s="194"/>
      <c r="AJ446" s="194"/>
      <c r="AK446" s="194"/>
      <c r="AL446" s="194"/>
      <c r="AM446" s="194"/>
      <c r="AN446" s="194"/>
      <c r="AO446" s="194"/>
    </row>
    <row r="447">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c r="AA447" s="194"/>
      <c r="AB447" s="194"/>
      <c r="AC447" s="194"/>
      <c r="AD447" s="194"/>
      <c r="AE447" s="194"/>
      <c r="AF447" s="194"/>
      <c r="AG447" s="194"/>
      <c r="AH447" s="194"/>
      <c r="AI447" s="194"/>
      <c r="AJ447" s="194"/>
      <c r="AK447" s="194"/>
      <c r="AL447" s="194"/>
      <c r="AM447" s="194"/>
      <c r="AN447" s="194"/>
      <c r="AO447" s="194"/>
    </row>
    <row r="448">
      <c r="A448" s="194"/>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c r="AA448" s="194"/>
      <c r="AB448" s="194"/>
      <c r="AC448" s="194"/>
      <c r="AD448" s="194"/>
      <c r="AE448" s="194"/>
      <c r="AF448" s="194"/>
      <c r="AG448" s="194"/>
      <c r="AH448" s="194"/>
      <c r="AI448" s="194"/>
      <c r="AJ448" s="194"/>
      <c r="AK448" s="194"/>
      <c r="AL448" s="194"/>
      <c r="AM448" s="194"/>
      <c r="AN448" s="194"/>
      <c r="AO448" s="194"/>
    </row>
    <row r="449">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c r="AA449" s="194"/>
      <c r="AB449" s="194"/>
      <c r="AC449" s="194"/>
      <c r="AD449" s="194"/>
      <c r="AE449" s="194"/>
      <c r="AF449" s="194"/>
      <c r="AG449" s="194"/>
      <c r="AH449" s="194"/>
      <c r="AI449" s="194"/>
      <c r="AJ449" s="194"/>
      <c r="AK449" s="194"/>
      <c r="AL449" s="194"/>
      <c r="AM449" s="194"/>
      <c r="AN449" s="194"/>
      <c r="AO449" s="194"/>
    </row>
    <row r="450">
      <c r="A450" s="194"/>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c r="AA450" s="194"/>
      <c r="AB450" s="194"/>
      <c r="AC450" s="194"/>
      <c r="AD450" s="194"/>
      <c r="AE450" s="194"/>
      <c r="AF450" s="194"/>
      <c r="AG450" s="194"/>
      <c r="AH450" s="194"/>
      <c r="AI450" s="194"/>
      <c r="AJ450" s="194"/>
      <c r="AK450" s="194"/>
      <c r="AL450" s="194"/>
      <c r="AM450" s="194"/>
      <c r="AN450" s="194"/>
      <c r="AO450" s="194"/>
    </row>
    <row r="451">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c r="AC451" s="194"/>
      <c r="AD451" s="194"/>
      <c r="AE451" s="194"/>
      <c r="AF451" s="194"/>
      <c r="AG451" s="194"/>
      <c r="AH451" s="194"/>
      <c r="AI451" s="194"/>
      <c r="AJ451" s="194"/>
      <c r="AK451" s="194"/>
      <c r="AL451" s="194"/>
      <c r="AM451" s="194"/>
      <c r="AN451" s="194"/>
      <c r="AO451" s="194"/>
    </row>
    <row r="452">
      <c r="A452" s="194"/>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c r="AA452" s="194"/>
      <c r="AB452" s="194"/>
      <c r="AC452" s="194"/>
      <c r="AD452" s="194"/>
      <c r="AE452" s="194"/>
      <c r="AF452" s="194"/>
      <c r="AG452" s="194"/>
      <c r="AH452" s="194"/>
      <c r="AI452" s="194"/>
      <c r="AJ452" s="194"/>
      <c r="AK452" s="194"/>
      <c r="AL452" s="194"/>
      <c r="AM452" s="194"/>
      <c r="AN452" s="194"/>
      <c r="AO452" s="194"/>
    </row>
    <row r="453">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c r="AF453" s="194"/>
      <c r="AG453" s="194"/>
      <c r="AH453" s="194"/>
      <c r="AI453" s="194"/>
      <c r="AJ453" s="194"/>
      <c r="AK453" s="194"/>
      <c r="AL453" s="194"/>
      <c r="AM453" s="194"/>
      <c r="AN453" s="194"/>
      <c r="AO453" s="194"/>
    </row>
    <row r="454">
      <c r="A454" s="194"/>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c r="AF454" s="194"/>
      <c r="AG454" s="194"/>
      <c r="AH454" s="194"/>
      <c r="AI454" s="194"/>
      <c r="AJ454" s="194"/>
      <c r="AK454" s="194"/>
      <c r="AL454" s="194"/>
      <c r="AM454" s="194"/>
      <c r="AN454" s="194"/>
      <c r="AO454" s="194"/>
    </row>
    <row r="45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c r="AF455" s="194"/>
      <c r="AG455" s="194"/>
      <c r="AH455" s="194"/>
      <c r="AI455" s="194"/>
      <c r="AJ455" s="194"/>
      <c r="AK455" s="194"/>
      <c r="AL455" s="194"/>
      <c r="AM455" s="194"/>
      <c r="AN455" s="194"/>
      <c r="AO455" s="194"/>
    </row>
    <row r="456">
      <c r="A456" s="194"/>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c r="AD456" s="194"/>
      <c r="AE456" s="194"/>
      <c r="AF456" s="194"/>
      <c r="AG456" s="194"/>
      <c r="AH456" s="194"/>
      <c r="AI456" s="194"/>
      <c r="AJ456" s="194"/>
      <c r="AK456" s="194"/>
      <c r="AL456" s="194"/>
      <c r="AM456" s="194"/>
      <c r="AN456" s="194"/>
      <c r="AO456" s="194"/>
    </row>
    <row r="457">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c r="AD457" s="194"/>
      <c r="AE457" s="194"/>
      <c r="AF457" s="194"/>
      <c r="AG457" s="194"/>
      <c r="AH457" s="194"/>
      <c r="AI457" s="194"/>
      <c r="AJ457" s="194"/>
      <c r="AK457" s="194"/>
      <c r="AL457" s="194"/>
      <c r="AM457" s="194"/>
      <c r="AN457" s="194"/>
      <c r="AO457" s="194"/>
    </row>
    <row r="458">
      <c r="A458" s="194"/>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c r="AD458" s="194"/>
      <c r="AE458" s="194"/>
      <c r="AF458" s="194"/>
      <c r="AG458" s="194"/>
      <c r="AH458" s="194"/>
      <c r="AI458" s="194"/>
      <c r="AJ458" s="194"/>
      <c r="AK458" s="194"/>
      <c r="AL458" s="194"/>
      <c r="AM458" s="194"/>
      <c r="AN458" s="194"/>
      <c r="AO458" s="194"/>
    </row>
    <row r="459">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c r="AD459" s="194"/>
      <c r="AE459" s="194"/>
      <c r="AF459" s="194"/>
      <c r="AG459" s="194"/>
      <c r="AH459" s="194"/>
      <c r="AI459" s="194"/>
      <c r="AJ459" s="194"/>
      <c r="AK459" s="194"/>
      <c r="AL459" s="194"/>
      <c r="AM459" s="194"/>
      <c r="AN459" s="194"/>
      <c r="AO459" s="194"/>
    </row>
    <row r="460">
      <c r="A460" s="194"/>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c r="AD460" s="194"/>
      <c r="AE460" s="194"/>
      <c r="AF460" s="194"/>
      <c r="AG460" s="194"/>
      <c r="AH460" s="194"/>
      <c r="AI460" s="194"/>
      <c r="AJ460" s="194"/>
      <c r="AK460" s="194"/>
      <c r="AL460" s="194"/>
      <c r="AM460" s="194"/>
      <c r="AN460" s="194"/>
      <c r="AO460" s="194"/>
    </row>
    <row r="461">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c r="AD461" s="194"/>
      <c r="AE461" s="194"/>
      <c r="AF461" s="194"/>
      <c r="AG461" s="194"/>
      <c r="AH461" s="194"/>
      <c r="AI461" s="194"/>
      <c r="AJ461" s="194"/>
      <c r="AK461" s="194"/>
      <c r="AL461" s="194"/>
      <c r="AM461" s="194"/>
      <c r="AN461" s="194"/>
      <c r="AO461" s="194"/>
    </row>
    <row r="462">
      <c r="A462" s="194"/>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c r="AD462" s="194"/>
      <c r="AE462" s="194"/>
      <c r="AF462" s="194"/>
      <c r="AG462" s="194"/>
      <c r="AH462" s="194"/>
      <c r="AI462" s="194"/>
      <c r="AJ462" s="194"/>
      <c r="AK462" s="194"/>
      <c r="AL462" s="194"/>
      <c r="AM462" s="194"/>
      <c r="AN462" s="194"/>
      <c r="AO462" s="194"/>
    </row>
    <row r="463">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c r="AF463" s="194"/>
      <c r="AG463" s="194"/>
      <c r="AH463" s="194"/>
      <c r="AI463" s="194"/>
      <c r="AJ463" s="194"/>
      <c r="AK463" s="194"/>
      <c r="AL463" s="194"/>
      <c r="AM463" s="194"/>
      <c r="AN463" s="194"/>
      <c r="AO463" s="194"/>
    </row>
    <row r="464">
      <c r="A464" s="194"/>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c r="AF464" s="194"/>
      <c r="AG464" s="194"/>
      <c r="AH464" s="194"/>
      <c r="AI464" s="194"/>
      <c r="AJ464" s="194"/>
      <c r="AK464" s="194"/>
      <c r="AL464" s="194"/>
      <c r="AM464" s="194"/>
      <c r="AN464" s="194"/>
      <c r="AO464" s="194"/>
    </row>
    <row r="46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c r="AA465" s="194"/>
      <c r="AB465" s="194"/>
      <c r="AC465" s="194"/>
      <c r="AD465" s="194"/>
      <c r="AE465" s="194"/>
      <c r="AF465" s="194"/>
      <c r="AG465" s="194"/>
      <c r="AH465" s="194"/>
      <c r="AI465" s="194"/>
      <c r="AJ465" s="194"/>
      <c r="AK465" s="194"/>
      <c r="AL465" s="194"/>
      <c r="AM465" s="194"/>
      <c r="AN465" s="194"/>
      <c r="AO465" s="194"/>
    </row>
    <row r="466">
      <c r="A466" s="194"/>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c r="AD466" s="194"/>
      <c r="AE466" s="194"/>
      <c r="AF466" s="194"/>
      <c r="AG466" s="194"/>
      <c r="AH466" s="194"/>
      <c r="AI466" s="194"/>
      <c r="AJ466" s="194"/>
      <c r="AK466" s="194"/>
      <c r="AL466" s="194"/>
      <c r="AM466" s="194"/>
      <c r="AN466" s="194"/>
      <c r="AO466" s="194"/>
    </row>
    <row r="467">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c r="AC467" s="194"/>
      <c r="AD467" s="194"/>
      <c r="AE467" s="194"/>
      <c r="AF467" s="194"/>
      <c r="AG467" s="194"/>
      <c r="AH467" s="194"/>
      <c r="AI467" s="194"/>
      <c r="AJ467" s="194"/>
      <c r="AK467" s="194"/>
      <c r="AL467" s="194"/>
      <c r="AM467" s="194"/>
      <c r="AN467" s="194"/>
      <c r="AO467" s="194"/>
    </row>
    <row r="468">
      <c r="A468" s="194"/>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c r="AF468" s="194"/>
      <c r="AG468" s="194"/>
      <c r="AH468" s="194"/>
      <c r="AI468" s="194"/>
      <c r="AJ468" s="194"/>
      <c r="AK468" s="194"/>
      <c r="AL468" s="194"/>
      <c r="AM468" s="194"/>
      <c r="AN468" s="194"/>
      <c r="AO468" s="194"/>
    </row>
    <row r="469">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c r="AF469" s="194"/>
      <c r="AG469" s="194"/>
      <c r="AH469" s="194"/>
      <c r="AI469" s="194"/>
      <c r="AJ469" s="194"/>
      <c r="AK469" s="194"/>
      <c r="AL469" s="194"/>
      <c r="AM469" s="194"/>
      <c r="AN469" s="194"/>
      <c r="AO469" s="194"/>
    </row>
    <row r="470">
      <c r="A470" s="194"/>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c r="AF470" s="194"/>
      <c r="AG470" s="194"/>
      <c r="AH470" s="194"/>
      <c r="AI470" s="194"/>
      <c r="AJ470" s="194"/>
      <c r="AK470" s="194"/>
      <c r="AL470" s="194"/>
      <c r="AM470" s="194"/>
      <c r="AN470" s="194"/>
      <c r="AO470" s="194"/>
    </row>
    <row r="471">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c r="AD471" s="194"/>
      <c r="AE471" s="194"/>
      <c r="AF471" s="194"/>
      <c r="AG471" s="194"/>
      <c r="AH471" s="194"/>
      <c r="AI471" s="194"/>
      <c r="AJ471" s="194"/>
      <c r="AK471" s="194"/>
      <c r="AL471" s="194"/>
      <c r="AM471" s="194"/>
      <c r="AN471" s="194"/>
      <c r="AO471" s="194"/>
    </row>
    <row r="472">
      <c r="A472" s="194"/>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c r="AD472" s="194"/>
      <c r="AE472" s="194"/>
      <c r="AF472" s="194"/>
      <c r="AG472" s="194"/>
      <c r="AH472" s="194"/>
      <c r="AI472" s="194"/>
      <c r="AJ472" s="194"/>
      <c r="AK472" s="194"/>
      <c r="AL472" s="194"/>
      <c r="AM472" s="194"/>
      <c r="AN472" s="194"/>
      <c r="AO472" s="194"/>
    </row>
    <row r="473">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c r="AD473" s="194"/>
      <c r="AE473" s="194"/>
      <c r="AF473" s="194"/>
      <c r="AG473" s="194"/>
      <c r="AH473" s="194"/>
      <c r="AI473" s="194"/>
      <c r="AJ473" s="194"/>
      <c r="AK473" s="194"/>
      <c r="AL473" s="194"/>
      <c r="AM473" s="194"/>
      <c r="AN473" s="194"/>
      <c r="AO473" s="194"/>
    </row>
    <row r="474">
      <c r="A474" s="194"/>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c r="AD474" s="194"/>
      <c r="AE474" s="194"/>
      <c r="AF474" s="194"/>
      <c r="AG474" s="194"/>
      <c r="AH474" s="194"/>
      <c r="AI474" s="194"/>
      <c r="AJ474" s="194"/>
      <c r="AK474" s="194"/>
      <c r="AL474" s="194"/>
      <c r="AM474" s="194"/>
      <c r="AN474" s="194"/>
      <c r="AO474" s="194"/>
    </row>
    <row r="47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c r="AD475" s="194"/>
      <c r="AE475" s="194"/>
      <c r="AF475" s="194"/>
      <c r="AG475" s="194"/>
      <c r="AH475" s="194"/>
      <c r="AI475" s="194"/>
      <c r="AJ475" s="194"/>
      <c r="AK475" s="194"/>
      <c r="AL475" s="194"/>
      <c r="AM475" s="194"/>
      <c r="AN475" s="194"/>
      <c r="AO475" s="194"/>
    </row>
    <row r="476">
      <c r="A476" s="194"/>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c r="AD476" s="194"/>
      <c r="AE476" s="194"/>
      <c r="AF476" s="194"/>
      <c r="AG476" s="194"/>
      <c r="AH476" s="194"/>
      <c r="AI476" s="194"/>
      <c r="AJ476" s="194"/>
      <c r="AK476" s="194"/>
      <c r="AL476" s="194"/>
      <c r="AM476" s="194"/>
      <c r="AN476" s="194"/>
      <c r="AO476" s="194"/>
    </row>
    <row r="477">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c r="AD477" s="194"/>
      <c r="AE477" s="194"/>
      <c r="AF477" s="194"/>
      <c r="AG477" s="194"/>
      <c r="AH477" s="194"/>
      <c r="AI477" s="194"/>
      <c r="AJ477" s="194"/>
      <c r="AK477" s="194"/>
      <c r="AL477" s="194"/>
      <c r="AM477" s="194"/>
      <c r="AN477" s="194"/>
      <c r="AO477" s="194"/>
    </row>
    <row r="478">
      <c r="A478" s="194"/>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c r="AD478" s="194"/>
      <c r="AE478" s="194"/>
      <c r="AF478" s="194"/>
      <c r="AG478" s="194"/>
      <c r="AH478" s="194"/>
      <c r="AI478" s="194"/>
      <c r="AJ478" s="194"/>
      <c r="AK478" s="194"/>
      <c r="AL478" s="194"/>
      <c r="AM478" s="194"/>
      <c r="AN478" s="194"/>
      <c r="AO478" s="194"/>
    </row>
    <row r="479">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c r="AD479" s="194"/>
      <c r="AE479" s="194"/>
      <c r="AF479" s="194"/>
      <c r="AG479" s="194"/>
      <c r="AH479" s="194"/>
      <c r="AI479" s="194"/>
      <c r="AJ479" s="194"/>
      <c r="AK479" s="194"/>
      <c r="AL479" s="194"/>
      <c r="AM479" s="194"/>
      <c r="AN479" s="194"/>
      <c r="AO479" s="194"/>
    </row>
    <row r="480">
      <c r="A480" s="194"/>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c r="AA480" s="194"/>
      <c r="AB480" s="194"/>
      <c r="AC480" s="194"/>
      <c r="AD480" s="194"/>
      <c r="AE480" s="194"/>
      <c r="AF480" s="194"/>
      <c r="AG480" s="194"/>
      <c r="AH480" s="194"/>
      <c r="AI480" s="194"/>
      <c r="AJ480" s="194"/>
      <c r="AK480" s="194"/>
      <c r="AL480" s="194"/>
      <c r="AM480" s="194"/>
      <c r="AN480" s="194"/>
      <c r="AO480" s="194"/>
    </row>
    <row r="481">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c r="AD481" s="194"/>
      <c r="AE481" s="194"/>
      <c r="AF481" s="194"/>
      <c r="AG481" s="194"/>
      <c r="AH481" s="194"/>
      <c r="AI481" s="194"/>
      <c r="AJ481" s="194"/>
      <c r="AK481" s="194"/>
      <c r="AL481" s="194"/>
      <c r="AM481" s="194"/>
      <c r="AN481" s="194"/>
      <c r="AO481" s="194"/>
    </row>
    <row r="482">
      <c r="A482" s="194"/>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c r="AA482" s="194"/>
      <c r="AB482" s="194"/>
      <c r="AC482" s="194"/>
      <c r="AD482" s="194"/>
      <c r="AE482" s="194"/>
      <c r="AF482" s="194"/>
      <c r="AG482" s="194"/>
      <c r="AH482" s="194"/>
      <c r="AI482" s="194"/>
      <c r="AJ482" s="194"/>
      <c r="AK482" s="194"/>
      <c r="AL482" s="194"/>
      <c r="AM482" s="194"/>
      <c r="AN482" s="194"/>
      <c r="AO482" s="194"/>
    </row>
    <row r="483">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c r="AC483" s="194"/>
      <c r="AD483" s="194"/>
      <c r="AE483" s="194"/>
      <c r="AF483" s="194"/>
      <c r="AG483" s="194"/>
      <c r="AH483" s="194"/>
      <c r="AI483" s="194"/>
      <c r="AJ483" s="194"/>
      <c r="AK483" s="194"/>
      <c r="AL483" s="194"/>
      <c r="AM483" s="194"/>
      <c r="AN483" s="194"/>
      <c r="AO483" s="194"/>
    </row>
    <row r="484">
      <c r="A484" s="194"/>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c r="AA484" s="194"/>
      <c r="AB484" s="194"/>
      <c r="AC484" s="194"/>
      <c r="AD484" s="194"/>
      <c r="AE484" s="194"/>
      <c r="AF484" s="194"/>
      <c r="AG484" s="194"/>
      <c r="AH484" s="194"/>
      <c r="AI484" s="194"/>
      <c r="AJ484" s="194"/>
      <c r="AK484" s="194"/>
      <c r="AL484" s="194"/>
      <c r="AM484" s="194"/>
      <c r="AN484" s="194"/>
      <c r="AO484" s="194"/>
    </row>
    <row r="48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c r="AD485" s="194"/>
      <c r="AE485" s="194"/>
      <c r="AF485" s="194"/>
      <c r="AG485" s="194"/>
      <c r="AH485" s="194"/>
      <c r="AI485" s="194"/>
      <c r="AJ485" s="194"/>
      <c r="AK485" s="194"/>
      <c r="AL485" s="194"/>
      <c r="AM485" s="194"/>
      <c r="AN485" s="194"/>
      <c r="AO485" s="194"/>
    </row>
    <row r="486">
      <c r="A486" s="194"/>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c r="AF486" s="194"/>
      <c r="AG486" s="194"/>
      <c r="AH486" s="194"/>
      <c r="AI486" s="194"/>
      <c r="AJ486" s="194"/>
      <c r="AK486" s="194"/>
      <c r="AL486" s="194"/>
      <c r="AM486" s="194"/>
      <c r="AN486" s="194"/>
      <c r="AO486" s="194"/>
    </row>
    <row r="487">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c r="AD487" s="194"/>
      <c r="AE487" s="194"/>
      <c r="AF487" s="194"/>
      <c r="AG487" s="194"/>
      <c r="AH487" s="194"/>
      <c r="AI487" s="194"/>
      <c r="AJ487" s="194"/>
      <c r="AK487" s="194"/>
      <c r="AL487" s="194"/>
      <c r="AM487" s="194"/>
      <c r="AN487" s="194"/>
      <c r="AO487" s="194"/>
    </row>
    <row r="488">
      <c r="A488" s="194"/>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c r="AA488" s="194"/>
      <c r="AB488" s="194"/>
      <c r="AC488" s="194"/>
      <c r="AD488" s="194"/>
      <c r="AE488" s="194"/>
      <c r="AF488" s="194"/>
      <c r="AG488" s="194"/>
      <c r="AH488" s="194"/>
      <c r="AI488" s="194"/>
      <c r="AJ488" s="194"/>
      <c r="AK488" s="194"/>
      <c r="AL488" s="194"/>
      <c r="AM488" s="194"/>
      <c r="AN488" s="194"/>
      <c r="AO488" s="194"/>
    </row>
    <row r="489">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c r="AC489" s="194"/>
      <c r="AD489" s="194"/>
      <c r="AE489" s="194"/>
      <c r="AF489" s="194"/>
      <c r="AG489" s="194"/>
      <c r="AH489" s="194"/>
      <c r="AI489" s="194"/>
      <c r="AJ489" s="194"/>
      <c r="AK489" s="194"/>
      <c r="AL489" s="194"/>
      <c r="AM489" s="194"/>
      <c r="AN489" s="194"/>
      <c r="AO489" s="194"/>
    </row>
    <row r="490">
      <c r="A490" s="194"/>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c r="AA490" s="194"/>
      <c r="AB490" s="194"/>
      <c r="AC490" s="194"/>
      <c r="AD490" s="194"/>
      <c r="AE490" s="194"/>
      <c r="AF490" s="194"/>
      <c r="AG490" s="194"/>
      <c r="AH490" s="194"/>
      <c r="AI490" s="194"/>
      <c r="AJ490" s="194"/>
      <c r="AK490" s="194"/>
      <c r="AL490" s="194"/>
      <c r="AM490" s="194"/>
      <c r="AN490" s="194"/>
      <c r="AO490" s="194"/>
    </row>
    <row r="491">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c r="AC491" s="194"/>
      <c r="AD491" s="194"/>
      <c r="AE491" s="194"/>
      <c r="AF491" s="194"/>
      <c r="AG491" s="194"/>
      <c r="AH491" s="194"/>
      <c r="AI491" s="194"/>
      <c r="AJ491" s="194"/>
      <c r="AK491" s="194"/>
      <c r="AL491" s="194"/>
      <c r="AM491" s="194"/>
      <c r="AN491" s="194"/>
      <c r="AO491" s="194"/>
    </row>
    <row r="492">
      <c r="A492" s="194"/>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c r="AA492" s="194"/>
      <c r="AB492" s="194"/>
      <c r="AC492" s="194"/>
      <c r="AD492" s="194"/>
      <c r="AE492" s="194"/>
      <c r="AF492" s="194"/>
      <c r="AG492" s="194"/>
      <c r="AH492" s="194"/>
      <c r="AI492" s="194"/>
      <c r="AJ492" s="194"/>
      <c r="AK492" s="194"/>
      <c r="AL492" s="194"/>
      <c r="AM492" s="194"/>
      <c r="AN492" s="194"/>
      <c r="AO492" s="194"/>
    </row>
    <row r="493">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c r="AA493" s="194"/>
      <c r="AB493" s="194"/>
      <c r="AC493" s="194"/>
      <c r="AD493" s="194"/>
      <c r="AE493" s="194"/>
      <c r="AF493" s="194"/>
      <c r="AG493" s="194"/>
      <c r="AH493" s="194"/>
      <c r="AI493" s="194"/>
      <c r="AJ493" s="194"/>
      <c r="AK493" s="194"/>
      <c r="AL493" s="194"/>
      <c r="AM493" s="194"/>
      <c r="AN493" s="194"/>
      <c r="AO493" s="194"/>
    </row>
    <row r="494">
      <c r="A494" s="194"/>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c r="AA494" s="194"/>
      <c r="AB494" s="194"/>
      <c r="AC494" s="194"/>
      <c r="AD494" s="194"/>
      <c r="AE494" s="194"/>
      <c r="AF494" s="194"/>
      <c r="AG494" s="194"/>
      <c r="AH494" s="194"/>
      <c r="AI494" s="194"/>
      <c r="AJ494" s="194"/>
      <c r="AK494" s="194"/>
      <c r="AL494" s="194"/>
      <c r="AM494" s="194"/>
      <c r="AN494" s="194"/>
      <c r="AO494" s="194"/>
    </row>
    <row r="49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c r="AA495" s="194"/>
      <c r="AB495" s="194"/>
      <c r="AC495" s="194"/>
      <c r="AD495" s="194"/>
      <c r="AE495" s="194"/>
      <c r="AF495" s="194"/>
      <c r="AG495" s="194"/>
      <c r="AH495" s="194"/>
      <c r="AI495" s="194"/>
      <c r="AJ495" s="194"/>
      <c r="AK495" s="194"/>
      <c r="AL495" s="194"/>
      <c r="AM495" s="194"/>
      <c r="AN495" s="194"/>
      <c r="AO495" s="194"/>
    </row>
    <row r="496">
      <c r="A496" s="194"/>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c r="AA496" s="194"/>
      <c r="AB496" s="194"/>
      <c r="AC496" s="194"/>
      <c r="AD496" s="194"/>
      <c r="AE496" s="194"/>
      <c r="AF496" s="194"/>
      <c r="AG496" s="194"/>
      <c r="AH496" s="194"/>
      <c r="AI496" s="194"/>
      <c r="AJ496" s="194"/>
      <c r="AK496" s="194"/>
      <c r="AL496" s="194"/>
      <c r="AM496" s="194"/>
      <c r="AN496" s="194"/>
      <c r="AO496" s="194"/>
    </row>
    <row r="497">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c r="AA497" s="194"/>
      <c r="AB497" s="194"/>
      <c r="AC497" s="194"/>
      <c r="AD497" s="194"/>
      <c r="AE497" s="194"/>
      <c r="AF497" s="194"/>
      <c r="AG497" s="194"/>
      <c r="AH497" s="194"/>
      <c r="AI497" s="194"/>
      <c r="AJ497" s="194"/>
      <c r="AK497" s="194"/>
      <c r="AL497" s="194"/>
      <c r="AM497" s="194"/>
      <c r="AN497" s="194"/>
      <c r="AO497" s="194"/>
    </row>
    <row r="498">
      <c r="A498" s="194"/>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c r="AA498" s="194"/>
      <c r="AB498" s="194"/>
      <c r="AC498" s="194"/>
      <c r="AD498" s="194"/>
      <c r="AE498" s="194"/>
      <c r="AF498" s="194"/>
      <c r="AG498" s="194"/>
      <c r="AH498" s="194"/>
      <c r="AI498" s="194"/>
      <c r="AJ498" s="194"/>
      <c r="AK498" s="194"/>
      <c r="AL498" s="194"/>
      <c r="AM498" s="194"/>
      <c r="AN498" s="194"/>
      <c r="AO498" s="194"/>
    </row>
    <row r="499">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c r="AA499" s="194"/>
      <c r="AB499" s="194"/>
      <c r="AC499" s="194"/>
      <c r="AD499" s="194"/>
      <c r="AE499" s="194"/>
      <c r="AF499" s="194"/>
      <c r="AG499" s="194"/>
      <c r="AH499" s="194"/>
      <c r="AI499" s="194"/>
      <c r="AJ499" s="194"/>
      <c r="AK499" s="194"/>
      <c r="AL499" s="194"/>
      <c r="AM499" s="194"/>
      <c r="AN499" s="194"/>
      <c r="AO499" s="194"/>
    </row>
    <row r="500">
      <c r="A500" s="194"/>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c r="AA500" s="194"/>
      <c r="AB500" s="194"/>
      <c r="AC500" s="194"/>
      <c r="AD500" s="194"/>
      <c r="AE500" s="194"/>
      <c r="AF500" s="194"/>
      <c r="AG500" s="194"/>
      <c r="AH500" s="194"/>
      <c r="AI500" s="194"/>
      <c r="AJ500" s="194"/>
      <c r="AK500" s="194"/>
      <c r="AL500" s="194"/>
      <c r="AM500" s="194"/>
      <c r="AN500" s="194"/>
      <c r="AO500" s="194"/>
    </row>
    <row r="501">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c r="AC501" s="194"/>
      <c r="AD501" s="194"/>
      <c r="AE501" s="194"/>
      <c r="AF501" s="194"/>
      <c r="AG501" s="194"/>
      <c r="AH501" s="194"/>
      <c r="AI501" s="194"/>
      <c r="AJ501" s="194"/>
      <c r="AK501" s="194"/>
      <c r="AL501" s="194"/>
      <c r="AM501" s="194"/>
      <c r="AN501" s="194"/>
      <c r="AO501" s="194"/>
    </row>
    <row r="502">
      <c r="A502" s="194"/>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c r="AA502" s="194"/>
      <c r="AB502" s="194"/>
      <c r="AC502" s="194"/>
      <c r="AD502" s="194"/>
      <c r="AE502" s="194"/>
      <c r="AF502" s="194"/>
      <c r="AG502" s="194"/>
      <c r="AH502" s="194"/>
      <c r="AI502" s="194"/>
      <c r="AJ502" s="194"/>
      <c r="AK502" s="194"/>
      <c r="AL502" s="194"/>
      <c r="AM502" s="194"/>
      <c r="AN502" s="194"/>
      <c r="AO502" s="194"/>
    </row>
    <row r="503">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c r="AC503" s="194"/>
      <c r="AD503" s="194"/>
      <c r="AE503" s="194"/>
      <c r="AF503" s="194"/>
      <c r="AG503" s="194"/>
      <c r="AH503" s="194"/>
      <c r="AI503" s="194"/>
      <c r="AJ503" s="194"/>
      <c r="AK503" s="194"/>
      <c r="AL503" s="194"/>
      <c r="AM503" s="194"/>
      <c r="AN503" s="194"/>
      <c r="AO503" s="194"/>
    </row>
    <row r="504">
      <c r="A504" s="194"/>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c r="AA504" s="194"/>
      <c r="AB504" s="194"/>
      <c r="AC504" s="194"/>
      <c r="AD504" s="194"/>
      <c r="AE504" s="194"/>
      <c r="AF504" s="194"/>
      <c r="AG504" s="194"/>
      <c r="AH504" s="194"/>
      <c r="AI504" s="194"/>
      <c r="AJ504" s="194"/>
      <c r="AK504" s="194"/>
      <c r="AL504" s="194"/>
      <c r="AM504" s="194"/>
      <c r="AN504" s="194"/>
      <c r="AO504" s="194"/>
    </row>
    <row r="50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c r="AC505" s="194"/>
      <c r="AD505" s="194"/>
      <c r="AE505" s="194"/>
      <c r="AF505" s="194"/>
      <c r="AG505" s="194"/>
      <c r="AH505" s="194"/>
      <c r="AI505" s="194"/>
      <c r="AJ505" s="194"/>
      <c r="AK505" s="194"/>
      <c r="AL505" s="194"/>
      <c r="AM505" s="194"/>
      <c r="AN505" s="194"/>
      <c r="AO505" s="194"/>
    </row>
    <row r="506">
      <c r="A506" s="194"/>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c r="AA506" s="194"/>
      <c r="AB506" s="194"/>
      <c r="AC506" s="194"/>
      <c r="AD506" s="194"/>
      <c r="AE506" s="194"/>
      <c r="AF506" s="194"/>
      <c r="AG506" s="194"/>
      <c r="AH506" s="194"/>
      <c r="AI506" s="194"/>
      <c r="AJ506" s="194"/>
      <c r="AK506" s="194"/>
      <c r="AL506" s="194"/>
      <c r="AM506" s="194"/>
      <c r="AN506" s="194"/>
      <c r="AO506" s="194"/>
    </row>
    <row r="507">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c r="AC507" s="194"/>
      <c r="AD507" s="194"/>
      <c r="AE507" s="194"/>
      <c r="AF507" s="194"/>
      <c r="AG507" s="194"/>
      <c r="AH507" s="194"/>
      <c r="AI507" s="194"/>
      <c r="AJ507" s="194"/>
      <c r="AK507" s="194"/>
      <c r="AL507" s="194"/>
      <c r="AM507" s="194"/>
      <c r="AN507" s="194"/>
      <c r="AO507" s="194"/>
    </row>
    <row r="508">
      <c r="A508" s="194"/>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c r="AA508" s="194"/>
      <c r="AB508" s="194"/>
      <c r="AC508" s="194"/>
      <c r="AD508" s="194"/>
      <c r="AE508" s="194"/>
      <c r="AF508" s="194"/>
      <c r="AG508" s="194"/>
      <c r="AH508" s="194"/>
      <c r="AI508" s="194"/>
      <c r="AJ508" s="194"/>
      <c r="AK508" s="194"/>
      <c r="AL508" s="194"/>
      <c r="AM508" s="194"/>
      <c r="AN508" s="194"/>
      <c r="AO508" s="194"/>
    </row>
    <row r="509">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c r="AD509" s="194"/>
      <c r="AE509" s="194"/>
      <c r="AF509" s="194"/>
      <c r="AG509" s="194"/>
      <c r="AH509" s="194"/>
      <c r="AI509" s="194"/>
      <c r="AJ509" s="194"/>
      <c r="AK509" s="194"/>
      <c r="AL509" s="194"/>
      <c r="AM509" s="194"/>
      <c r="AN509" s="194"/>
      <c r="AO509" s="194"/>
    </row>
    <row r="510">
      <c r="A510" s="194"/>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c r="AA510" s="194"/>
      <c r="AB510" s="194"/>
      <c r="AC510" s="194"/>
      <c r="AD510" s="194"/>
      <c r="AE510" s="194"/>
      <c r="AF510" s="194"/>
      <c r="AG510" s="194"/>
      <c r="AH510" s="194"/>
      <c r="AI510" s="194"/>
      <c r="AJ510" s="194"/>
      <c r="AK510" s="194"/>
      <c r="AL510" s="194"/>
      <c r="AM510" s="194"/>
      <c r="AN510" s="194"/>
      <c r="AO510" s="194"/>
    </row>
    <row r="511">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c r="AC511" s="194"/>
      <c r="AD511" s="194"/>
      <c r="AE511" s="194"/>
      <c r="AF511" s="194"/>
      <c r="AG511" s="194"/>
      <c r="AH511" s="194"/>
      <c r="AI511" s="194"/>
      <c r="AJ511" s="194"/>
      <c r="AK511" s="194"/>
      <c r="AL511" s="194"/>
      <c r="AM511" s="194"/>
      <c r="AN511" s="194"/>
      <c r="AO511" s="194"/>
    </row>
    <row r="512">
      <c r="A512" s="194"/>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c r="AA512" s="194"/>
      <c r="AB512" s="194"/>
      <c r="AC512" s="194"/>
      <c r="AD512" s="194"/>
      <c r="AE512" s="194"/>
      <c r="AF512" s="194"/>
      <c r="AG512" s="194"/>
      <c r="AH512" s="194"/>
      <c r="AI512" s="194"/>
      <c r="AJ512" s="194"/>
      <c r="AK512" s="194"/>
      <c r="AL512" s="194"/>
      <c r="AM512" s="194"/>
      <c r="AN512" s="194"/>
      <c r="AO512" s="194"/>
    </row>
    <row r="513">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c r="AC513" s="194"/>
      <c r="AD513" s="194"/>
      <c r="AE513" s="194"/>
      <c r="AF513" s="194"/>
      <c r="AG513" s="194"/>
      <c r="AH513" s="194"/>
      <c r="AI513" s="194"/>
      <c r="AJ513" s="194"/>
      <c r="AK513" s="194"/>
      <c r="AL513" s="194"/>
      <c r="AM513" s="194"/>
      <c r="AN513" s="194"/>
      <c r="AO513" s="194"/>
    </row>
    <row r="514">
      <c r="A514" s="194"/>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c r="AA514" s="194"/>
      <c r="AB514" s="194"/>
      <c r="AC514" s="194"/>
      <c r="AD514" s="194"/>
      <c r="AE514" s="194"/>
      <c r="AF514" s="194"/>
      <c r="AG514" s="194"/>
      <c r="AH514" s="194"/>
      <c r="AI514" s="194"/>
      <c r="AJ514" s="194"/>
      <c r="AK514" s="194"/>
      <c r="AL514" s="194"/>
      <c r="AM514" s="194"/>
      <c r="AN514" s="194"/>
      <c r="AO514" s="194"/>
    </row>
    <row r="51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c r="AA515" s="194"/>
      <c r="AB515" s="194"/>
      <c r="AC515" s="194"/>
      <c r="AD515" s="194"/>
      <c r="AE515" s="194"/>
      <c r="AF515" s="194"/>
      <c r="AG515" s="194"/>
      <c r="AH515" s="194"/>
      <c r="AI515" s="194"/>
      <c r="AJ515" s="194"/>
      <c r="AK515" s="194"/>
      <c r="AL515" s="194"/>
      <c r="AM515" s="194"/>
      <c r="AN515" s="194"/>
      <c r="AO515" s="194"/>
    </row>
    <row r="516">
      <c r="A516" s="194"/>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c r="AA516" s="194"/>
      <c r="AB516" s="194"/>
      <c r="AC516" s="194"/>
      <c r="AD516" s="194"/>
      <c r="AE516" s="194"/>
      <c r="AF516" s="194"/>
      <c r="AG516" s="194"/>
      <c r="AH516" s="194"/>
      <c r="AI516" s="194"/>
      <c r="AJ516" s="194"/>
      <c r="AK516" s="194"/>
      <c r="AL516" s="194"/>
      <c r="AM516" s="194"/>
      <c r="AN516" s="194"/>
      <c r="AO516" s="194"/>
    </row>
    <row r="517">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c r="AA517" s="194"/>
      <c r="AB517" s="194"/>
      <c r="AC517" s="194"/>
      <c r="AD517" s="194"/>
      <c r="AE517" s="194"/>
      <c r="AF517" s="194"/>
      <c r="AG517" s="194"/>
      <c r="AH517" s="194"/>
      <c r="AI517" s="194"/>
      <c r="AJ517" s="194"/>
      <c r="AK517" s="194"/>
      <c r="AL517" s="194"/>
      <c r="AM517" s="194"/>
      <c r="AN517" s="194"/>
      <c r="AO517" s="194"/>
    </row>
    <row r="518">
      <c r="A518" s="194"/>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c r="AA518" s="194"/>
      <c r="AB518" s="194"/>
      <c r="AC518" s="194"/>
      <c r="AD518" s="194"/>
      <c r="AE518" s="194"/>
      <c r="AF518" s="194"/>
      <c r="AG518" s="194"/>
      <c r="AH518" s="194"/>
      <c r="AI518" s="194"/>
      <c r="AJ518" s="194"/>
      <c r="AK518" s="194"/>
      <c r="AL518" s="194"/>
      <c r="AM518" s="194"/>
      <c r="AN518" s="194"/>
      <c r="AO518" s="194"/>
    </row>
    <row r="519">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194"/>
      <c r="AC519" s="194"/>
      <c r="AD519" s="194"/>
      <c r="AE519" s="194"/>
      <c r="AF519" s="194"/>
      <c r="AG519" s="194"/>
      <c r="AH519" s="194"/>
      <c r="AI519" s="194"/>
      <c r="AJ519" s="194"/>
      <c r="AK519" s="194"/>
      <c r="AL519" s="194"/>
      <c r="AM519" s="194"/>
      <c r="AN519" s="194"/>
      <c r="AO519" s="194"/>
    </row>
    <row r="520">
      <c r="A520" s="194"/>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c r="AA520" s="194"/>
      <c r="AB520" s="194"/>
      <c r="AC520" s="194"/>
      <c r="AD520" s="194"/>
      <c r="AE520" s="194"/>
      <c r="AF520" s="194"/>
      <c r="AG520" s="194"/>
      <c r="AH520" s="194"/>
      <c r="AI520" s="194"/>
      <c r="AJ520" s="194"/>
      <c r="AK520" s="194"/>
      <c r="AL520" s="194"/>
      <c r="AM520" s="194"/>
      <c r="AN520" s="194"/>
      <c r="AO520" s="194"/>
    </row>
    <row r="521">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c r="AA521" s="194"/>
      <c r="AB521" s="194"/>
      <c r="AC521" s="194"/>
      <c r="AD521" s="194"/>
      <c r="AE521" s="194"/>
      <c r="AF521" s="194"/>
      <c r="AG521" s="194"/>
      <c r="AH521" s="194"/>
      <c r="AI521" s="194"/>
      <c r="AJ521" s="194"/>
      <c r="AK521" s="194"/>
      <c r="AL521" s="194"/>
      <c r="AM521" s="194"/>
      <c r="AN521" s="194"/>
      <c r="AO521" s="194"/>
    </row>
    <row r="522">
      <c r="A522" s="194"/>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c r="AA522" s="194"/>
      <c r="AB522" s="194"/>
      <c r="AC522" s="194"/>
      <c r="AD522" s="194"/>
      <c r="AE522" s="194"/>
      <c r="AF522" s="194"/>
      <c r="AG522" s="194"/>
      <c r="AH522" s="194"/>
      <c r="AI522" s="194"/>
      <c r="AJ522" s="194"/>
      <c r="AK522" s="194"/>
      <c r="AL522" s="194"/>
      <c r="AM522" s="194"/>
      <c r="AN522" s="194"/>
      <c r="AO522" s="194"/>
    </row>
    <row r="523">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c r="AA523" s="194"/>
      <c r="AB523" s="194"/>
      <c r="AC523" s="194"/>
      <c r="AD523" s="194"/>
      <c r="AE523" s="194"/>
      <c r="AF523" s="194"/>
      <c r="AG523" s="194"/>
      <c r="AH523" s="194"/>
      <c r="AI523" s="194"/>
      <c r="AJ523" s="194"/>
      <c r="AK523" s="194"/>
      <c r="AL523" s="194"/>
      <c r="AM523" s="194"/>
      <c r="AN523" s="194"/>
      <c r="AO523" s="194"/>
    </row>
    <row r="524">
      <c r="A524" s="194"/>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c r="AA524" s="194"/>
      <c r="AB524" s="194"/>
      <c r="AC524" s="194"/>
      <c r="AD524" s="194"/>
      <c r="AE524" s="194"/>
      <c r="AF524" s="194"/>
      <c r="AG524" s="194"/>
      <c r="AH524" s="194"/>
      <c r="AI524" s="194"/>
      <c r="AJ524" s="194"/>
      <c r="AK524" s="194"/>
      <c r="AL524" s="194"/>
      <c r="AM524" s="194"/>
      <c r="AN524" s="194"/>
      <c r="AO524" s="194"/>
    </row>
    <row r="5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c r="AC525" s="194"/>
      <c r="AD525" s="194"/>
      <c r="AE525" s="194"/>
      <c r="AF525" s="194"/>
      <c r="AG525" s="194"/>
      <c r="AH525" s="194"/>
      <c r="AI525" s="194"/>
      <c r="AJ525" s="194"/>
      <c r="AK525" s="194"/>
      <c r="AL525" s="194"/>
      <c r="AM525" s="194"/>
      <c r="AN525" s="194"/>
      <c r="AO525" s="194"/>
    </row>
    <row r="526">
      <c r="A526" s="194"/>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c r="AA526" s="194"/>
      <c r="AB526" s="194"/>
      <c r="AC526" s="194"/>
      <c r="AD526" s="194"/>
      <c r="AE526" s="194"/>
      <c r="AF526" s="194"/>
      <c r="AG526" s="194"/>
      <c r="AH526" s="194"/>
      <c r="AI526" s="194"/>
      <c r="AJ526" s="194"/>
      <c r="AK526" s="194"/>
      <c r="AL526" s="194"/>
      <c r="AM526" s="194"/>
      <c r="AN526" s="194"/>
      <c r="AO526" s="194"/>
    </row>
    <row r="527">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c r="AC527" s="194"/>
      <c r="AD527" s="194"/>
      <c r="AE527" s="194"/>
      <c r="AF527" s="194"/>
      <c r="AG527" s="194"/>
      <c r="AH527" s="194"/>
      <c r="AI527" s="194"/>
      <c r="AJ527" s="194"/>
      <c r="AK527" s="194"/>
      <c r="AL527" s="194"/>
      <c r="AM527" s="194"/>
      <c r="AN527" s="194"/>
      <c r="AO527" s="194"/>
    </row>
    <row r="528">
      <c r="A528" s="194"/>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c r="AA528" s="194"/>
      <c r="AB528" s="194"/>
      <c r="AC528" s="194"/>
      <c r="AD528" s="194"/>
      <c r="AE528" s="194"/>
      <c r="AF528" s="194"/>
      <c r="AG528" s="194"/>
      <c r="AH528" s="194"/>
      <c r="AI528" s="194"/>
      <c r="AJ528" s="194"/>
      <c r="AK528" s="194"/>
      <c r="AL528" s="194"/>
      <c r="AM528" s="194"/>
      <c r="AN528" s="194"/>
      <c r="AO528" s="194"/>
    </row>
    <row r="529">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c r="AC529" s="194"/>
      <c r="AD529" s="194"/>
      <c r="AE529" s="194"/>
      <c r="AF529" s="194"/>
      <c r="AG529" s="194"/>
      <c r="AH529" s="194"/>
      <c r="AI529" s="194"/>
      <c r="AJ529" s="194"/>
      <c r="AK529" s="194"/>
      <c r="AL529" s="194"/>
      <c r="AM529" s="194"/>
      <c r="AN529" s="194"/>
      <c r="AO529" s="194"/>
    </row>
    <row r="530">
      <c r="A530" s="194"/>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c r="AA530" s="194"/>
      <c r="AB530" s="194"/>
      <c r="AC530" s="194"/>
      <c r="AD530" s="194"/>
      <c r="AE530" s="194"/>
      <c r="AF530" s="194"/>
      <c r="AG530" s="194"/>
      <c r="AH530" s="194"/>
      <c r="AI530" s="194"/>
      <c r="AJ530" s="194"/>
      <c r="AK530" s="194"/>
      <c r="AL530" s="194"/>
      <c r="AM530" s="194"/>
      <c r="AN530" s="194"/>
      <c r="AO530" s="194"/>
    </row>
    <row r="531">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c r="AC531" s="194"/>
      <c r="AD531" s="194"/>
      <c r="AE531" s="194"/>
      <c r="AF531" s="194"/>
      <c r="AG531" s="194"/>
      <c r="AH531" s="194"/>
      <c r="AI531" s="194"/>
      <c r="AJ531" s="194"/>
      <c r="AK531" s="194"/>
      <c r="AL531" s="194"/>
      <c r="AM531" s="194"/>
      <c r="AN531" s="194"/>
      <c r="AO531" s="194"/>
    </row>
    <row r="532">
      <c r="A532" s="194"/>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c r="AA532" s="194"/>
      <c r="AB532" s="194"/>
      <c r="AC532" s="194"/>
      <c r="AD532" s="194"/>
      <c r="AE532" s="194"/>
      <c r="AF532" s="194"/>
      <c r="AG532" s="194"/>
      <c r="AH532" s="194"/>
      <c r="AI532" s="194"/>
      <c r="AJ532" s="194"/>
      <c r="AK532" s="194"/>
      <c r="AL532" s="194"/>
      <c r="AM532" s="194"/>
      <c r="AN532" s="194"/>
      <c r="AO532" s="194"/>
    </row>
    <row r="533">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c r="AA533" s="194"/>
      <c r="AB533" s="194"/>
      <c r="AC533" s="194"/>
      <c r="AD533" s="194"/>
      <c r="AE533" s="194"/>
      <c r="AF533" s="194"/>
      <c r="AG533" s="194"/>
      <c r="AH533" s="194"/>
      <c r="AI533" s="194"/>
      <c r="AJ533" s="194"/>
      <c r="AK533" s="194"/>
      <c r="AL533" s="194"/>
      <c r="AM533" s="194"/>
      <c r="AN533" s="194"/>
      <c r="AO533" s="194"/>
    </row>
    <row r="534">
      <c r="A534" s="194"/>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c r="AA534" s="194"/>
      <c r="AB534" s="194"/>
      <c r="AC534" s="194"/>
      <c r="AD534" s="194"/>
      <c r="AE534" s="194"/>
      <c r="AF534" s="194"/>
      <c r="AG534" s="194"/>
      <c r="AH534" s="194"/>
      <c r="AI534" s="194"/>
      <c r="AJ534" s="194"/>
      <c r="AK534" s="194"/>
      <c r="AL534" s="194"/>
      <c r="AM534" s="194"/>
      <c r="AN534" s="194"/>
      <c r="AO534" s="194"/>
    </row>
    <row r="53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c r="AA535" s="194"/>
      <c r="AB535" s="194"/>
      <c r="AC535" s="194"/>
      <c r="AD535" s="194"/>
      <c r="AE535" s="194"/>
      <c r="AF535" s="194"/>
      <c r="AG535" s="194"/>
      <c r="AH535" s="194"/>
      <c r="AI535" s="194"/>
      <c r="AJ535" s="194"/>
      <c r="AK535" s="194"/>
      <c r="AL535" s="194"/>
      <c r="AM535" s="194"/>
      <c r="AN535" s="194"/>
      <c r="AO535" s="194"/>
    </row>
    <row r="536">
      <c r="A536" s="194"/>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c r="AA536" s="194"/>
      <c r="AB536" s="194"/>
      <c r="AC536" s="194"/>
      <c r="AD536" s="194"/>
      <c r="AE536" s="194"/>
      <c r="AF536" s="194"/>
      <c r="AG536" s="194"/>
      <c r="AH536" s="194"/>
      <c r="AI536" s="194"/>
      <c r="AJ536" s="194"/>
      <c r="AK536" s="194"/>
      <c r="AL536" s="194"/>
      <c r="AM536" s="194"/>
      <c r="AN536" s="194"/>
      <c r="AO536" s="194"/>
    </row>
    <row r="537">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c r="AA537" s="194"/>
      <c r="AB537" s="194"/>
      <c r="AC537" s="194"/>
      <c r="AD537" s="194"/>
      <c r="AE537" s="194"/>
      <c r="AF537" s="194"/>
      <c r="AG537" s="194"/>
      <c r="AH537" s="194"/>
      <c r="AI537" s="194"/>
      <c r="AJ537" s="194"/>
      <c r="AK537" s="194"/>
      <c r="AL537" s="194"/>
      <c r="AM537" s="194"/>
      <c r="AN537" s="194"/>
      <c r="AO537" s="194"/>
    </row>
    <row r="538">
      <c r="A538" s="194"/>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c r="AA538" s="194"/>
      <c r="AB538" s="194"/>
      <c r="AC538" s="194"/>
      <c r="AD538" s="194"/>
      <c r="AE538" s="194"/>
      <c r="AF538" s="194"/>
      <c r="AG538" s="194"/>
      <c r="AH538" s="194"/>
      <c r="AI538" s="194"/>
      <c r="AJ538" s="194"/>
      <c r="AK538" s="194"/>
      <c r="AL538" s="194"/>
      <c r="AM538" s="194"/>
      <c r="AN538" s="194"/>
      <c r="AO538" s="194"/>
    </row>
    <row r="539">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c r="AA539" s="194"/>
      <c r="AB539" s="194"/>
      <c r="AC539" s="194"/>
      <c r="AD539" s="194"/>
      <c r="AE539" s="194"/>
      <c r="AF539" s="194"/>
      <c r="AG539" s="194"/>
      <c r="AH539" s="194"/>
      <c r="AI539" s="194"/>
      <c r="AJ539" s="194"/>
      <c r="AK539" s="194"/>
      <c r="AL539" s="194"/>
      <c r="AM539" s="194"/>
      <c r="AN539" s="194"/>
      <c r="AO539" s="194"/>
    </row>
    <row r="540">
      <c r="A540" s="194"/>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c r="AA540" s="194"/>
      <c r="AB540" s="194"/>
      <c r="AC540" s="194"/>
      <c r="AD540" s="194"/>
      <c r="AE540" s="194"/>
      <c r="AF540" s="194"/>
      <c r="AG540" s="194"/>
      <c r="AH540" s="194"/>
      <c r="AI540" s="194"/>
      <c r="AJ540" s="194"/>
      <c r="AK540" s="194"/>
      <c r="AL540" s="194"/>
      <c r="AM540" s="194"/>
      <c r="AN540" s="194"/>
      <c r="AO540" s="194"/>
    </row>
    <row r="541">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c r="AC541" s="194"/>
      <c r="AD541" s="194"/>
      <c r="AE541" s="194"/>
      <c r="AF541" s="194"/>
      <c r="AG541" s="194"/>
      <c r="AH541" s="194"/>
      <c r="AI541" s="194"/>
      <c r="AJ541" s="194"/>
      <c r="AK541" s="194"/>
      <c r="AL541" s="194"/>
      <c r="AM541" s="194"/>
      <c r="AN541" s="194"/>
      <c r="AO541" s="194"/>
    </row>
    <row r="542">
      <c r="A542" s="194"/>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c r="AA542" s="194"/>
      <c r="AB542" s="194"/>
      <c r="AC542" s="194"/>
      <c r="AD542" s="194"/>
      <c r="AE542" s="194"/>
      <c r="AF542" s="194"/>
      <c r="AG542" s="194"/>
      <c r="AH542" s="194"/>
      <c r="AI542" s="194"/>
      <c r="AJ542" s="194"/>
      <c r="AK542" s="194"/>
      <c r="AL542" s="194"/>
      <c r="AM542" s="194"/>
      <c r="AN542" s="194"/>
      <c r="AO542" s="194"/>
    </row>
    <row r="543">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c r="AC543" s="194"/>
      <c r="AD543" s="194"/>
      <c r="AE543" s="194"/>
      <c r="AF543" s="194"/>
      <c r="AG543" s="194"/>
      <c r="AH543" s="194"/>
      <c r="AI543" s="194"/>
      <c r="AJ543" s="194"/>
      <c r="AK543" s="194"/>
      <c r="AL543" s="194"/>
      <c r="AM543" s="194"/>
      <c r="AN543" s="194"/>
      <c r="AO543" s="194"/>
    </row>
    <row r="544">
      <c r="A544" s="194"/>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c r="AA544" s="194"/>
      <c r="AB544" s="194"/>
      <c r="AC544" s="194"/>
      <c r="AD544" s="194"/>
      <c r="AE544" s="194"/>
      <c r="AF544" s="194"/>
      <c r="AG544" s="194"/>
      <c r="AH544" s="194"/>
      <c r="AI544" s="194"/>
      <c r="AJ544" s="194"/>
      <c r="AK544" s="194"/>
      <c r="AL544" s="194"/>
      <c r="AM544" s="194"/>
      <c r="AN544" s="194"/>
      <c r="AO544" s="194"/>
    </row>
    <row r="54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c r="AC545" s="194"/>
      <c r="AD545" s="194"/>
      <c r="AE545" s="194"/>
      <c r="AF545" s="194"/>
      <c r="AG545" s="194"/>
      <c r="AH545" s="194"/>
      <c r="AI545" s="194"/>
      <c r="AJ545" s="194"/>
      <c r="AK545" s="194"/>
      <c r="AL545" s="194"/>
      <c r="AM545" s="194"/>
      <c r="AN545" s="194"/>
      <c r="AO545" s="194"/>
    </row>
    <row r="546">
      <c r="A546" s="194"/>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c r="AA546" s="194"/>
      <c r="AB546" s="194"/>
      <c r="AC546" s="194"/>
      <c r="AD546" s="194"/>
      <c r="AE546" s="194"/>
      <c r="AF546" s="194"/>
      <c r="AG546" s="194"/>
      <c r="AH546" s="194"/>
      <c r="AI546" s="194"/>
      <c r="AJ546" s="194"/>
      <c r="AK546" s="194"/>
      <c r="AL546" s="194"/>
      <c r="AM546" s="194"/>
      <c r="AN546" s="194"/>
      <c r="AO546" s="194"/>
    </row>
    <row r="547">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c r="AC547" s="194"/>
      <c r="AD547" s="194"/>
      <c r="AE547" s="194"/>
      <c r="AF547" s="194"/>
      <c r="AG547" s="194"/>
      <c r="AH547" s="194"/>
      <c r="AI547" s="194"/>
      <c r="AJ547" s="194"/>
      <c r="AK547" s="194"/>
      <c r="AL547" s="194"/>
      <c r="AM547" s="194"/>
      <c r="AN547" s="194"/>
      <c r="AO547" s="194"/>
    </row>
    <row r="548">
      <c r="A548" s="194"/>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c r="AA548" s="194"/>
      <c r="AB548" s="194"/>
      <c r="AC548" s="194"/>
      <c r="AD548" s="194"/>
      <c r="AE548" s="194"/>
      <c r="AF548" s="194"/>
      <c r="AG548" s="194"/>
      <c r="AH548" s="194"/>
      <c r="AI548" s="194"/>
      <c r="AJ548" s="194"/>
      <c r="AK548" s="194"/>
      <c r="AL548" s="194"/>
      <c r="AM548" s="194"/>
      <c r="AN548" s="194"/>
      <c r="AO548" s="194"/>
    </row>
    <row r="549">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c r="AA549" s="194"/>
      <c r="AB549" s="194"/>
      <c r="AC549" s="194"/>
      <c r="AD549" s="194"/>
      <c r="AE549" s="194"/>
      <c r="AF549" s="194"/>
      <c r="AG549" s="194"/>
      <c r="AH549" s="194"/>
      <c r="AI549" s="194"/>
      <c r="AJ549" s="194"/>
      <c r="AK549" s="194"/>
      <c r="AL549" s="194"/>
      <c r="AM549" s="194"/>
      <c r="AN549" s="194"/>
      <c r="AO549" s="194"/>
    </row>
    <row r="550">
      <c r="A550" s="194"/>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c r="AA550" s="194"/>
      <c r="AB550" s="194"/>
      <c r="AC550" s="194"/>
      <c r="AD550" s="194"/>
      <c r="AE550" s="194"/>
      <c r="AF550" s="194"/>
      <c r="AG550" s="194"/>
      <c r="AH550" s="194"/>
      <c r="AI550" s="194"/>
      <c r="AJ550" s="194"/>
      <c r="AK550" s="194"/>
      <c r="AL550" s="194"/>
      <c r="AM550" s="194"/>
      <c r="AN550" s="194"/>
      <c r="AO550" s="194"/>
    </row>
    <row r="551">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c r="AA551" s="194"/>
      <c r="AB551" s="194"/>
      <c r="AC551" s="194"/>
      <c r="AD551" s="194"/>
      <c r="AE551" s="194"/>
      <c r="AF551" s="194"/>
      <c r="AG551" s="194"/>
      <c r="AH551" s="194"/>
      <c r="AI551" s="194"/>
      <c r="AJ551" s="194"/>
      <c r="AK551" s="194"/>
      <c r="AL551" s="194"/>
      <c r="AM551" s="194"/>
      <c r="AN551" s="194"/>
      <c r="AO551" s="194"/>
    </row>
    <row r="552">
      <c r="A552" s="194"/>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c r="AA552" s="194"/>
      <c r="AB552" s="194"/>
      <c r="AC552" s="194"/>
      <c r="AD552" s="194"/>
      <c r="AE552" s="194"/>
      <c r="AF552" s="194"/>
      <c r="AG552" s="194"/>
      <c r="AH552" s="194"/>
      <c r="AI552" s="194"/>
      <c r="AJ552" s="194"/>
      <c r="AK552" s="194"/>
      <c r="AL552" s="194"/>
      <c r="AM552" s="194"/>
      <c r="AN552" s="194"/>
      <c r="AO552" s="194"/>
    </row>
    <row r="553">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c r="AC553" s="194"/>
      <c r="AD553" s="194"/>
      <c r="AE553" s="194"/>
      <c r="AF553" s="194"/>
      <c r="AG553" s="194"/>
      <c r="AH553" s="194"/>
      <c r="AI553" s="194"/>
      <c r="AJ553" s="194"/>
      <c r="AK553" s="194"/>
      <c r="AL553" s="194"/>
      <c r="AM553" s="194"/>
      <c r="AN553" s="194"/>
      <c r="AO553" s="194"/>
    </row>
    <row r="554">
      <c r="A554" s="194"/>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c r="AA554" s="194"/>
      <c r="AB554" s="194"/>
      <c r="AC554" s="194"/>
      <c r="AD554" s="194"/>
      <c r="AE554" s="194"/>
      <c r="AF554" s="194"/>
      <c r="AG554" s="194"/>
      <c r="AH554" s="194"/>
      <c r="AI554" s="194"/>
      <c r="AJ554" s="194"/>
      <c r="AK554" s="194"/>
      <c r="AL554" s="194"/>
      <c r="AM554" s="194"/>
      <c r="AN554" s="194"/>
      <c r="AO554" s="194"/>
    </row>
    <row r="55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c r="AC555" s="194"/>
      <c r="AD555" s="194"/>
      <c r="AE555" s="194"/>
      <c r="AF555" s="194"/>
      <c r="AG555" s="194"/>
      <c r="AH555" s="194"/>
      <c r="AI555" s="194"/>
      <c r="AJ555" s="194"/>
      <c r="AK555" s="194"/>
      <c r="AL555" s="194"/>
      <c r="AM555" s="194"/>
      <c r="AN555" s="194"/>
      <c r="AO555" s="194"/>
    </row>
    <row r="556">
      <c r="A556" s="194"/>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c r="AA556" s="194"/>
      <c r="AB556" s="194"/>
      <c r="AC556" s="194"/>
      <c r="AD556" s="194"/>
      <c r="AE556" s="194"/>
      <c r="AF556" s="194"/>
      <c r="AG556" s="194"/>
      <c r="AH556" s="194"/>
      <c r="AI556" s="194"/>
      <c r="AJ556" s="194"/>
      <c r="AK556" s="194"/>
      <c r="AL556" s="194"/>
      <c r="AM556" s="194"/>
      <c r="AN556" s="194"/>
      <c r="AO556" s="194"/>
    </row>
    <row r="557">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c r="AA557" s="194"/>
      <c r="AB557" s="194"/>
      <c r="AC557" s="194"/>
      <c r="AD557" s="194"/>
      <c r="AE557" s="194"/>
      <c r="AF557" s="194"/>
      <c r="AG557" s="194"/>
      <c r="AH557" s="194"/>
      <c r="AI557" s="194"/>
      <c r="AJ557" s="194"/>
      <c r="AK557" s="194"/>
      <c r="AL557" s="194"/>
      <c r="AM557" s="194"/>
      <c r="AN557" s="194"/>
      <c r="AO557" s="194"/>
    </row>
    <row r="558">
      <c r="A558" s="194"/>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c r="AA558" s="194"/>
      <c r="AB558" s="194"/>
      <c r="AC558" s="194"/>
      <c r="AD558" s="194"/>
      <c r="AE558" s="194"/>
      <c r="AF558" s="194"/>
      <c r="AG558" s="194"/>
      <c r="AH558" s="194"/>
      <c r="AI558" s="194"/>
      <c r="AJ558" s="194"/>
      <c r="AK558" s="194"/>
      <c r="AL558" s="194"/>
      <c r="AM558" s="194"/>
      <c r="AN558" s="194"/>
      <c r="AO558" s="194"/>
    </row>
    <row r="559">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c r="AA559" s="194"/>
      <c r="AB559" s="194"/>
      <c r="AC559" s="194"/>
      <c r="AD559" s="194"/>
      <c r="AE559" s="194"/>
      <c r="AF559" s="194"/>
      <c r="AG559" s="194"/>
      <c r="AH559" s="194"/>
      <c r="AI559" s="194"/>
      <c r="AJ559" s="194"/>
      <c r="AK559" s="194"/>
      <c r="AL559" s="194"/>
      <c r="AM559" s="194"/>
      <c r="AN559" s="194"/>
      <c r="AO559" s="194"/>
    </row>
    <row r="560">
      <c r="A560" s="194"/>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c r="AA560" s="194"/>
      <c r="AB560" s="194"/>
      <c r="AC560" s="194"/>
      <c r="AD560" s="194"/>
      <c r="AE560" s="194"/>
      <c r="AF560" s="194"/>
      <c r="AG560" s="194"/>
      <c r="AH560" s="194"/>
      <c r="AI560" s="194"/>
      <c r="AJ560" s="194"/>
      <c r="AK560" s="194"/>
      <c r="AL560" s="194"/>
      <c r="AM560" s="194"/>
      <c r="AN560" s="194"/>
      <c r="AO560" s="194"/>
    </row>
    <row r="561">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c r="AA561" s="194"/>
      <c r="AB561" s="194"/>
      <c r="AC561" s="194"/>
      <c r="AD561" s="194"/>
      <c r="AE561" s="194"/>
      <c r="AF561" s="194"/>
      <c r="AG561" s="194"/>
      <c r="AH561" s="194"/>
      <c r="AI561" s="194"/>
      <c r="AJ561" s="194"/>
      <c r="AK561" s="194"/>
      <c r="AL561" s="194"/>
      <c r="AM561" s="194"/>
      <c r="AN561" s="194"/>
      <c r="AO561" s="194"/>
    </row>
    <row r="562">
      <c r="A562" s="194"/>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c r="AA562" s="194"/>
      <c r="AB562" s="194"/>
      <c r="AC562" s="194"/>
      <c r="AD562" s="194"/>
      <c r="AE562" s="194"/>
      <c r="AF562" s="194"/>
      <c r="AG562" s="194"/>
      <c r="AH562" s="194"/>
      <c r="AI562" s="194"/>
      <c r="AJ562" s="194"/>
      <c r="AK562" s="194"/>
      <c r="AL562" s="194"/>
      <c r="AM562" s="194"/>
      <c r="AN562" s="194"/>
      <c r="AO562" s="194"/>
    </row>
    <row r="563">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c r="AA563" s="194"/>
      <c r="AB563" s="194"/>
      <c r="AC563" s="194"/>
      <c r="AD563" s="194"/>
      <c r="AE563" s="194"/>
      <c r="AF563" s="194"/>
      <c r="AG563" s="194"/>
      <c r="AH563" s="194"/>
      <c r="AI563" s="194"/>
      <c r="AJ563" s="194"/>
      <c r="AK563" s="194"/>
      <c r="AL563" s="194"/>
      <c r="AM563" s="194"/>
      <c r="AN563" s="194"/>
      <c r="AO563" s="194"/>
    </row>
    <row r="564">
      <c r="A564" s="194"/>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c r="AA564" s="194"/>
      <c r="AB564" s="194"/>
      <c r="AC564" s="194"/>
      <c r="AD564" s="194"/>
      <c r="AE564" s="194"/>
      <c r="AF564" s="194"/>
      <c r="AG564" s="194"/>
      <c r="AH564" s="194"/>
      <c r="AI564" s="194"/>
      <c r="AJ564" s="194"/>
      <c r="AK564" s="194"/>
      <c r="AL564" s="194"/>
      <c r="AM564" s="194"/>
      <c r="AN564" s="194"/>
      <c r="AO564" s="194"/>
    </row>
    <row r="56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c r="AA565" s="194"/>
      <c r="AB565" s="194"/>
      <c r="AC565" s="194"/>
      <c r="AD565" s="194"/>
      <c r="AE565" s="194"/>
      <c r="AF565" s="194"/>
      <c r="AG565" s="194"/>
      <c r="AH565" s="194"/>
      <c r="AI565" s="194"/>
      <c r="AJ565" s="194"/>
      <c r="AK565" s="194"/>
      <c r="AL565" s="194"/>
      <c r="AM565" s="194"/>
      <c r="AN565" s="194"/>
      <c r="AO565" s="194"/>
    </row>
    <row r="566">
      <c r="A566" s="194"/>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c r="AA566" s="194"/>
      <c r="AB566" s="194"/>
      <c r="AC566" s="194"/>
      <c r="AD566" s="194"/>
      <c r="AE566" s="194"/>
      <c r="AF566" s="194"/>
      <c r="AG566" s="194"/>
      <c r="AH566" s="194"/>
      <c r="AI566" s="194"/>
      <c r="AJ566" s="194"/>
      <c r="AK566" s="194"/>
      <c r="AL566" s="194"/>
      <c r="AM566" s="194"/>
      <c r="AN566" s="194"/>
      <c r="AO566" s="194"/>
    </row>
    <row r="567">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c r="AA567" s="194"/>
      <c r="AB567" s="194"/>
      <c r="AC567" s="194"/>
      <c r="AD567" s="194"/>
      <c r="AE567" s="194"/>
      <c r="AF567" s="194"/>
      <c r="AG567" s="194"/>
      <c r="AH567" s="194"/>
      <c r="AI567" s="194"/>
      <c r="AJ567" s="194"/>
      <c r="AK567" s="194"/>
      <c r="AL567" s="194"/>
      <c r="AM567" s="194"/>
      <c r="AN567" s="194"/>
      <c r="AO567" s="194"/>
    </row>
    <row r="568">
      <c r="A568" s="194"/>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c r="AA568" s="194"/>
      <c r="AB568" s="194"/>
      <c r="AC568" s="194"/>
      <c r="AD568" s="194"/>
      <c r="AE568" s="194"/>
      <c r="AF568" s="194"/>
      <c r="AG568" s="194"/>
      <c r="AH568" s="194"/>
      <c r="AI568" s="194"/>
      <c r="AJ568" s="194"/>
      <c r="AK568" s="194"/>
      <c r="AL568" s="194"/>
      <c r="AM568" s="194"/>
      <c r="AN568" s="194"/>
      <c r="AO568" s="194"/>
    </row>
    <row r="569">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c r="AA569" s="194"/>
      <c r="AB569" s="194"/>
      <c r="AC569" s="194"/>
      <c r="AD569" s="194"/>
      <c r="AE569" s="194"/>
      <c r="AF569" s="194"/>
      <c r="AG569" s="194"/>
      <c r="AH569" s="194"/>
      <c r="AI569" s="194"/>
      <c r="AJ569" s="194"/>
      <c r="AK569" s="194"/>
      <c r="AL569" s="194"/>
      <c r="AM569" s="194"/>
      <c r="AN569" s="194"/>
      <c r="AO569" s="194"/>
    </row>
    <row r="570">
      <c r="A570" s="194"/>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c r="AA570" s="194"/>
      <c r="AB570" s="194"/>
      <c r="AC570" s="194"/>
      <c r="AD570" s="194"/>
      <c r="AE570" s="194"/>
      <c r="AF570" s="194"/>
      <c r="AG570" s="194"/>
      <c r="AH570" s="194"/>
      <c r="AI570" s="194"/>
      <c r="AJ570" s="194"/>
      <c r="AK570" s="194"/>
      <c r="AL570" s="194"/>
      <c r="AM570" s="194"/>
      <c r="AN570" s="194"/>
      <c r="AO570" s="194"/>
    </row>
    <row r="571">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c r="AC571" s="194"/>
      <c r="AD571" s="194"/>
      <c r="AE571" s="194"/>
      <c r="AF571" s="194"/>
      <c r="AG571" s="194"/>
      <c r="AH571" s="194"/>
      <c r="AI571" s="194"/>
      <c r="AJ571" s="194"/>
      <c r="AK571" s="194"/>
      <c r="AL571" s="194"/>
      <c r="AM571" s="194"/>
      <c r="AN571" s="194"/>
      <c r="AO571" s="194"/>
    </row>
    <row r="572">
      <c r="A572" s="194"/>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c r="AA572" s="194"/>
      <c r="AB572" s="194"/>
      <c r="AC572" s="194"/>
      <c r="AD572" s="194"/>
      <c r="AE572" s="194"/>
      <c r="AF572" s="194"/>
      <c r="AG572" s="194"/>
      <c r="AH572" s="194"/>
      <c r="AI572" s="194"/>
      <c r="AJ572" s="194"/>
      <c r="AK572" s="194"/>
      <c r="AL572" s="194"/>
      <c r="AM572" s="194"/>
      <c r="AN572" s="194"/>
      <c r="AO572" s="194"/>
    </row>
    <row r="573">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c r="AA573" s="194"/>
      <c r="AB573" s="194"/>
      <c r="AC573" s="194"/>
      <c r="AD573" s="194"/>
      <c r="AE573" s="194"/>
      <c r="AF573" s="194"/>
      <c r="AG573" s="194"/>
      <c r="AH573" s="194"/>
      <c r="AI573" s="194"/>
      <c r="AJ573" s="194"/>
      <c r="AK573" s="194"/>
      <c r="AL573" s="194"/>
      <c r="AM573" s="194"/>
      <c r="AN573" s="194"/>
      <c r="AO573" s="194"/>
    </row>
    <row r="574">
      <c r="A574" s="194"/>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c r="AA574" s="194"/>
      <c r="AB574" s="194"/>
      <c r="AC574" s="194"/>
      <c r="AD574" s="194"/>
      <c r="AE574" s="194"/>
      <c r="AF574" s="194"/>
      <c r="AG574" s="194"/>
      <c r="AH574" s="194"/>
      <c r="AI574" s="194"/>
      <c r="AJ574" s="194"/>
      <c r="AK574" s="194"/>
      <c r="AL574" s="194"/>
      <c r="AM574" s="194"/>
      <c r="AN574" s="194"/>
      <c r="AO574" s="194"/>
    </row>
    <row r="57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c r="AA575" s="194"/>
      <c r="AB575" s="194"/>
      <c r="AC575" s="194"/>
      <c r="AD575" s="194"/>
      <c r="AE575" s="194"/>
      <c r="AF575" s="194"/>
      <c r="AG575" s="194"/>
      <c r="AH575" s="194"/>
      <c r="AI575" s="194"/>
      <c r="AJ575" s="194"/>
      <c r="AK575" s="194"/>
      <c r="AL575" s="194"/>
      <c r="AM575" s="194"/>
      <c r="AN575" s="194"/>
      <c r="AO575" s="194"/>
    </row>
    <row r="576">
      <c r="A576" s="194"/>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c r="AA576" s="194"/>
      <c r="AB576" s="194"/>
      <c r="AC576" s="194"/>
      <c r="AD576" s="194"/>
      <c r="AE576" s="194"/>
      <c r="AF576" s="194"/>
      <c r="AG576" s="194"/>
      <c r="AH576" s="194"/>
      <c r="AI576" s="194"/>
      <c r="AJ576" s="194"/>
      <c r="AK576" s="194"/>
      <c r="AL576" s="194"/>
      <c r="AM576" s="194"/>
      <c r="AN576" s="194"/>
      <c r="AO576" s="194"/>
    </row>
    <row r="577">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c r="AA577" s="194"/>
      <c r="AB577" s="194"/>
      <c r="AC577" s="194"/>
      <c r="AD577" s="194"/>
      <c r="AE577" s="194"/>
      <c r="AF577" s="194"/>
      <c r="AG577" s="194"/>
      <c r="AH577" s="194"/>
      <c r="AI577" s="194"/>
      <c r="AJ577" s="194"/>
      <c r="AK577" s="194"/>
      <c r="AL577" s="194"/>
      <c r="AM577" s="194"/>
      <c r="AN577" s="194"/>
      <c r="AO577" s="194"/>
    </row>
    <row r="578">
      <c r="A578" s="194"/>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c r="AA578" s="194"/>
      <c r="AB578" s="194"/>
      <c r="AC578" s="194"/>
      <c r="AD578" s="194"/>
      <c r="AE578" s="194"/>
      <c r="AF578" s="194"/>
      <c r="AG578" s="194"/>
      <c r="AH578" s="194"/>
      <c r="AI578" s="194"/>
      <c r="AJ578" s="194"/>
      <c r="AK578" s="194"/>
      <c r="AL578" s="194"/>
      <c r="AM578" s="194"/>
      <c r="AN578" s="194"/>
      <c r="AO578" s="194"/>
    </row>
    <row r="579">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c r="AA579" s="194"/>
      <c r="AB579" s="194"/>
      <c r="AC579" s="194"/>
      <c r="AD579" s="194"/>
      <c r="AE579" s="194"/>
      <c r="AF579" s="194"/>
      <c r="AG579" s="194"/>
      <c r="AH579" s="194"/>
      <c r="AI579" s="194"/>
      <c r="AJ579" s="194"/>
      <c r="AK579" s="194"/>
      <c r="AL579" s="194"/>
      <c r="AM579" s="194"/>
      <c r="AN579" s="194"/>
      <c r="AO579" s="194"/>
    </row>
    <row r="580">
      <c r="A580" s="194"/>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c r="AA580" s="194"/>
      <c r="AB580" s="194"/>
      <c r="AC580" s="194"/>
      <c r="AD580" s="194"/>
      <c r="AE580" s="194"/>
      <c r="AF580" s="194"/>
      <c r="AG580" s="194"/>
      <c r="AH580" s="194"/>
      <c r="AI580" s="194"/>
      <c r="AJ580" s="194"/>
      <c r="AK580" s="194"/>
      <c r="AL580" s="194"/>
      <c r="AM580" s="194"/>
      <c r="AN580" s="194"/>
      <c r="AO580" s="194"/>
    </row>
    <row r="581">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c r="AA581" s="194"/>
      <c r="AB581" s="194"/>
      <c r="AC581" s="194"/>
      <c r="AD581" s="194"/>
      <c r="AE581" s="194"/>
      <c r="AF581" s="194"/>
      <c r="AG581" s="194"/>
      <c r="AH581" s="194"/>
      <c r="AI581" s="194"/>
      <c r="AJ581" s="194"/>
      <c r="AK581" s="194"/>
      <c r="AL581" s="194"/>
      <c r="AM581" s="194"/>
      <c r="AN581" s="194"/>
      <c r="AO581" s="194"/>
    </row>
    <row r="582">
      <c r="A582" s="194"/>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c r="AA582" s="194"/>
      <c r="AB582" s="194"/>
      <c r="AC582" s="194"/>
      <c r="AD582" s="194"/>
      <c r="AE582" s="194"/>
      <c r="AF582" s="194"/>
      <c r="AG582" s="194"/>
      <c r="AH582" s="194"/>
      <c r="AI582" s="194"/>
      <c r="AJ582" s="194"/>
      <c r="AK582" s="194"/>
      <c r="AL582" s="194"/>
      <c r="AM582" s="194"/>
      <c r="AN582" s="194"/>
      <c r="AO582" s="194"/>
    </row>
    <row r="583">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194"/>
      <c r="AC583" s="194"/>
      <c r="AD583" s="194"/>
      <c r="AE583" s="194"/>
      <c r="AF583" s="194"/>
      <c r="AG583" s="194"/>
      <c r="AH583" s="194"/>
      <c r="AI583" s="194"/>
      <c r="AJ583" s="194"/>
      <c r="AK583" s="194"/>
      <c r="AL583" s="194"/>
      <c r="AM583" s="194"/>
      <c r="AN583" s="194"/>
      <c r="AO583" s="194"/>
    </row>
    <row r="584">
      <c r="A584" s="194"/>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c r="AA584" s="194"/>
      <c r="AB584" s="194"/>
      <c r="AC584" s="194"/>
      <c r="AD584" s="194"/>
      <c r="AE584" s="194"/>
      <c r="AF584" s="194"/>
      <c r="AG584" s="194"/>
      <c r="AH584" s="194"/>
      <c r="AI584" s="194"/>
      <c r="AJ584" s="194"/>
      <c r="AK584" s="194"/>
      <c r="AL584" s="194"/>
      <c r="AM584" s="194"/>
      <c r="AN584" s="194"/>
      <c r="AO584" s="194"/>
    </row>
    <row r="58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c r="AA585" s="194"/>
      <c r="AB585" s="194"/>
      <c r="AC585" s="194"/>
      <c r="AD585" s="194"/>
      <c r="AE585" s="194"/>
      <c r="AF585" s="194"/>
      <c r="AG585" s="194"/>
      <c r="AH585" s="194"/>
      <c r="AI585" s="194"/>
      <c r="AJ585" s="194"/>
      <c r="AK585" s="194"/>
      <c r="AL585" s="194"/>
      <c r="AM585" s="194"/>
      <c r="AN585" s="194"/>
      <c r="AO585" s="194"/>
    </row>
    <row r="586">
      <c r="A586" s="194"/>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c r="AA586" s="194"/>
      <c r="AB586" s="194"/>
      <c r="AC586" s="194"/>
      <c r="AD586" s="194"/>
      <c r="AE586" s="194"/>
      <c r="AF586" s="194"/>
      <c r="AG586" s="194"/>
      <c r="AH586" s="194"/>
      <c r="AI586" s="194"/>
      <c r="AJ586" s="194"/>
      <c r="AK586" s="194"/>
      <c r="AL586" s="194"/>
      <c r="AM586" s="194"/>
      <c r="AN586" s="194"/>
      <c r="AO586" s="194"/>
    </row>
    <row r="587">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c r="AA587" s="194"/>
      <c r="AB587" s="194"/>
      <c r="AC587" s="194"/>
      <c r="AD587" s="194"/>
      <c r="AE587" s="194"/>
      <c r="AF587" s="194"/>
      <c r="AG587" s="194"/>
      <c r="AH587" s="194"/>
      <c r="AI587" s="194"/>
      <c r="AJ587" s="194"/>
      <c r="AK587" s="194"/>
      <c r="AL587" s="194"/>
      <c r="AM587" s="194"/>
      <c r="AN587" s="194"/>
      <c r="AO587" s="194"/>
    </row>
    <row r="588">
      <c r="A588" s="194"/>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c r="AA588" s="194"/>
      <c r="AB588" s="194"/>
      <c r="AC588" s="194"/>
      <c r="AD588" s="194"/>
      <c r="AE588" s="194"/>
      <c r="AF588" s="194"/>
      <c r="AG588" s="194"/>
      <c r="AH588" s="194"/>
      <c r="AI588" s="194"/>
      <c r="AJ588" s="194"/>
      <c r="AK588" s="194"/>
      <c r="AL588" s="194"/>
      <c r="AM588" s="194"/>
      <c r="AN588" s="194"/>
      <c r="AO588" s="194"/>
    </row>
    <row r="589">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c r="AA589" s="194"/>
      <c r="AB589" s="194"/>
      <c r="AC589" s="194"/>
      <c r="AD589" s="194"/>
      <c r="AE589" s="194"/>
      <c r="AF589" s="194"/>
      <c r="AG589" s="194"/>
      <c r="AH589" s="194"/>
      <c r="AI589" s="194"/>
      <c r="AJ589" s="194"/>
      <c r="AK589" s="194"/>
      <c r="AL589" s="194"/>
      <c r="AM589" s="194"/>
      <c r="AN589" s="194"/>
      <c r="AO589" s="194"/>
    </row>
    <row r="590">
      <c r="A590" s="194"/>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c r="AA590" s="194"/>
      <c r="AB590" s="194"/>
      <c r="AC590" s="194"/>
      <c r="AD590" s="194"/>
      <c r="AE590" s="194"/>
      <c r="AF590" s="194"/>
      <c r="AG590" s="194"/>
      <c r="AH590" s="194"/>
      <c r="AI590" s="194"/>
      <c r="AJ590" s="194"/>
      <c r="AK590" s="194"/>
      <c r="AL590" s="194"/>
      <c r="AM590" s="194"/>
      <c r="AN590" s="194"/>
      <c r="AO590" s="194"/>
    </row>
    <row r="591">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c r="AC591" s="194"/>
      <c r="AD591" s="194"/>
      <c r="AE591" s="194"/>
      <c r="AF591" s="194"/>
      <c r="AG591" s="194"/>
      <c r="AH591" s="194"/>
      <c r="AI591" s="194"/>
      <c r="AJ591" s="194"/>
      <c r="AK591" s="194"/>
      <c r="AL591" s="194"/>
      <c r="AM591" s="194"/>
      <c r="AN591" s="194"/>
      <c r="AO591" s="194"/>
    </row>
    <row r="592">
      <c r="A592" s="194"/>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c r="AA592" s="194"/>
      <c r="AB592" s="194"/>
      <c r="AC592" s="194"/>
      <c r="AD592" s="194"/>
      <c r="AE592" s="194"/>
      <c r="AF592" s="194"/>
      <c r="AG592" s="194"/>
      <c r="AH592" s="194"/>
      <c r="AI592" s="194"/>
      <c r="AJ592" s="194"/>
      <c r="AK592" s="194"/>
      <c r="AL592" s="194"/>
      <c r="AM592" s="194"/>
      <c r="AN592" s="194"/>
      <c r="AO592" s="194"/>
    </row>
    <row r="593">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c r="AC593" s="194"/>
      <c r="AD593" s="194"/>
      <c r="AE593" s="194"/>
      <c r="AF593" s="194"/>
      <c r="AG593" s="194"/>
      <c r="AH593" s="194"/>
      <c r="AI593" s="194"/>
      <c r="AJ593" s="194"/>
      <c r="AK593" s="194"/>
      <c r="AL593" s="194"/>
      <c r="AM593" s="194"/>
      <c r="AN593" s="194"/>
      <c r="AO593" s="194"/>
    </row>
    <row r="594">
      <c r="A594" s="194"/>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c r="AD594" s="194"/>
      <c r="AE594" s="194"/>
      <c r="AF594" s="194"/>
      <c r="AG594" s="194"/>
      <c r="AH594" s="194"/>
      <c r="AI594" s="194"/>
      <c r="AJ594" s="194"/>
      <c r="AK594" s="194"/>
      <c r="AL594" s="194"/>
      <c r="AM594" s="194"/>
      <c r="AN594" s="194"/>
      <c r="AO594" s="194"/>
    </row>
    <row r="59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c r="AC595" s="194"/>
      <c r="AD595" s="194"/>
      <c r="AE595" s="194"/>
      <c r="AF595" s="194"/>
      <c r="AG595" s="194"/>
      <c r="AH595" s="194"/>
      <c r="AI595" s="194"/>
      <c r="AJ595" s="194"/>
      <c r="AK595" s="194"/>
      <c r="AL595" s="194"/>
      <c r="AM595" s="194"/>
      <c r="AN595" s="194"/>
      <c r="AO595" s="194"/>
    </row>
    <row r="596">
      <c r="A596" s="194"/>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c r="AA596" s="194"/>
      <c r="AB596" s="194"/>
      <c r="AC596" s="194"/>
      <c r="AD596" s="194"/>
      <c r="AE596" s="194"/>
      <c r="AF596" s="194"/>
      <c r="AG596" s="194"/>
      <c r="AH596" s="194"/>
      <c r="AI596" s="194"/>
      <c r="AJ596" s="194"/>
      <c r="AK596" s="194"/>
      <c r="AL596" s="194"/>
      <c r="AM596" s="194"/>
      <c r="AN596" s="194"/>
      <c r="AO596" s="194"/>
    </row>
    <row r="597">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c r="AC597" s="194"/>
      <c r="AD597" s="194"/>
      <c r="AE597" s="194"/>
      <c r="AF597" s="194"/>
      <c r="AG597" s="194"/>
      <c r="AH597" s="194"/>
      <c r="AI597" s="194"/>
      <c r="AJ597" s="194"/>
      <c r="AK597" s="194"/>
      <c r="AL597" s="194"/>
      <c r="AM597" s="194"/>
      <c r="AN597" s="194"/>
      <c r="AO597" s="194"/>
    </row>
    <row r="598">
      <c r="A598" s="194"/>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c r="AA598" s="194"/>
      <c r="AB598" s="194"/>
      <c r="AC598" s="194"/>
      <c r="AD598" s="194"/>
      <c r="AE598" s="194"/>
      <c r="AF598" s="194"/>
      <c r="AG598" s="194"/>
      <c r="AH598" s="194"/>
      <c r="AI598" s="194"/>
      <c r="AJ598" s="194"/>
      <c r="AK598" s="194"/>
      <c r="AL598" s="194"/>
      <c r="AM598" s="194"/>
      <c r="AN598" s="194"/>
      <c r="AO598" s="194"/>
    </row>
    <row r="599">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c r="AC599" s="194"/>
      <c r="AD599" s="194"/>
      <c r="AE599" s="194"/>
      <c r="AF599" s="194"/>
      <c r="AG599" s="194"/>
      <c r="AH599" s="194"/>
      <c r="AI599" s="194"/>
      <c r="AJ599" s="194"/>
      <c r="AK599" s="194"/>
      <c r="AL599" s="194"/>
      <c r="AM599" s="194"/>
      <c r="AN599" s="194"/>
      <c r="AO599" s="194"/>
    </row>
    <row r="600">
      <c r="A600" s="194"/>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c r="AA600" s="194"/>
      <c r="AB600" s="194"/>
      <c r="AC600" s="194"/>
      <c r="AD600" s="194"/>
      <c r="AE600" s="194"/>
      <c r="AF600" s="194"/>
      <c r="AG600" s="194"/>
      <c r="AH600" s="194"/>
      <c r="AI600" s="194"/>
      <c r="AJ600" s="194"/>
      <c r="AK600" s="194"/>
      <c r="AL600" s="194"/>
      <c r="AM600" s="194"/>
      <c r="AN600" s="194"/>
      <c r="AO600" s="194"/>
    </row>
    <row r="601">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c r="AC601" s="194"/>
      <c r="AD601" s="194"/>
      <c r="AE601" s="194"/>
      <c r="AF601" s="194"/>
      <c r="AG601" s="194"/>
      <c r="AH601" s="194"/>
      <c r="AI601" s="194"/>
      <c r="AJ601" s="194"/>
      <c r="AK601" s="194"/>
      <c r="AL601" s="194"/>
      <c r="AM601" s="194"/>
      <c r="AN601" s="194"/>
      <c r="AO601" s="194"/>
    </row>
    <row r="602">
      <c r="A602" s="194"/>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c r="AA602" s="194"/>
      <c r="AB602" s="194"/>
      <c r="AC602" s="194"/>
      <c r="AD602" s="194"/>
      <c r="AE602" s="194"/>
      <c r="AF602" s="194"/>
      <c r="AG602" s="194"/>
      <c r="AH602" s="194"/>
      <c r="AI602" s="194"/>
      <c r="AJ602" s="194"/>
      <c r="AK602" s="194"/>
      <c r="AL602" s="194"/>
      <c r="AM602" s="194"/>
      <c r="AN602" s="194"/>
      <c r="AO602" s="194"/>
    </row>
    <row r="603">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c r="AC603" s="194"/>
      <c r="AD603" s="194"/>
      <c r="AE603" s="194"/>
      <c r="AF603" s="194"/>
      <c r="AG603" s="194"/>
      <c r="AH603" s="194"/>
      <c r="AI603" s="194"/>
      <c r="AJ603" s="194"/>
      <c r="AK603" s="194"/>
      <c r="AL603" s="194"/>
      <c r="AM603" s="194"/>
      <c r="AN603" s="194"/>
      <c r="AO603" s="194"/>
    </row>
    <row r="604">
      <c r="A604" s="194"/>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c r="AA604" s="194"/>
      <c r="AB604" s="194"/>
      <c r="AC604" s="194"/>
      <c r="AD604" s="194"/>
      <c r="AE604" s="194"/>
      <c r="AF604" s="194"/>
      <c r="AG604" s="194"/>
      <c r="AH604" s="194"/>
      <c r="AI604" s="194"/>
      <c r="AJ604" s="194"/>
      <c r="AK604" s="194"/>
      <c r="AL604" s="194"/>
      <c r="AM604" s="194"/>
      <c r="AN604" s="194"/>
      <c r="AO604" s="194"/>
    </row>
    <row r="60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c r="AC605" s="194"/>
      <c r="AD605" s="194"/>
      <c r="AE605" s="194"/>
      <c r="AF605" s="194"/>
      <c r="AG605" s="194"/>
      <c r="AH605" s="194"/>
      <c r="AI605" s="194"/>
      <c r="AJ605" s="194"/>
      <c r="AK605" s="194"/>
      <c r="AL605" s="194"/>
      <c r="AM605" s="194"/>
      <c r="AN605" s="194"/>
      <c r="AO605" s="194"/>
    </row>
    <row r="606">
      <c r="A606" s="194"/>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c r="AA606" s="194"/>
      <c r="AB606" s="194"/>
      <c r="AC606" s="194"/>
      <c r="AD606" s="194"/>
      <c r="AE606" s="194"/>
      <c r="AF606" s="194"/>
      <c r="AG606" s="194"/>
      <c r="AH606" s="194"/>
      <c r="AI606" s="194"/>
      <c r="AJ606" s="194"/>
      <c r="AK606" s="194"/>
      <c r="AL606" s="194"/>
      <c r="AM606" s="194"/>
      <c r="AN606" s="194"/>
      <c r="AO606" s="194"/>
    </row>
    <row r="607">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c r="AC607" s="194"/>
      <c r="AD607" s="194"/>
      <c r="AE607" s="194"/>
      <c r="AF607" s="194"/>
      <c r="AG607" s="194"/>
      <c r="AH607" s="194"/>
      <c r="AI607" s="194"/>
      <c r="AJ607" s="194"/>
      <c r="AK607" s="194"/>
      <c r="AL607" s="194"/>
      <c r="AM607" s="194"/>
      <c r="AN607" s="194"/>
      <c r="AO607" s="194"/>
    </row>
    <row r="608">
      <c r="A608" s="194"/>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c r="AA608" s="194"/>
      <c r="AB608" s="194"/>
      <c r="AC608" s="194"/>
      <c r="AD608" s="194"/>
      <c r="AE608" s="194"/>
      <c r="AF608" s="194"/>
      <c r="AG608" s="194"/>
      <c r="AH608" s="194"/>
      <c r="AI608" s="194"/>
      <c r="AJ608" s="194"/>
      <c r="AK608" s="194"/>
      <c r="AL608" s="194"/>
      <c r="AM608" s="194"/>
      <c r="AN608" s="194"/>
      <c r="AO608" s="194"/>
    </row>
    <row r="609">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c r="AC609" s="194"/>
      <c r="AD609" s="194"/>
      <c r="AE609" s="194"/>
      <c r="AF609" s="194"/>
      <c r="AG609" s="194"/>
      <c r="AH609" s="194"/>
      <c r="AI609" s="194"/>
      <c r="AJ609" s="194"/>
      <c r="AK609" s="194"/>
      <c r="AL609" s="194"/>
      <c r="AM609" s="194"/>
      <c r="AN609" s="194"/>
      <c r="AO609" s="194"/>
    </row>
    <row r="610">
      <c r="A610" s="194"/>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c r="AA610" s="194"/>
      <c r="AB610" s="194"/>
      <c r="AC610" s="194"/>
      <c r="AD610" s="194"/>
      <c r="AE610" s="194"/>
      <c r="AF610" s="194"/>
      <c r="AG610" s="194"/>
      <c r="AH610" s="194"/>
      <c r="AI610" s="194"/>
      <c r="AJ610" s="194"/>
      <c r="AK610" s="194"/>
      <c r="AL610" s="194"/>
      <c r="AM610" s="194"/>
      <c r="AN610" s="194"/>
      <c r="AO610" s="194"/>
    </row>
    <row r="611">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c r="AC611" s="194"/>
      <c r="AD611" s="194"/>
      <c r="AE611" s="194"/>
      <c r="AF611" s="194"/>
      <c r="AG611" s="194"/>
      <c r="AH611" s="194"/>
      <c r="AI611" s="194"/>
      <c r="AJ611" s="194"/>
      <c r="AK611" s="194"/>
      <c r="AL611" s="194"/>
      <c r="AM611" s="194"/>
      <c r="AN611" s="194"/>
      <c r="AO611" s="194"/>
    </row>
    <row r="612">
      <c r="A612" s="194"/>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c r="AA612" s="194"/>
      <c r="AB612" s="194"/>
      <c r="AC612" s="194"/>
      <c r="AD612" s="194"/>
      <c r="AE612" s="194"/>
      <c r="AF612" s="194"/>
      <c r="AG612" s="194"/>
      <c r="AH612" s="194"/>
      <c r="AI612" s="194"/>
      <c r="AJ612" s="194"/>
      <c r="AK612" s="194"/>
      <c r="AL612" s="194"/>
      <c r="AM612" s="194"/>
      <c r="AN612" s="194"/>
      <c r="AO612" s="194"/>
    </row>
    <row r="613">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c r="AC613" s="194"/>
      <c r="AD613" s="194"/>
      <c r="AE613" s="194"/>
      <c r="AF613" s="194"/>
      <c r="AG613" s="194"/>
      <c r="AH613" s="194"/>
      <c r="AI613" s="194"/>
      <c r="AJ613" s="194"/>
      <c r="AK613" s="194"/>
      <c r="AL613" s="194"/>
      <c r="AM613" s="194"/>
      <c r="AN613" s="194"/>
      <c r="AO613" s="194"/>
    </row>
    <row r="614">
      <c r="A614" s="194"/>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c r="AA614" s="194"/>
      <c r="AB614" s="194"/>
      <c r="AC614" s="194"/>
      <c r="AD614" s="194"/>
      <c r="AE614" s="194"/>
      <c r="AF614" s="194"/>
      <c r="AG614" s="194"/>
      <c r="AH614" s="194"/>
      <c r="AI614" s="194"/>
      <c r="AJ614" s="194"/>
      <c r="AK614" s="194"/>
      <c r="AL614" s="194"/>
      <c r="AM614" s="194"/>
      <c r="AN614" s="194"/>
      <c r="AO614" s="194"/>
    </row>
    <row r="61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c r="AC615" s="194"/>
      <c r="AD615" s="194"/>
      <c r="AE615" s="194"/>
      <c r="AF615" s="194"/>
      <c r="AG615" s="194"/>
      <c r="AH615" s="194"/>
      <c r="AI615" s="194"/>
      <c r="AJ615" s="194"/>
      <c r="AK615" s="194"/>
      <c r="AL615" s="194"/>
      <c r="AM615" s="194"/>
      <c r="AN615" s="194"/>
      <c r="AO615" s="194"/>
    </row>
    <row r="616">
      <c r="A616" s="194"/>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c r="AA616" s="194"/>
      <c r="AB616" s="194"/>
      <c r="AC616" s="194"/>
      <c r="AD616" s="194"/>
      <c r="AE616" s="194"/>
      <c r="AF616" s="194"/>
      <c r="AG616" s="194"/>
      <c r="AH616" s="194"/>
      <c r="AI616" s="194"/>
      <c r="AJ616" s="194"/>
      <c r="AK616" s="194"/>
      <c r="AL616" s="194"/>
      <c r="AM616" s="194"/>
      <c r="AN616" s="194"/>
      <c r="AO616" s="194"/>
    </row>
    <row r="617">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c r="AC617" s="194"/>
      <c r="AD617" s="194"/>
      <c r="AE617" s="194"/>
      <c r="AF617" s="194"/>
      <c r="AG617" s="194"/>
      <c r="AH617" s="194"/>
      <c r="AI617" s="194"/>
      <c r="AJ617" s="194"/>
      <c r="AK617" s="194"/>
      <c r="AL617" s="194"/>
      <c r="AM617" s="194"/>
      <c r="AN617" s="194"/>
      <c r="AO617" s="194"/>
    </row>
    <row r="618">
      <c r="A618" s="194"/>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c r="AD618" s="194"/>
      <c r="AE618" s="194"/>
      <c r="AF618" s="194"/>
      <c r="AG618" s="194"/>
      <c r="AH618" s="194"/>
      <c r="AI618" s="194"/>
      <c r="AJ618" s="194"/>
      <c r="AK618" s="194"/>
      <c r="AL618" s="194"/>
      <c r="AM618" s="194"/>
      <c r="AN618" s="194"/>
      <c r="AO618" s="194"/>
    </row>
    <row r="619">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c r="AC619" s="194"/>
      <c r="AD619" s="194"/>
      <c r="AE619" s="194"/>
      <c r="AF619" s="194"/>
      <c r="AG619" s="194"/>
      <c r="AH619" s="194"/>
      <c r="AI619" s="194"/>
      <c r="AJ619" s="194"/>
      <c r="AK619" s="194"/>
      <c r="AL619" s="194"/>
      <c r="AM619" s="194"/>
      <c r="AN619" s="194"/>
      <c r="AO619" s="194"/>
    </row>
    <row r="620">
      <c r="A620" s="194"/>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c r="AA620" s="194"/>
      <c r="AB620" s="194"/>
      <c r="AC620" s="194"/>
      <c r="AD620" s="194"/>
      <c r="AE620" s="194"/>
      <c r="AF620" s="194"/>
      <c r="AG620" s="194"/>
      <c r="AH620" s="194"/>
      <c r="AI620" s="194"/>
      <c r="AJ620" s="194"/>
      <c r="AK620" s="194"/>
      <c r="AL620" s="194"/>
      <c r="AM620" s="194"/>
      <c r="AN620" s="194"/>
      <c r="AO620" s="194"/>
    </row>
    <row r="621">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c r="AC621" s="194"/>
      <c r="AD621" s="194"/>
      <c r="AE621" s="194"/>
      <c r="AF621" s="194"/>
      <c r="AG621" s="194"/>
      <c r="AH621" s="194"/>
      <c r="AI621" s="194"/>
      <c r="AJ621" s="194"/>
      <c r="AK621" s="194"/>
      <c r="AL621" s="194"/>
      <c r="AM621" s="194"/>
      <c r="AN621" s="194"/>
      <c r="AO621" s="194"/>
    </row>
    <row r="622">
      <c r="A622" s="194"/>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c r="AA622" s="194"/>
      <c r="AB622" s="194"/>
      <c r="AC622" s="194"/>
      <c r="AD622" s="194"/>
      <c r="AE622" s="194"/>
      <c r="AF622" s="194"/>
      <c r="AG622" s="194"/>
      <c r="AH622" s="194"/>
      <c r="AI622" s="194"/>
      <c r="AJ622" s="194"/>
      <c r="AK622" s="194"/>
      <c r="AL622" s="194"/>
      <c r="AM622" s="194"/>
      <c r="AN622" s="194"/>
      <c r="AO622" s="194"/>
    </row>
    <row r="623">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c r="AC623" s="194"/>
      <c r="AD623" s="194"/>
      <c r="AE623" s="194"/>
      <c r="AF623" s="194"/>
      <c r="AG623" s="194"/>
      <c r="AH623" s="194"/>
      <c r="AI623" s="194"/>
      <c r="AJ623" s="194"/>
      <c r="AK623" s="194"/>
      <c r="AL623" s="194"/>
      <c r="AM623" s="194"/>
      <c r="AN623" s="194"/>
      <c r="AO623" s="194"/>
    </row>
    <row r="624">
      <c r="A624" s="194"/>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c r="AA624" s="194"/>
      <c r="AB624" s="194"/>
      <c r="AC624" s="194"/>
      <c r="AD624" s="194"/>
      <c r="AE624" s="194"/>
      <c r="AF624" s="194"/>
      <c r="AG624" s="194"/>
      <c r="AH624" s="194"/>
      <c r="AI624" s="194"/>
      <c r="AJ624" s="194"/>
      <c r="AK624" s="194"/>
      <c r="AL624" s="194"/>
      <c r="AM624" s="194"/>
      <c r="AN624" s="194"/>
      <c r="AO624" s="194"/>
    </row>
    <row r="6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c r="AC625" s="194"/>
      <c r="AD625" s="194"/>
      <c r="AE625" s="194"/>
      <c r="AF625" s="194"/>
      <c r="AG625" s="194"/>
      <c r="AH625" s="194"/>
      <c r="AI625" s="194"/>
      <c r="AJ625" s="194"/>
      <c r="AK625" s="194"/>
      <c r="AL625" s="194"/>
      <c r="AM625" s="194"/>
      <c r="AN625" s="194"/>
      <c r="AO625" s="194"/>
    </row>
    <row r="626">
      <c r="A626" s="194"/>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c r="AA626" s="194"/>
      <c r="AB626" s="194"/>
      <c r="AC626" s="194"/>
      <c r="AD626" s="194"/>
      <c r="AE626" s="194"/>
      <c r="AF626" s="194"/>
      <c r="AG626" s="194"/>
      <c r="AH626" s="194"/>
      <c r="AI626" s="194"/>
      <c r="AJ626" s="194"/>
      <c r="AK626" s="194"/>
      <c r="AL626" s="194"/>
      <c r="AM626" s="194"/>
      <c r="AN626" s="194"/>
      <c r="AO626" s="194"/>
    </row>
    <row r="627">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c r="AC627" s="194"/>
      <c r="AD627" s="194"/>
      <c r="AE627" s="194"/>
      <c r="AF627" s="194"/>
      <c r="AG627" s="194"/>
      <c r="AH627" s="194"/>
      <c r="AI627" s="194"/>
      <c r="AJ627" s="194"/>
      <c r="AK627" s="194"/>
      <c r="AL627" s="194"/>
      <c r="AM627" s="194"/>
      <c r="AN627" s="194"/>
      <c r="AO627" s="194"/>
    </row>
    <row r="628">
      <c r="A628" s="194"/>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c r="AA628" s="194"/>
      <c r="AB628" s="194"/>
      <c r="AC628" s="194"/>
      <c r="AD628" s="194"/>
      <c r="AE628" s="194"/>
      <c r="AF628" s="194"/>
      <c r="AG628" s="194"/>
      <c r="AH628" s="194"/>
      <c r="AI628" s="194"/>
      <c r="AJ628" s="194"/>
      <c r="AK628" s="194"/>
      <c r="AL628" s="194"/>
      <c r="AM628" s="194"/>
      <c r="AN628" s="194"/>
      <c r="AO628" s="194"/>
    </row>
    <row r="629">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c r="AC629" s="194"/>
      <c r="AD629" s="194"/>
      <c r="AE629" s="194"/>
      <c r="AF629" s="194"/>
      <c r="AG629" s="194"/>
      <c r="AH629" s="194"/>
      <c r="AI629" s="194"/>
      <c r="AJ629" s="194"/>
      <c r="AK629" s="194"/>
      <c r="AL629" s="194"/>
      <c r="AM629" s="194"/>
      <c r="AN629" s="194"/>
      <c r="AO629" s="194"/>
    </row>
    <row r="630">
      <c r="A630" s="194"/>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c r="AA630" s="194"/>
      <c r="AB630" s="194"/>
      <c r="AC630" s="194"/>
      <c r="AD630" s="194"/>
      <c r="AE630" s="194"/>
      <c r="AF630" s="194"/>
      <c r="AG630" s="194"/>
      <c r="AH630" s="194"/>
      <c r="AI630" s="194"/>
      <c r="AJ630" s="194"/>
      <c r="AK630" s="194"/>
      <c r="AL630" s="194"/>
      <c r="AM630" s="194"/>
      <c r="AN630" s="194"/>
      <c r="AO630" s="194"/>
    </row>
    <row r="631">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c r="AC631" s="194"/>
      <c r="AD631" s="194"/>
      <c r="AE631" s="194"/>
      <c r="AF631" s="194"/>
      <c r="AG631" s="194"/>
      <c r="AH631" s="194"/>
      <c r="AI631" s="194"/>
      <c r="AJ631" s="194"/>
      <c r="AK631" s="194"/>
      <c r="AL631" s="194"/>
      <c r="AM631" s="194"/>
      <c r="AN631" s="194"/>
      <c r="AO631" s="194"/>
    </row>
    <row r="632">
      <c r="A632" s="194"/>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c r="AA632" s="194"/>
      <c r="AB632" s="194"/>
      <c r="AC632" s="194"/>
      <c r="AD632" s="194"/>
      <c r="AE632" s="194"/>
      <c r="AF632" s="194"/>
      <c r="AG632" s="194"/>
      <c r="AH632" s="194"/>
      <c r="AI632" s="194"/>
      <c r="AJ632" s="194"/>
      <c r="AK632" s="194"/>
      <c r="AL632" s="194"/>
      <c r="AM632" s="194"/>
      <c r="AN632" s="194"/>
      <c r="AO632" s="194"/>
    </row>
    <row r="633">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c r="AC633" s="194"/>
      <c r="AD633" s="194"/>
      <c r="AE633" s="194"/>
      <c r="AF633" s="194"/>
      <c r="AG633" s="194"/>
      <c r="AH633" s="194"/>
      <c r="AI633" s="194"/>
      <c r="AJ633" s="194"/>
      <c r="AK633" s="194"/>
      <c r="AL633" s="194"/>
      <c r="AM633" s="194"/>
      <c r="AN633" s="194"/>
      <c r="AO633" s="194"/>
    </row>
    <row r="634">
      <c r="A634" s="194"/>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c r="AA634" s="194"/>
      <c r="AB634" s="194"/>
      <c r="AC634" s="194"/>
      <c r="AD634" s="194"/>
      <c r="AE634" s="194"/>
      <c r="AF634" s="194"/>
      <c r="AG634" s="194"/>
      <c r="AH634" s="194"/>
      <c r="AI634" s="194"/>
      <c r="AJ634" s="194"/>
      <c r="AK634" s="194"/>
      <c r="AL634" s="194"/>
      <c r="AM634" s="194"/>
      <c r="AN634" s="194"/>
      <c r="AO634" s="194"/>
    </row>
    <row r="63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c r="AC635" s="194"/>
      <c r="AD635" s="194"/>
      <c r="AE635" s="194"/>
      <c r="AF635" s="194"/>
      <c r="AG635" s="194"/>
      <c r="AH635" s="194"/>
      <c r="AI635" s="194"/>
      <c r="AJ635" s="194"/>
      <c r="AK635" s="194"/>
      <c r="AL635" s="194"/>
      <c r="AM635" s="194"/>
      <c r="AN635" s="194"/>
      <c r="AO635" s="194"/>
    </row>
    <row r="636">
      <c r="A636" s="194"/>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c r="AA636" s="194"/>
      <c r="AB636" s="194"/>
      <c r="AC636" s="194"/>
      <c r="AD636" s="194"/>
      <c r="AE636" s="194"/>
      <c r="AF636" s="194"/>
      <c r="AG636" s="194"/>
      <c r="AH636" s="194"/>
      <c r="AI636" s="194"/>
      <c r="AJ636" s="194"/>
      <c r="AK636" s="194"/>
      <c r="AL636" s="194"/>
      <c r="AM636" s="194"/>
      <c r="AN636" s="194"/>
      <c r="AO636" s="194"/>
    </row>
    <row r="637">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c r="AC637" s="194"/>
      <c r="AD637" s="194"/>
      <c r="AE637" s="194"/>
      <c r="AF637" s="194"/>
      <c r="AG637" s="194"/>
      <c r="AH637" s="194"/>
      <c r="AI637" s="194"/>
      <c r="AJ637" s="194"/>
      <c r="AK637" s="194"/>
      <c r="AL637" s="194"/>
      <c r="AM637" s="194"/>
      <c r="AN637" s="194"/>
      <c r="AO637" s="194"/>
    </row>
    <row r="638">
      <c r="A638" s="194"/>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c r="AA638" s="194"/>
      <c r="AB638" s="194"/>
      <c r="AC638" s="194"/>
      <c r="AD638" s="194"/>
      <c r="AE638" s="194"/>
      <c r="AF638" s="194"/>
      <c r="AG638" s="194"/>
      <c r="AH638" s="194"/>
      <c r="AI638" s="194"/>
      <c r="AJ638" s="194"/>
      <c r="AK638" s="194"/>
      <c r="AL638" s="194"/>
      <c r="AM638" s="194"/>
      <c r="AN638" s="194"/>
      <c r="AO638" s="194"/>
    </row>
    <row r="639">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c r="AC639" s="194"/>
      <c r="AD639" s="194"/>
      <c r="AE639" s="194"/>
      <c r="AF639" s="194"/>
      <c r="AG639" s="194"/>
      <c r="AH639" s="194"/>
      <c r="AI639" s="194"/>
      <c r="AJ639" s="194"/>
      <c r="AK639" s="194"/>
      <c r="AL639" s="194"/>
      <c r="AM639" s="194"/>
      <c r="AN639" s="194"/>
      <c r="AO639" s="194"/>
    </row>
    <row r="640">
      <c r="A640" s="194"/>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c r="AA640" s="194"/>
      <c r="AB640" s="194"/>
      <c r="AC640" s="194"/>
      <c r="AD640" s="194"/>
      <c r="AE640" s="194"/>
      <c r="AF640" s="194"/>
      <c r="AG640" s="194"/>
      <c r="AH640" s="194"/>
      <c r="AI640" s="194"/>
      <c r="AJ640" s="194"/>
      <c r="AK640" s="194"/>
      <c r="AL640" s="194"/>
      <c r="AM640" s="194"/>
      <c r="AN640" s="194"/>
      <c r="AO640" s="194"/>
    </row>
    <row r="641">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c r="AC641" s="194"/>
      <c r="AD641" s="194"/>
      <c r="AE641" s="194"/>
      <c r="AF641" s="194"/>
      <c r="AG641" s="194"/>
      <c r="AH641" s="194"/>
      <c r="AI641" s="194"/>
      <c r="AJ641" s="194"/>
      <c r="AK641" s="194"/>
      <c r="AL641" s="194"/>
      <c r="AM641" s="194"/>
      <c r="AN641" s="194"/>
      <c r="AO641" s="194"/>
    </row>
    <row r="642">
      <c r="A642" s="194"/>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c r="AA642" s="194"/>
      <c r="AB642" s="194"/>
      <c r="AC642" s="194"/>
      <c r="AD642" s="194"/>
      <c r="AE642" s="194"/>
      <c r="AF642" s="194"/>
      <c r="AG642" s="194"/>
      <c r="AH642" s="194"/>
      <c r="AI642" s="194"/>
      <c r="AJ642" s="194"/>
      <c r="AK642" s="194"/>
      <c r="AL642" s="194"/>
      <c r="AM642" s="194"/>
      <c r="AN642" s="194"/>
      <c r="AO642" s="194"/>
    </row>
    <row r="643">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c r="AC643" s="194"/>
      <c r="AD643" s="194"/>
      <c r="AE643" s="194"/>
      <c r="AF643" s="194"/>
      <c r="AG643" s="194"/>
      <c r="AH643" s="194"/>
      <c r="AI643" s="194"/>
      <c r="AJ643" s="194"/>
      <c r="AK643" s="194"/>
      <c r="AL643" s="194"/>
      <c r="AM643" s="194"/>
      <c r="AN643" s="194"/>
      <c r="AO643" s="194"/>
    </row>
    <row r="644">
      <c r="A644" s="194"/>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c r="AA644" s="194"/>
      <c r="AB644" s="194"/>
      <c r="AC644" s="194"/>
      <c r="AD644" s="194"/>
      <c r="AE644" s="194"/>
      <c r="AF644" s="194"/>
      <c r="AG644" s="194"/>
      <c r="AH644" s="194"/>
      <c r="AI644" s="194"/>
      <c r="AJ644" s="194"/>
      <c r="AK644" s="194"/>
      <c r="AL644" s="194"/>
      <c r="AM644" s="194"/>
      <c r="AN644" s="194"/>
      <c r="AO644" s="194"/>
    </row>
    <row r="64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c r="AC645" s="194"/>
      <c r="AD645" s="194"/>
      <c r="AE645" s="194"/>
      <c r="AF645" s="194"/>
      <c r="AG645" s="194"/>
      <c r="AH645" s="194"/>
      <c r="AI645" s="194"/>
      <c r="AJ645" s="194"/>
      <c r="AK645" s="194"/>
      <c r="AL645" s="194"/>
      <c r="AM645" s="194"/>
      <c r="AN645" s="194"/>
      <c r="AO645" s="194"/>
    </row>
    <row r="646">
      <c r="A646" s="194"/>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c r="AA646" s="194"/>
      <c r="AB646" s="194"/>
      <c r="AC646" s="194"/>
      <c r="AD646" s="194"/>
      <c r="AE646" s="194"/>
      <c r="AF646" s="194"/>
      <c r="AG646" s="194"/>
      <c r="AH646" s="194"/>
      <c r="AI646" s="194"/>
      <c r="AJ646" s="194"/>
      <c r="AK646" s="194"/>
      <c r="AL646" s="194"/>
      <c r="AM646" s="194"/>
      <c r="AN646" s="194"/>
      <c r="AO646" s="194"/>
    </row>
    <row r="647">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c r="AC647" s="194"/>
      <c r="AD647" s="194"/>
      <c r="AE647" s="194"/>
      <c r="AF647" s="194"/>
      <c r="AG647" s="194"/>
      <c r="AH647" s="194"/>
      <c r="AI647" s="194"/>
      <c r="AJ647" s="194"/>
      <c r="AK647" s="194"/>
      <c r="AL647" s="194"/>
      <c r="AM647" s="194"/>
      <c r="AN647" s="194"/>
      <c r="AO647" s="194"/>
    </row>
    <row r="648">
      <c r="A648" s="194"/>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c r="AA648" s="194"/>
      <c r="AB648" s="194"/>
      <c r="AC648" s="194"/>
      <c r="AD648" s="194"/>
      <c r="AE648" s="194"/>
      <c r="AF648" s="194"/>
      <c r="AG648" s="194"/>
      <c r="AH648" s="194"/>
      <c r="AI648" s="194"/>
      <c r="AJ648" s="194"/>
      <c r="AK648" s="194"/>
      <c r="AL648" s="194"/>
      <c r="AM648" s="194"/>
      <c r="AN648" s="194"/>
      <c r="AO648" s="194"/>
    </row>
    <row r="649">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c r="AC649" s="194"/>
      <c r="AD649" s="194"/>
      <c r="AE649" s="194"/>
      <c r="AF649" s="194"/>
      <c r="AG649" s="194"/>
      <c r="AH649" s="194"/>
      <c r="AI649" s="194"/>
      <c r="AJ649" s="194"/>
      <c r="AK649" s="194"/>
      <c r="AL649" s="194"/>
      <c r="AM649" s="194"/>
      <c r="AN649" s="194"/>
      <c r="AO649" s="194"/>
    </row>
    <row r="650">
      <c r="A650" s="194"/>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c r="AA650" s="194"/>
      <c r="AB650" s="194"/>
      <c r="AC650" s="194"/>
      <c r="AD650" s="194"/>
      <c r="AE650" s="194"/>
      <c r="AF650" s="194"/>
      <c r="AG650" s="194"/>
      <c r="AH650" s="194"/>
      <c r="AI650" s="194"/>
      <c r="AJ650" s="194"/>
      <c r="AK650" s="194"/>
      <c r="AL650" s="194"/>
      <c r="AM650" s="194"/>
      <c r="AN650" s="194"/>
      <c r="AO650" s="194"/>
    </row>
    <row r="651">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c r="AC651" s="194"/>
      <c r="AD651" s="194"/>
      <c r="AE651" s="194"/>
      <c r="AF651" s="194"/>
      <c r="AG651" s="194"/>
      <c r="AH651" s="194"/>
      <c r="AI651" s="194"/>
      <c r="AJ651" s="194"/>
      <c r="AK651" s="194"/>
      <c r="AL651" s="194"/>
      <c r="AM651" s="194"/>
      <c r="AN651" s="194"/>
      <c r="AO651" s="194"/>
    </row>
    <row r="652">
      <c r="A652" s="194"/>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c r="AA652" s="194"/>
      <c r="AB652" s="194"/>
      <c r="AC652" s="194"/>
      <c r="AD652" s="194"/>
      <c r="AE652" s="194"/>
      <c r="AF652" s="194"/>
      <c r="AG652" s="194"/>
      <c r="AH652" s="194"/>
      <c r="AI652" s="194"/>
      <c r="AJ652" s="194"/>
      <c r="AK652" s="194"/>
      <c r="AL652" s="194"/>
      <c r="AM652" s="194"/>
      <c r="AN652" s="194"/>
      <c r="AO652" s="194"/>
    </row>
    <row r="653">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c r="AC653" s="194"/>
      <c r="AD653" s="194"/>
      <c r="AE653" s="194"/>
      <c r="AF653" s="194"/>
      <c r="AG653" s="194"/>
      <c r="AH653" s="194"/>
      <c r="AI653" s="194"/>
      <c r="AJ653" s="194"/>
      <c r="AK653" s="194"/>
      <c r="AL653" s="194"/>
      <c r="AM653" s="194"/>
      <c r="AN653" s="194"/>
      <c r="AO653" s="194"/>
    </row>
    <row r="654">
      <c r="A654" s="194"/>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c r="AA654" s="194"/>
      <c r="AB654" s="194"/>
      <c r="AC654" s="194"/>
      <c r="AD654" s="194"/>
      <c r="AE654" s="194"/>
      <c r="AF654" s="194"/>
      <c r="AG654" s="194"/>
      <c r="AH654" s="194"/>
      <c r="AI654" s="194"/>
      <c r="AJ654" s="194"/>
      <c r="AK654" s="194"/>
      <c r="AL654" s="194"/>
      <c r="AM654" s="194"/>
      <c r="AN654" s="194"/>
      <c r="AO654" s="194"/>
    </row>
    <row r="65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c r="AC655" s="194"/>
      <c r="AD655" s="194"/>
      <c r="AE655" s="194"/>
      <c r="AF655" s="194"/>
      <c r="AG655" s="194"/>
      <c r="AH655" s="194"/>
      <c r="AI655" s="194"/>
      <c r="AJ655" s="194"/>
      <c r="AK655" s="194"/>
      <c r="AL655" s="194"/>
      <c r="AM655" s="194"/>
      <c r="AN655" s="194"/>
      <c r="AO655" s="194"/>
    </row>
    <row r="656">
      <c r="A656" s="194"/>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c r="AA656" s="194"/>
      <c r="AB656" s="194"/>
      <c r="AC656" s="194"/>
      <c r="AD656" s="194"/>
      <c r="AE656" s="194"/>
      <c r="AF656" s="194"/>
      <c r="AG656" s="194"/>
      <c r="AH656" s="194"/>
      <c r="AI656" s="194"/>
      <c r="AJ656" s="194"/>
      <c r="AK656" s="194"/>
      <c r="AL656" s="194"/>
      <c r="AM656" s="194"/>
      <c r="AN656" s="194"/>
      <c r="AO656" s="194"/>
    </row>
    <row r="657">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c r="AC657" s="194"/>
      <c r="AD657" s="194"/>
      <c r="AE657" s="194"/>
      <c r="AF657" s="194"/>
      <c r="AG657" s="194"/>
      <c r="AH657" s="194"/>
      <c r="AI657" s="194"/>
      <c r="AJ657" s="194"/>
      <c r="AK657" s="194"/>
      <c r="AL657" s="194"/>
      <c r="AM657" s="194"/>
      <c r="AN657" s="194"/>
      <c r="AO657" s="194"/>
    </row>
    <row r="658">
      <c r="A658" s="194"/>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c r="AA658" s="194"/>
      <c r="AB658" s="194"/>
      <c r="AC658" s="194"/>
      <c r="AD658" s="194"/>
      <c r="AE658" s="194"/>
      <c r="AF658" s="194"/>
      <c r="AG658" s="194"/>
      <c r="AH658" s="194"/>
      <c r="AI658" s="194"/>
      <c r="AJ658" s="194"/>
      <c r="AK658" s="194"/>
      <c r="AL658" s="194"/>
      <c r="AM658" s="194"/>
      <c r="AN658" s="194"/>
      <c r="AO658" s="194"/>
    </row>
    <row r="659">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c r="AC659" s="194"/>
      <c r="AD659" s="194"/>
      <c r="AE659" s="194"/>
      <c r="AF659" s="194"/>
      <c r="AG659" s="194"/>
      <c r="AH659" s="194"/>
      <c r="AI659" s="194"/>
      <c r="AJ659" s="194"/>
      <c r="AK659" s="194"/>
      <c r="AL659" s="194"/>
      <c r="AM659" s="194"/>
      <c r="AN659" s="194"/>
      <c r="AO659" s="194"/>
    </row>
    <row r="660">
      <c r="A660" s="194"/>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c r="AA660" s="194"/>
      <c r="AB660" s="194"/>
      <c r="AC660" s="194"/>
      <c r="AD660" s="194"/>
      <c r="AE660" s="194"/>
      <c r="AF660" s="194"/>
      <c r="AG660" s="194"/>
      <c r="AH660" s="194"/>
      <c r="AI660" s="194"/>
      <c r="AJ660" s="194"/>
      <c r="AK660" s="194"/>
      <c r="AL660" s="194"/>
      <c r="AM660" s="194"/>
      <c r="AN660" s="194"/>
      <c r="AO660" s="194"/>
    </row>
    <row r="661">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c r="AC661" s="194"/>
      <c r="AD661" s="194"/>
      <c r="AE661" s="194"/>
      <c r="AF661" s="194"/>
      <c r="AG661" s="194"/>
      <c r="AH661" s="194"/>
      <c r="AI661" s="194"/>
      <c r="AJ661" s="194"/>
      <c r="AK661" s="194"/>
      <c r="AL661" s="194"/>
      <c r="AM661" s="194"/>
      <c r="AN661" s="194"/>
      <c r="AO661" s="194"/>
    </row>
    <row r="662">
      <c r="A662" s="194"/>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c r="AA662" s="194"/>
      <c r="AB662" s="194"/>
      <c r="AC662" s="194"/>
      <c r="AD662" s="194"/>
      <c r="AE662" s="194"/>
      <c r="AF662" s="194"/>
      <c r="AG662" s="194"/>
      <c r="AH662" s="194"/>
      <c r="AI662" s="194"/>
      <c r="AJ662" s="194"/>
      <c r="AK662" s="194"/>
      <c r="AL662" s="194"/>
      <c r="AM662" s="194"/>
      <c r="AN662" s="194"/>
      <c r="AO662" s="194"/>
    </row>
    <row r="663">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c r="AC663" s="194"/>
      <c r="AD663" s="194"/>
      <c r="AE663" s="194"/>
      <c r="AF663" s="194"/>
      <c r="AG663" s="194"/>
      <c r="AH663" s="194"/>
      <c r="AI663" s="194"/>
      <c r="AJ663" s="194"/>
      <c r="AK663" s="194"/>
      <c r="AL663" s="194"/>
      <c r="AM663" s="194"/>
      <c r="AN663" s="194"/>
      <c r="AO663" s="194"/>
    </row>
    <row r="664">
      <c r="A664" s="194"/>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c r="AA664" s="194"/>
      <c r="AB664" s="194"/>
      <c r="AC664" s="194"/>
      <c r="AD664" s="194"/>
      <c r="AE664" s="194"/>
      <c r="AF664" s="194"/>
      <c r="AG664" s="194"/>
      <c r="AH664" s="194"/>
      <c r="AI664" s="194"/>
      <c r="AJ664" s="194"/>
      <c r="AK664" s="194"/>
      <c r="AL664" s="194"/>
      <c r="AM664" s="194"/>
      <c r="AN664" s="194"/>
      <c r="AO664" s="194"/>
    </row>
    <row r="66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c r="AC665" s="194"/>
      <c r="AD665" s="194"/>
      <c r="AE665" s="194"/>
      <c r="AF665" s="194"/>
      <c r="AG665" s="194"/>
      <c r="AH665" s="194"/>
      <c r="AI665" s="194"/>
      <c r="AJ665" s="194"/>
      <c r="AK665" s="194"/>
      <c r="AL665" s="194"/>
      <c r="AM665" s="194"/>
      <c r="AN665" s="194"/>
      <c r="AO665" s="194"/>
    </row>
    <row r="666">
      <c r="A666" s="194"/>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c r="AA666" s="194"/>
      <c r="AB666" s="194"/>
      <c r="AC666" s="194"/>
      <c r="AD666" s="194"/>
      <c r="AE666" s="194"/>
      <c r="AF666" s="194"/>
      <c r="AG666" s="194"/>
      <c r="AH666" s="194"/>
      <c r="AI666" s="194"/>
      <c r="AJ666" s="194"/>
      <c r="AK666" s="194"/>
      <c r="AL666" s="194"/>
      <c r="AM666" s="194"/>
      <c r="AN666" s="194"/>
      <c r="AO666" s="194"/>
    </row>
    <row r="667">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c r="AC667" s="194"/>
      <c r="AD667" s="194"/>
      <c r="AE667" s="194"/>
      <c r="AF667" s="194"/>
      <c r="AG667" s="194"/>
      <c r="AH667" s="194"/>
      <c r="AI667" s="194"/>
      <c r="AJ667" s="194"/>
      <c r="AK667" s="194"/>
      <c r="AL667" s="194"/>
      <c r="AM667" s="194"/>
      <c r="AN667" s="194"/>
      <c r="AO667" s="194"/>
    </row>
    <row r="668">
      <c r="A668" s="194"/>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c r="AA668" s="194"/>
      <c r="AB668" s="194"/>
      <c r="AC668" s="194"/>
      <c r="AD668" s="194"/>
      <c r="AE668" s="194"/>
      <c r="AF668" s="194"/>
      <c r="AG668" s="194"/>
      <c r="AH668" s="194"/>
      <c r="AI668" s="194"/>
      <c r="AJ668" s="194"/>
      <c r="AK668" s="194"/>
      <c r="AL668" s="194"/>
      <c r="AM668" s="194"/>
      <c r="AN668" s="194"/>
      <c r="AO668" s="194"/>
    </row>
    <row r="669">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c r="AC669" s="194"/>
      <c r="AD669" s="194"/>
      <c r="AE669" s="194"/>
      <c r="AF669" s="194"/>
      <c r="AG669" s="194"/>
      <c r="AH669" s="194"/>
      <c r="AI669" s="194"/>
      <c r="AJ669" s="194"/>
      <c r="AK669" s="194"/>
      <c r="AL669" s="194"/>
      <c r="AM669" s="194"/>
      <c r="AN669" s="194"/>
      <c r="AO669" s="194"/>
    </row>
    <row r="670">
      <c r="A670" s="194"/>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c r="AA670" s="194"/>
      <c r="AB670" s="194"/>
      <c r="AC670" s="194"/>
      <c r="AD670" s="194"/>
      <c r="AE670" s="194"/>
      <c r="AF670" s="194"/>
      <c r="AG670" s="194"/>
      <c r="AH670" s="194"/>
      <c r="AI670" s="194"/>
      <c r="AJ670" s="194"/>
      <c r="AK670" s="194"/>
      <c r="AL670" s="194"/>
      <c r="AM670" s="194"/>
      <c r="AN670" s="194"/>
      <c r="AO670" s="194"/>
    </row>
    <row r="671">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c r="AC671" s="194"/>
      <c r="AD671" s="194"/>
      <c r="AE671" s="194"/>
      <c r="AF671" s="194"/>
      <c r="AG671" s="194"/>
      <c r="AH671" s="194"/>
      <c r="AI671" s="194"/>
      <c r="AJ671" s="194"/>
      <c r="AK671" s="194"/>
      <c r="AL671" s="194"/>
      <c r="AM671" s="194"/>
      <c r="AN671" s="194"/>
      <c r="AO671" s="194"/>
    </row>
    <row r="672">
      <c r="A672" s="194"/>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c r="AA672" s="194"/>
      <c r="AB672" s="194"/>
      <c r="AC672" s="194"/>
      <c r="AD672" s="194"/>
      <c r="AE672" s="194"/>
      <c r="AF672" s="194"/>
      <c r="AG672" s="194"/>
      <c r="AH672" s="194"/>
      <c r="AI672" s="194"/>
      <c r="AJ672" s="194"/>
      <c r="AK672" s="194"/>
      <c r="AL672" s="194"/>
      <c r="AM672" s="194"/>
      <c r="AN672" s="194"/>
      <c r="AO672" s="194"/>
    </row>
    <row r="673">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c r="AC673" s="194"/>
      <c r="AD673" s="194"/>
      <c r="AE673" s="194"/>
      <c r="AF673" s="194"/>
      <c r="AG673" s="194"/>
      <c r="AH673" s="194"/>
      <c r="AI673" s="194"/>
      <c r="AJ673" s="194"/>
      <c r="AK673" s="194"/>
      <c r="AL673" s="194"/>
      <c r="AM673" s="194"/>
      <c r="AN673" s="194"/>
      <c r="AO673" s="194"/>
    </row>
    <row r="674">
      <c r="A674" s="194"/>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c r="AA674" s="194"/>
      <c r="AB674" s="194"/>
      <c r="AC674" s="194"/>
      <c r="AD674" s="194"/>
      <c r="AE674" s="194"/>
      <c r="AF674" s="194"/>
      <c r="AG674" s="194"/>
      <c r="AH674" s="194"/>
      <c r="AI674" s="194"/>
      <c r="AJ674" s="194"/>
      <c r="AK674" s="194"/>
      <c r="AL674" s="194"/>
      <c r="AM674" s="194"/>
      <c r="AN674" s="194"/>
      <c r="AO674" s="194"/>
    </row>
    <row r="67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c r="AC675" s="194"/>
      <c r="AD675" s="194"/>
      <c r="AE675" s="194"/>
      <c r="AF675" s="194"/>
      <c r="AG675" s="194"/>
      <c r="AH675" s="194"/>
      <c r="AI675" s="194"/>
      <c r="AJ675" s="194"/>
      <c r="AK675" s="194"/>
      <c r="AL675" s="194"/>
      <c r="AM675" s="194"/>
      <c r="AN675" s="194"/>
      <c r="AO675" s="194"/>
    </row>
    <row r="676">
      <c r="A676" s="194"/>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c r="AA676" s="194"/>
      <c r="AB676" s="194"/>
      <c r="AC676" s="194"/>
      <c r="AD676" s="194"/>
      <c r="AE676" s="194"/>
      <c r="AF676" s="194"/>
      <c r="AG676" s="194"/>
      <c r="AH676" s="194"/>
      <c r="AI676" s="194"/>
      <c r="AJ676" s="194"/>
      <c r="AK676" s="194"/>
      <c r="AL676" s="194"/>
      <c r="AM676" s="194"/>
      <c r="AN676" s="194"/>
      <c r="AO676" s="194"/>
    </row>
    <row r="677">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c r="AC677" s="194"/>
      <c r="AD677" s="194"/>
      <c r="AE677" s="194"/>
      <c r="AF677" s="194"/>
      <c r="AG677" s="194"/>
      <c r="AH677" s="194"/>
      <c r="AI677" s="194"/>
      <c r="AJ677" s="194"/>
      <c r="AK677" s="194"/>
      <c r="AL677" s="194"/>
      <c r="AM677" s="194"/>
      <c r="AN677" s="194"/>
      <c r="AO677" s="194"/>
    </row>
    <row r="678">
      <c r="A678" s="194"/>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c r="AA678" s="194"/>
      <c r="AB678" s="194"/>
      <c r="AC678" s="194"/>
      <c r="AD678" s="194"/>
      <c r="AE678" s="194"/>
      <c r="AF678" s="194"/>
      <c r="AG678" s="194"/>
      <c r="AH678" s="194"/>
      <c r="AI678" s="194"/>
      <c r="AJ678" s="194"/>
      <c r="AK678" s="194"/>
      <c r="AL678" s="194"/>
      <c r="AM678" s="194"/>
      <c r="AN678" s="194"/>
      <c r="AO678" s="194"/>
    </row>
    <row r="679">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c r="AC679" s="194"/>
      <c r="AD679" s="194"/>
      <c r="AE679" s="194"/>
      <c r="AF679" s="194"/>
      <c r="AG679" s="194"/>
      <c r="AH679" s="194"/>
      <c r="AI679" s="194"/>
      <c r="AJ679" s="194"/>
      <c r="AK679" s="194"/>
      <c r="AL679" s="194"/>
      <c r="AM679" s="194"/>
      <c r="AN679" s="194"/>
      <c r="AO679" s="194"/>
    </row>
    <row r="680">
      <c r="A680" s="194"/>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c r="AA680" s="194"/>
      <c r="AB680" s="194"/>
      <c r="AC680" s="194"/>
      <c r="AD680" s="194"/>
      <c r="AE680" s="194"/>
      <c r="AF680" s="194"/>
      <c r="AG680" s="194"/>
      <c r="AH680" s="194"/>
      <c r="AI680" s="194"/>
      <c r="AJ680" s="194"/>
      <c r="AK680" s="194"/>
      <c r="AL680" s="194"/>
      <c r="AM680" s="194"/>
      <c r="AN680" s="194"/>
      <c r="AO680" s="194"/>
    </row>
    <row r="681">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c r="AC681" s="194"/>
      <c r="AD681" s="194"/>
      <c r="AE681" s="194"/>
      <c r="AF681" s="194"/>
      <c r="AG681" s="194"/>
      <c r="AH681" s="194"/>
      <c r="AI681" s="194"/>
      <c r="AJ681" s="194"/>
      <c r="AK681" s="194"/>
      <c r="AL681" s="194"/>
      <c r="AM681" s="194"/>
      <c r="AN681" s="194"/>
      <c r="AO681" s="194"/>
    </row>
    <row r="682">
      <c r="A682" s="194"/>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c r="AA682" s="194"/>
      <c r="AB682" s="194"/>
      <c r="AC682" s="194"/>
      <c r="AD682" s="194"/>
      <c r="AE682" s="194"/>
      <c r="AF682" s="194"/>
      <c r="AG682" s="194"/>
      <c r="AH682" s="194"/>
      <c r="AI682" s="194"/>
      <c r="AJ682" s="194"/>
      <c r="AK682" s="194"/>
      <c r="AL682" s="194"/>
      <c r="AM682" s="194"/>
      <c r="AN682" s="194"/>
      <c r="AO682" s="194"/>
    </row>
    <row r="683">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c r="AC683" s="194"/>
      <c r="AD683" s="194"/>
      <c r="AE683" s="194"/>
      <c r="AF683" s="194"/>
      <c r="AG683" s="194"/>
      <c r="AH683" s="194"/>
      <c r="AI683" s="194"/>
      <c r="AJ683" s="194"/>
      <c r="AK683" s="194"/>
      <c r="AL683" s="194"/>
      <c r="AM683" s="194"/>
      <c r="AN683" s="194"/>
      <c r="AO683" s="194"/>
    </row>
    <row r="684">
      <c r="A684" s="194"/>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c r="AA684" s="194"/>
      <c r="AB684" s="194"/>
      <c r="AC684" s="194"/>
      <c r="AD684" s="194"/>
      <c r="AE684" s="194"/>
      <c r="AF684" s="194"/>
      <c r="AG684" s="194"/>
      <c r="AH684" s="194"/>
      <c r="AI684" s="194"/>
      <c r="AJ684" s="194"/>
      <c r="AK684" s="194"/>
      <c r="AL684" s="194"/>
      <c r="AM684" s="194"/>
      <c r="AN684" s="194"/>
      <c r="AO684" s="194"/>
    </row>
    <row r="68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c r="AC685" s="194"/>
      <c r="AD685" s="194"/>
      <c r="AE685" s="194"/>
      <c r="AF685" s="194"/>
      <c r="AG685" s="194"/>
      <c r="AH685" s="194"/>
      <c r="AI685" s="194"/>
      <c r="AJ685" s="194"/>
      <c r="AK685" s="194"/>
      <c r="AL685" s="194"/>
      <c r="AM685" s="194"/>
      <c r="AN685" s="194"/>
      <c r="AO685" s="194"/>
    </row>
    <row r="686">
      <c r="A686" s="194"/>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c r="AA686" s="194"/>
      <c r="AB686" s="194"/>
      <c r="AC686" s="194"/>
      <c r="AD686" s="194"/>
      <c r="AE686" s="194"/>
      <c r="AF686" s="194"/>
      <c r="AG686" s="194"/>
      <c r="AH686" s="194"/>
      <c r="AI686" s="194"/>
      <c r="AJ686" s="194"/>
      <c r="AK686" s="194"/>
      <c r="AL686" s="194"/>
      <c r="AM686" s="194"/>
      <c r="AN686" s="194"/>
      <c r="AO686" s="194"/>
    </row>
    <row r="687">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c r="AC687" s="194"/>
      <c r="AD687" s="194"/>
      <c r="AE687" s="194"/>
      <c r="AF687" s="194"/>
      <c r="AG687" s="194"/>
      <c r="AH687" s="194"/>
      <c r="AI687" s="194"/>
      <c r="AJ687" s="194"/>
      <c r="AK687" s="194"/>
      <c r="AL687" s="194"/>
      <c r="AM687" s="194"/>
      <c r="AN687" s="194"/>
      <c r="AO687" s="194"/>
    </row>
    <row r="688">
      <c r="A688" s="194"/>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c r="AA688" s="194"/>
      <c r="AB688" s="194"/>
      <c r="AC688" s="194"/>
      <c r="AD688" s="194"/>
      <c r="AE688" s="194"/>
      <c r="AF688" s="194"/>
      <c r="AG688" s="194"/>
      <c r="AH688" s="194"/>
      <c r="AI688" s="194"/>
      <c r="AJ688" s="194"/>
      <c r="AK688" s="194"/>
      <c r="AL688" s="194"/>
      <c r="AM688" s="194"/>
      <c r="AN688" s="194"/>
      <c r="AO688" s="194"/>
    </row>
    <row r="689">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c r="AC689" s="194"/>
      <c r="AD689" s="194"/>
      <c r="AE689" s="194"/>
      <c r="AF689" s="194"/>
      <c r="AG689" s="194"/>
      <c r="AH689" s="194"/>
      <c r="AI689" s="194"/>
      <c r="AJ689" s="194"/>
      <c r="AK689" s="194"/>
      <c r="AL689" s="194"/>
      <c r="AM689" s="194"/>
      <c r="AN689" s="194"/>
      <c r="AO689" s="194"/>
    </row>
    <row r="690">
      <c r="A690" s="194"/>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c r="AA690" s="194"/>
      <c r="AB690" s="194"/>
      <c r="AC690" s="194"/>
      <c r="AD690" s="194"/>
      <c r="AE690" s="194"/>
      <c r="AF690" s="194"/>
      <c r="AG690" s="194"/>
      <c r="AH690" s="194"/>
      <c r="AI690" s="194"/>
      <c r="AJ690" s="194"/>
      <c r="AK690" s="194"/>
      <c r="AL690" s="194"/>
      <c r="AM690" s="194"/>
      <c r="AN690" s="194"/>
      <c r="AO690" s="194"/>
    </row>
    <row r="691">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c r="AC691" s="194"/>
      <c r="AD691" s="194"/>
      <c r="AE691" s="194"/>
      <c r="AF691" s="194"/>
      <c r="AG691" s="194"/>
      <c r="AH691" s="194"/>
      <c r="AI691" s="194"/>
      <c r="AJ691" s="194"/>
      <c r="AK691" s="194"/>
      <c r="AL691" s="194"/>
      <c r="AM691" s="194"/>
      <c r="AN691" s="194"/>
      <c r="AO691" s="194"/>
    </row>
    <row r="692">
      <c r="A692" s="194"/>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c r="AA692" s="194"/>
      <c r="AB692" s="194"/>
      <c r="AC692" s="194"/>
      <c r="AD692" s="194"/>
      <c r="AE692" s="194"/>
      <c r="AF692" s="194"/>
      <c r="AG692" s="194"/>
      <c r="AH692" s="194"/>
      <c r="AI692" s="194"/>
      <c r="AJ692" s="194"/>
      <c r="AK692" s="194"/>
      <c r="AL692" s="194"/>
      <c r="AM692" s="194"/>
      <c r="AN692" s="194"/>
      <c r="AO692" s="194"/>
    </row>
    <row r="693">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c r="AC693" s="194"/>
      <c r="AD693" s="194"/>
      <c r="AE693" s="194"/>
      <c r="AF693" s="194"/>
      <c r="AG693" s="194"/>
      <c r="AH693" s="194"/>
      <c r="AI693" s="194"/>
      <c r="AJ693" s="194"/>
      <c r="AK693" s="194"/>
      <c r="AL693" s="194"/>
      <c r="AM693" s="194"/>
      <c r="AN693" s="194"/>
      <c r="AO693" s="194"/>
    </row>
    <row r="694">
      <c r="A694" s="194"/>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c r="AA694" s="194"/>
      <c r="AB694" s="194"/>
      <c r="AC694" s="194"/>
      <c r="AD694" s="194"/>
      <c r="AE694" s="194"/>
      <c r="AF694" s="194"/>
      <c r="AG694" s="194"/>
      <c r="AH694" s="194"/>
      <c r="AI694" s="194"/>
      <c r="AJ694" s="194"/>
      <c r="AK694" s="194"/>
      <c r="AL694" s="194"/>
      <c r="AM694" s="194"/>
      <c r="AN694" s="194"/>
      <c r="AO694" s="194"/>
    </row>
    <row r="69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c r="AC695" s="194"/>
      <c r="AD695" s="194"/>
      <c r="AE695" s="194"/>
      <c r="AF695" s="194"/>
      <c r="AG695" s="194"/>
      <c r="AH695" s="194"/>
      <c r="AI695" s="194"/>
      <c r="AJ695" s="194"/>
      <c r="AK695" s="194"/>
      <c r="AL695" s="194"/>
      <c r="AM695" s="194"/>
      <c r="AN695" s="194"/>
      <c r="AO695" s="194"/>
    </row>
    <row r="696">
      <c r="A696" s="194"/>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c r="AA696" s="194"/>
      <c r="AB696" s="194"/>
      <c r="AC696" s="194"/>
      <c r="AD696" s="194"/>
      <c r="AE696" s="194"/>
      <c r="AF696" s="194"/>
      <c r="AG696" s="194"/>
      <c r="AH696" s="194"/>
      <c r="AI696" s="194"/>
      <c r="AJ696" s="194"/>
      <c r="AK696" s="194"/>
      <c r="AL696" s="194"/>
      <c r="AM696" s="194"/>
      <c r="AN696" s="194"/>
      <c r="AO696" s="194"/>
    </row>
    <row r="697">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c r="AC697" s="194"/>
      <c r="AD697" s="194"/>
      <c r="AE697" s="194"/>
      <c r="AF697" s="194"/>
      <c r="AG697" s="194"/>
      <c r="AH697" s="194"/>
      <c r="AI697" s="194"/>
      <c r="AJ697" s="194"/>
      <c r="AK697" s="194"/>
      <c r="AL697" s="194"/>
      <c r="AM697" s="194"/>
      <c r="AN697" s="194"/>
      <c r="AO697" s="194"/>
    </row>
    <row r="698">
      <c r="A698" s="194"/>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c r="AA698" s="194"/>
      <c r="AB698" s="194"/>
      <c r="AC698" s="194"/>
      <c r="AD698" s="194"/>
      <c r="AE698" s="194"/>
      <c r="AF698" s="194"/>
      <c r="AG698" s="194"/>
      <c r="AH698" s="194"/>
      <c r="AI698" s="194"/>
      <c r="AJ698" s="194"/>
      <c r="AK698" s="194"/>
      <c r="AL698" s="194"/>
      <c r="AM698" s="194"/>
      <c r="AN698" s="194"/>
      <c r="AO698" s="194"/>
    </row>
    <row r="699">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c r="AC699" s="194"/>
      <c r="AD699" s="194"/>
      <c r="AE699" s="194"/>
      <c r="AF699" s="194"/>
      <c r="AG699" s="194"/>
      <c r="AH699" s="194"/>
      <c r="AI699" s="194"/>
      <c r="AJ699" s="194"/>
      <c r="AK699" s="194"/>
      <c r="AL699" s="194"/>
      <c r="AM699" s="194"/>
      <c r="AN699" s="194"/>
      <c r="AO699" s="194"/>
    </row>
    <row r="700">
      <c r="A700" s="194"/>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c r="AA700" s="194"/>
      <c r="AB700" s="194"/>
      <c r="AC700" s="194"/>
      <c r="AD700" s="194"/>
      <c r="AE700" s="194"/>
      <c r="AF700" s="194"/>
      <c r="AG700" s="194"/>
      <c r="AH700" s="194"/>
      <c r="AI700" s="194"/>
      <c r="AJ700" s="194"/>
      <c r="AK700" s="194"/>
      <c r="AL700" s="194"/>
      <c r="AM700" s="194"/>
      <c r="AN700" s="194"/>
      <c r="AO700" s="194"/>
    </row>
    <row r="701">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c r="AC701" s="194"/>
      <c r="AD701" s="194"/>
      <c r="AE701" s="194"/>
      <c r="AF701" s="194"/>
      <c r="AG701" s="194"/>
      <c r="AH701" s="194"/>
      <c r="AI701" s="194"/>
      <c r="AJ701" s="194"/>
      <c r="AK701" s="194"/>
      <c r="AL701" s="194"/>
      <c r="AM701" s="194"/>
      <c r="AN701" s="194"/>
      <c r="AO701" s="194"/>
    </row>
    <row r="702">
      <c r="A702" s="194"/>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c r="AA702" s="194"/>
      <c r="AB702" s="194"/>
      <c r="AC702" s="194"/>
      <c r="AD702" s="194"/>
      <c r="AE702" s="194"/>
      <c r="AF702" s="194"/>
      <c r="AG702" s="194"/>
      <c r="AH702" s="194"/>
      <c r="AI702" s="194"/>
      <c r="AJ702" s="194"/>
      <c r="AK702" s="194"/>
      <c r="AL702" s="194"/>
      <c r="AM702" s="194"/>
      <c r="AN702" s="194"/>
      <c r="AO702" s="194"/>
    </row>
    <row r="703">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c r="AC703" s="194"/>
      <c r="AD703" s="194"/>
      <c r="AE703" s="194"/>
      <c r="AF703" s="194"/>
      <c r="AG703" s="194"/>
      <c r="AH703" s="194"/>
      <c r="AI703" s="194"/>
      <c r="AJ703" s="194"/>
      <c r="AK703" s="194"/>
      <c r="AL703" s="194"/>
      <c r="AM703" s="194"/>
      <c r="AN703" s="194"/>
      <c r="AO703" s="194"/>
    </row>
    <row r="704">
      <c r="A704" s="194"/>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c r="AA704" s="194"/>
      <c r="AB704" s="194"/>
      <c r="AC704" s="194"/>
      <c r="AD704" s="194"/>
      <c r="AE704" s="194"/>
      <c r="AF704" s="194"/>
      <c r="AG704" s="194"/>
      <c r="AH704" s="194"/>
      <c r="AI704" s="194"/>
      <c r="AJ704" s="194"/>
      <c r="AK704" s="194"/>
      <c r="AL704" s="194"/>
      <c r="AM704" s="194"/>
      <c r="AN704" s="194"/>
      <c r="AO704" s="194"/>
    </row>
    <row r="70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c r="AC705" s="194"/>
      <c r="AD705" s="194"/>
      <c r="AE705" s="194"/>
      <c r="AF705" s="194"/>
      <c r="AG705" s="194"/>
      <c r="AH705" s="194"/>
      <c r="AI705" s="194"/>
      <c r="AJ705" s="194"/>
      <c r="AK705" s="194"/>
      <c r="AL705" s="194"/>
      <c r="AM705" s="194"/>
      <c r="AN705" s="194"/>
      <c r="AO705" s="194"/>
    </row>
    <row r="706">
      <c r="A706" s="194"/>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c r="AA706" s="194"/>
      <c r="AB706" s="194"/>
      <c r="AC706" s="194"/>
      <c r="AD706" s="194"/>
      <c r="AE706" s="194"/>
      <c r="AF706" s="194"/>
      <c r="AG706" s="194"/>
      <c r="AH706" s="194"/>
      <c r="AI706" s="194"/>
      <c r="AJ706" s="194"/>
      <c r="AK706" s="194"/>
      <c r="AL706" s="194"/>
      <c r="AM706" s="194"/>
      <c r="AN706" s="194"/>
      <c r="AO706" s="194"/>
    </row>
    <row r="707">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c r="AC707" s="194"/>
      <c r="AD707" s="194"/>
      <c r="AE707" s="194"/>
      <c r="AF707" s="194"/>
      <c r="AG707" s="194"/>
      <c r="AH707" s="194"/>
      <c r="AI707" s="194"/>
      <c r="AJ707" s="194"/>
      <c r="AK707" s="194"/>
      <c r="AL707" s="194"/>
      <c r="AM707" s="194"/>
      <c r="AN707" s="194"/>
      <c r="AO707" s="194"/>
    </row>
    <row r="708">
      <c r="A708" s="194"/>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c r="AA708" s="194"/>
      <c r="AB708" s="194"/>
      <c r="AC708" s="194"/>
      <c r="AD708" s="194"/>
      <c r="AE708" s="194"/>
      <c r="AF708" s="194"/>
      <c r="AG708" s="194"/>
      <c r="AH708" s="194"/>
      <c r="AI708" s="194"/>
      <c r="AJ708" s="194"/>
      <c r="AK708" s="194"/>
      <c r="AL708" s="194"/>
      <c r="AM708" s="194"/>
      <c r="AN708" s="194"/>
      <c r="AO708" s="194"/>
    </row>
    <row r="709">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c r="AC709" s="194"/>
      <c r="AD709" s="194"/>
      <c r="AE709" s="194"/>
      <c r="AF709" s="194"/>
      <c r="AG709" s="194"/>
      <c r="AH709" s="194"/>
      <c r="AI709" s="194"/>
      <c r="AJ709" s="194"/>
      <c r="AK709" s="194"/>
      <c r="AL709" s="194"/>
      <c r="AM709" s="194"/>
      <c r="AN709" s="194"/>
      <c r="AO709" s="194"/>
    </row>
    <row r="710">
      <c r="A710" s="194"/>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c r="AA710" s="194"/>
      <c r="AB710" s="194"/>
      <c r="AC710" s="194"/>
      <c r="AD710" s="194"/>
      <c r="AE710" s="194"/>
      <c r="AF710" s="194"/>
      <c r="AG710" s="194"/>
      <c r="AH710" s="194"/>
      <c r="AI710" s="194"/>
      <c r="AJ710" s="194"/>
      <c r="AK710" s="194"/>
      <c r="AL710" s="194"/>
      <c r="AM710" s="194"/>
      <c r="AN710" s="194"/>
      <c r="AO710" s="194"/>
    </row>
    <row r="711">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c r="AC711" s="194"/>
      <c r="AD711" s="194"/>
      <c r="AE711" s="194"/>
      <c r="AF711" s="194"/>
      <c r="AG711" s="194"/>
      <c r="AH711" s="194"/>
      <c r="AI711" s="194"/>
      <c r="AJ711" s="194"/>
      <c r="AK711" s="194"/>
      <c r="AL711" s="194"/>
      <c r="AM711" s="194"/>
      <c r="AN711" s="194"/>
      <c r="AO711" s="194"/>
    </row>
    <row r="712">
      <c r="A712" s="194"/>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c r="AA712" s="194"/>
      <c r="AB712" s="194"/>
      <c r="AC712" s="194"/>
      <c r="AD712" s="194"/>
      <c r="AE712" s="194"/>
      <c r="AF712" s="194"/>
      <c r="AG712" s="194"/>
      <c r="AH712" s="194"/>
      <c r="AI712" s="194"/>
      <c r="AJ712" s="194"/>
      <c r="AK712" s="194"/>
      <c r="AL712" s="194"/>
      <c r="AM712" s="194"/>
      <c r="AN712" s="194"/>
      <c r="AO712" s="194"/>
    </row>
    <row r="713">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c r="AC713" s="194"/>
      <c r="AD713" s="194"/>
      <c r="AE713" s="194"/>
      <c r="AF713" s="194"/>
      <c r="AG713" s="194"/>
      <c r="AH713" s="194"/>
      <c r="AI713" s="194"/>
      <c r="AJ713" s="194"/>
      <c r="AK713" s="194"/>
      <c r="AL713" s="194"/>
      <c r="AM713" s="194"/>
      <c r="AN713" s="194"/>
      <c r="AO713" s="194"/>
    </row>
    <row r="714">
      <c r="A714" s="194"/>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c r="AA714" s="194"/>
      <c r="AB714" s="194"/>
      <c r="AC714" s="194"/>
      <c r="AD714" s="194"/>
      <c r="AE714" s="194"/>
      <c r="AF714" s="194"/>
      <c r="AG714" s="194"/>
      <c r="AH714" s="194"/>
      <c r="AI714" s="194"/>
      <c r="AJ714" s="194"/>
      <c r="AK714" s="194"/>
      <c r="AL714" s="194"/>
      <c r="AM714" s="194"/>
      <c r="AN714" s="194"/>
      <c r="AO714" s="194"/>
    </row>
    <row r="71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c r="AC715" s="194"/>
      <c r="AD715" s="194"/>
      <c r="AE715" s="194"/>
      <c r="AF715" s="194"/>
      <c r="AG715" s="194"/>
      <c r="AH715" s="194"/>
      <c r="AI715" s="194"/>
      <c r="AJ715" s="194"/>
      <c r="AK715" s="194"/>
      <c r="AL715" s="194"/>
      <c r="AM715" s="194"/>
      <c r="AN715" s="194"/>
      <c r="AO715" s="194"/>
    </row>
    <row r="716">
      <c r="A716" s="194"/>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c r="AA716" s="194"/>
      <c r="AB716" s="194"/>
      <c r="AC716" s="194"/>
      <c r="AD716" s="194"/>
      <c r="AE716" s="194"/>
      <c r="AF716" s="194"/>
      <c r="AG716" s="194"/>
      <c r="AH716" s="194"/>
      <c r="AI716" s="194"/>
      <c r="AJ716" s="194"/>
      <c r="AK716" s="194"/>
      <c r="AL716" s="194"/>
      <c r="AM716" s="194"/>
      <c r="AN716" s="194"/>
      <c r="AO716" s="194"/>
    </row>
    <row r="717">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c r="AC717" s="194"/>
      <c r="AD717" s="194"/>
      <c r="AE717" s="194"/>
      <c r="AF717" s="194"/>
      <c r="AG717" s="194"/>
      <c r="AH717" s="194"/>
      <c r="AI717" s="194"/>
      <c r="AJ717" s="194"/>
      <c r="AK717" s="194"/>
      <c r="AL717" s="194"/>
      <c r="AM717" s="194"/>
      <c r="AN717" s="194"/>
      <c r="AO717" s="194"/>
    </row>
    <row r="718">
      <c r="A718" s="194"/>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c r="AA718" s="194"/>
      <c r="AB718" s="194"/>
      <c r="AC718" s="194"/>
      <c r="AD718" s="194"/>
      <c r="AE718" s="194"/>
      <c r="AF718" s="194"/>
      <c r="AG718" s="194"/>
      <c r="AH718" s="194"/>
      <c r="AI718" s="194"/>
      <c r="AJ718" s="194"/>
      <c r="AK718" s="194"/>
      <c r="AL718" s="194"/>
      <c r="AM718" s="194"/>
      <c r="AN718" s="194"/>
      <c r="AO718" s="194"/>
    </row>
    <row r="719">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c r="AC719" s="194"/>
      <c r="AD719" s="194"/>
      <c r="AE719" s="194"/>
      <c r="AF719" s="194"/>
      <c r="AG719" s="194"/>
      <c r="AH719" s="194"/>
      <c r="AI719" s="194"/>
      <c r="AJ719" s="194"/>
      <c r="AK719" s="194"/>
      <c r="AL719" s="194"/>
      <c r="AM719" s="194"/>
      <c r="AN719" s="194"/>
      <c r="AO719" s="194"/>
    </row>
    <row r="720">
      <c r="A720" s="194"/>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c r="AA720" s="194"/>
      <c r="AB720" s="194"/>
      <c r="AC720" s="194"/>
      <c r="AD720" s="194"/>
      <c r="AE720" s="194"/>
      <c r="AF720" s="194"/>
      <c r="AG720" s="194"/>
      <c r="AH720" s="194"/>
      <c r="AI720" s="194"/>
      <c r="AJ720" s="194"/>
      <c r="AK720" s="194"/>
      <c r="AL720" s="194"/>
      <c r="AM720" s="194"/>
      <c r="AN720" s="194"/>
      <c r="AO720" s="194"/>
    </row>
    <row r="721">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c r="AC721" s="194"/>
      <c r="AD721" s="194"/>
      <c r="AE721" s="194"/>
      <c r="AF721" s="194"/>
      <c r="AG721" s="194"/>
      <c r="AH721" s="194"/>
      <c r="AI721" s="194"/>
      <c r="AJ721" s="194"/>
      <c r="AK721" s="194"/>
      <c r="AL721" s="194"/>
      <c r="AM721" s="194"/>
      <c r="AN721" s="194"/>
      <c r="AO721" s="194"/>
    </row>
    <row r="722">
      <c r="A722" s="194"/>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c r="AA722" s="194"/>
      <c r="AB722" s="194"/>
      <c r="AC722" s="194"/>
      <c r="AD722" s="194"/>
      <c r="AE722" s="194"/>
      <c r="AF722" s="194"/>
      <c r="AG722" s="194"/>
      <c r="AH722" s="194"/>
      <c r="AI722" s="194"/>
      <c r="AJ722" s="194"/>
      <c r="AK722" s="194"/>
      <c r="AL722" s="194"/>
      <c r="AM722" s="194"/>
      <c r="AN722" s="194"/>
      <c r="AO722" s="194"/>
    </row>
    <row r="723">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c r="AC723" s="194"/>
      <c r="AD723" s="194"/>
      <c r="AE723" s="194"/>
      <c r="AF723" s="194"/>
      <c r="AG723" s="194"/>
      <c r="AH723" s="194"/>
      <c r="AI723" s="194"/>
      <c r="AJ723" s="194"/>
      <c r="AK723" s="194"/>
      <c r="AL723" s="194"/>
      <c r="AM723" s="194"/>
      <c r="AN723" s="194"/>
      <c r="AO723" s="194"/>
    </row>
    <row r="724">
      <c r="A724" s="194"/>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c r="AA724" s="194"/>
      <c r="AB724" s="194"/>
      <c r="AC724" s="194"/>
      <c r="AD724" s="194"/>
      <c r="AE724" s="194"/>
      <c r="AF724" s="194"/>
      <c r="AG724" s="194"/>
      <c r="AH724" s="194"/>
      <c r="AI724" s="194"/>
      <c r="AJ724" s="194"/>
      <c r="AK724" s="194"/>
      <c r="AL724" s="194"/>
      <c r="AM724" s="194"/>
      <c r="AN724" s="194"/>
      <c r="AO724" s="194"/>
    </row>
    <row r="7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c r="AC725" s="194"/>
      <c r="AD725" s="194"/>
      <c r="AE725" s="194"/>
      <c r="AF725" s="194"/>
      <c r="AG725" s="194"/>
      <c r="AH725" s="194"/>
      <c r="AI725" s="194"/>
      <c r="AJ725" s="194"/>
      <c r="AK725" s="194"/>
      <c r="AL725" s="194"/>
      <c r="AM725" s="194"/>
      <c r="AN725" s="194"/>
      <c r="AO725" s="194"/>
    </row>
    <row r="726">
      <c r="A726" s="194"/>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c r="AA726" s="194"/>
      <c r="AB726" s="194"/>
      <c r="AC726" s="194"/>
      <c r="AD726" s="194"/>
      <c r="AE726" s="194"/>
      <c r="AF726" s="194"/>
      <c r="AG726" s="194"/>
      <c r="AH726" s="194"/>
      <c r="AI726" s="194"/>
      <c r="AJ726" s="194"/>
      <c r="AK726" s="194"/>
      <c r="AL726" s="194"/>
      <c r="AM726" s="194"/>
      <c r="AN726" s="194"/>
      <c r="AO726" s="194"/>
    </row>
    <row r="727">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c r="AC727" s="194"/>
      <c r="AD727" s="194"/>
      <c r="AE727" s="194"/>
      <c r="AF727" s="194"/>
      <c r="AG727" s="194"/>
      <c r="AH727" s="194"/>
      <c r="AI727" s="194"/>
      <c r="AJ727" s="194"/>
      <c r="AK727" s="194"/>
      <c r="AL727" s="194"/>
      <c r="AM727" s="194"/>
      <c r="AN727" s="194"/>
      <c r="AO727" s="194"/>
    </row>
    <row r="728">
      <c r="A728" s="194"/>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c r="AA728" s="194"/>
      <c r="AB728" s="194"/>
      <c r="AC728" s="194"/>
      <c r="AD728" s="194"/>
      <c r="AE728" s="194"/>
      <c r="AF728" s="194"/>
      <c r="AG728" s="194"/>
      <c r="AH728" s="194"/>
      <c r="AI728" s="194"/>
      <c r="AJ728" s="194"/>
      <c r="AK728" s="194"/>
      <c r="AL728" s="194"/>
      <c r="AM728" s="194"/>
      <c r="AN728" s="194"/>
      <c r="AO728" s="194"/>
    </row>
    <row r="729">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c r="AC729" s="194"/>
      <c r="AD729" s="194"/>
      <c r="AE729" s="194"/>
      <c r="AF729" s="194"/>
      <c r="AG729" s="194"/>
      <c r="AH729" s="194"/>
      <c r="AI729" s="194"/>
      <c r="AJ729" s="194"/>
      <c r="AK729" s="194"/>
      <c r="AL729" s="194"/>
      <c r="AM729" s="194"/>
      <c r="AN729" s="194"/>
      <c r="AO729" s="194"/>
    </row>
    <row r="730">
      <c r="A730" s="194"/>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c r="AA730" s="194"/>
      <c r="AB730" s="194"/>
      <c r="AC730" s="194"/>
      <c r="AD730" s="194"/>
      <c r="AE730" s="194"/>
      <c r="AF730" s="194"/>
      <c r="AG730" s="194"/>
      <c r="AH730" s="194"/>
      <c r="AI730" s="194"/>
      <c r="AJ730" s="194"/>
      <c r="AK730" s="194"/>
      <c r="AL730" s="194"/>
      <c r="AM730" s="194"/>
      <c r="AN730" s="194"/>
      <c r="AO730" s="194"/>
    </row>
    <row r="731">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c r="AC731" s="194"/>
      <c r="AD731" s="194"/>
      <c r="AE731" s="194"/>
      <c r="AF731" s="194"/>
      <c r="AG731" s="194"/>
      <c r="AH731" s="194"/>
      <c r="AI731" s="194"/>
      <c r="AJ731" s="194"/>
      <c r="AK731" s="194"/>
      <c r="AL731" s="194"/>
      <c r="AM731" s="194"/>
      <c r="AN731" s="194"/>
      <c r="AO731" s="194"/>
    </row>
    <row r="732">
      <c r="A732" s="194"/>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c r="AA732" s="194"/>
      <c r="AB732" s="194"/>
      <c r="AC732" s="194"/>
      <c r="AD732" s="194"/>
      <c r="AE732" s="194"/>
      <c r="AF732" s="194"/>
      <c r="AG732" s="194"/>
      <c r="AH732" s="194"/>
      <c r="AI732" s="194"/>
      <c r="AJ732" s="194"/>
      <c r="AK732" s="194"/>
      <c r="AL732" s="194"/>
      <c r="AM732" s="194"/>
      <c r="AN732" s="194"/>
      <c r="AO732" s="194"/>
    </row>
    <row r="733">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c r="AC733" s="194"/>
      <c r="AD733" s="194"/>
      <c r="AE733" s="194"/>
      <c r="AF733" s="194"/>
      <c r="AG733" s="194"/>
      <c r="AH733" s="194"/>
      <c r="AI733" s="194"/>
      <c r="AJ733" s="194"/>
      <c r="AK733" s="194"/>
      <c r="AL733" s="194"/>
      <c r="AM733" s="194"/>
      <c r="AN733" s="194"/>
      <c r="AO733" s="194"/>
    </row>
    <row r="734">
      <c r="A734" s="194"/>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c r="AA734" s="194"/>
      <c r="AB734" s="194"/>
      <c r="AC734" s="194"/>
      <c r="AD734" s="194"/>
      <c r="AE734" s="194"/>
      <c r="AF734" s="194"/>
      <c r="AG734" s="194"/>
      <c r="AH734" s="194"/>
      <c r="AI734" s="194"/>
      <c r="AJ734" s="194"/>
      <c r="AK734" s="194"/>
      <c r="AL734" s="194"/>
      <c r="AM734" s="194"/>
      <c r="AN734" s="194"/>
      <c r="AO734" s="194"/>
    </row>
    <row r="73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c r="AC735" s="194"/>
      <c r="AD735" s="194"/>
      <c r="AE735" s="194"/>
      <c r="AF735" s="194"/>
      <c r="AG735" s="194"/>
      <c r="AH735" s="194"/>
      <c r="AI735" s="194"/>
      <c r="AJ735" s="194"/>
      <c r="AK735" s="194"/>
      <c r="AL735" s="194"/>
      <c r="AM735" s="194"/>
      <c r="AN735" s="194"/>
      <c r="AO735" s="194"/>
    </row>
    <row r="736">
      <c r="A736" s="194"/>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c r="AA736" s="194"/>
      <c r="AB736" s="194"/>
      <c r="AC736" s="194"/>
      <c r="AD736" s="194"/>
      <c r="AE736" s="194"/>
      <c r="AF736" s="194"/>
      <c r="AG736" s="194"/>
      <c r="AH736" s="194"/>
      <c r="AI736" s="194"/>
      <c r="AJ736" s="194"/>
      <c r="AK736" s="194"/>
      <c r="AL736" s="194"/>
      <c r="AM736" s="194"/>
      <c r="AN736" s="194"/>
      <c r="AO736" s="194"/>
    </row>
    <row r="737">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c r="AC737" s="194"/>
      <c r="AD737" s="194"/>
      <c r="AE737" s="194"/>
      <c r="AF737" s="194"/>
      <c r="AG737" s="194"/>
      <c r="AH737" s="194"/>
      <c r="AI737" s="194"/>
      <c r="AJ737" s="194"/>
      <c r="AK737" s="194"/>
      <c r="AL737" s="194"/>
      <c r="AM737" s="194"/>
      <c r="AN737" s="194"/>
      <c r="AO737" s="194"/>
    </row>
    <row r="738">
      <c r="A738" s="194"/>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c r="AA738" s="194"/>
      <c r="AB738" s="194"/>
      <c r="AC738" s="194"/>
      <c r="AD738" s="194"/>
      <c r="AE738" s="194"/>
      <c r="AF738" s="194"/>
      <c r="AG738" s="194"/>
      <c r="AH738" s="194"/>
      <c r="AI738" s="194"/>
      <c r="AJ738" s="194"/>
      <c r="AK738" s="194"/>
      <c r="AL738" s="194"/>
      <c r="AM738" s="194"/>
      <c r="AN738" s="194"/>
      <c r="AO738" s="194"/>
    </row>
    <row r="739">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c r="AC739" s="194"/>
      <c r="AD739" s="194"/>
      <c r="AE739" s="194"/>
      <c r="AF739" s="194"/>
      <c r="AG739" s="194"/>
      <c r="AH739" s="194"/>
      <c r="AI739" s="194"/>
      <c r="AJ739" s="194"/>
      <c r="AK739" s="194"/>
      <c r="AL739" s="194"/>
      <c r="AM739" s="194"/>
      <c r="AN739" s="194"/>
      <c r="AO739" s="194"/>
    </row>
    <row r="740">
      <c r="A740" s="194"/>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c r="AA740" s="194"/>
      <c r="AB740" s="194"/>
      <c r="AC740" s="194"/>
      <c r="AD740" s="194"/>
      <c r="AE740" s="194"/>
      <c r="AF740" s="194"/>
      <c r="AG740" s="194"/>
      <c r="AH740" s="194"/>
      <c r="AI740" s="194"/>
      <c r="AJ740" s="194"/>
      <c r="AK740" s="194"/>
      <c r="AL740" s="194"/>
      <c r="AM740" s="194"/>
      <c r="AN740" s="194"/>
      <c r="AO740" s="194"/>
    </row>
    <row r="741">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c r="AC741" s="194"/>
      <c r="AD741" s="194"/>
      <c r="AE741" s="194"/>
      <c r="AF741" s="194"/>
      <c r="AG741" s="194"/>
      <c r="AH741" s="194"/>
      <c r="AI741" s="194"/>
      <c r="AJ741" s="194"/>
      <c r="AK741" s="194"/>
      <c r="AL741" s="194"/>
      <c r="AM741" s="194"/>
      <c r="AN741" s="194"/>
      <c r="AO741" s="194"/>
    </row>
    <row r="742">
      <c r="A742" s="194"/>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c r="AA742" s="194"/>
      <c r="AB742" s="194"/>
      <c r="AC742" s="194"/>
      <c r="AD742" s="194"/>
      <c r="AE742" s="194"/>
      <c r="AF742" s="194"/>
      <c r="AG742" s="194"/>
      <c r="AH742" s="194"/>
      <c r="AI742" s="194"/>
      <c r="AJ742" s="194"/>
      <c r="AK742" s="194"/>
      <c r="AL742" s="194"/>
      <c r="AM742" s="194"/>
      <c r="AN742" s="194"/>
      <c r="AO742" s="194"/>
    </row>
    <row r="743">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c r="AC743" s="194"/>
      <c r="AD743" s="194"/>
      <c r="AE743" s="194"/>
      <c r="AF743" s="194"/>
      <c r="AG743" s="194"/>
      <c r="AH743" s="194"/>
      <c r="AI743" s="194"/>
      <c r="AJ743" s="194"/>
      <c r="AK743" s="194"/>
      <c r="AL743" s="194"/>
      <c r="AM743" s="194"/>
      <c r="AN743" s="194"/>
      <c r="AO743" s="194"/>
    </row>
    <row r="744">
      <c r="A744" s="194"/>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c r="AA744" s="194"/>
      <c r="AB744" s="194"/>
      <c r="AC744" s="194"/>
      <c r="AD744" s="194"/>
      <c r="AE744" s="194"/>
      <c r="AF744" s="194"/>
      <c r="AG744" s="194"/>
      <c r="AH744" s="194"/>
      <c r="AI744" s="194"/>
      <c r="AJ744" s="194"/>
      <c r="AK744" s="194"/>
      <c r="AL744" s="194"/>
      <c r="AM744" s="194"/>
      <c r="AN744" s="194"/>
      <c r="AO744" s="194"/>
    </row>
    <row r="74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c r="AC745" s="194"/>
      <c r="AD745" s="194"/>
      <c r="AE745" s="194"/>
      <c r="AF745" s="194"/>
      <c r="AG745" s="194"/>
      <c r="AH745" s="194"/>
      <c r="AI745" s="194"/>
      <c r="AJ745" s="194"/>
      <c r="AK745" s="194"/>
      <c r="AL745" s="194"/>
      <c r="AM745" s="194"/>
      <c r="AN745" s="194"/>
      <c r="AO745" s="194"/>
    </row>
    <row r="746">
      <c r="A746" s="194"/>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c r="AA746" s="194"/>
      <c r="AB746" s="194"/>
      <c r="AC746" s="194"/>
      <c r="AD746" s="194"/>
      <c r="AE746" s="194"/>
      <c r="AF746" s="194"/>
      <c r="AG746" s="194"/>
      <c r="AH746" s="194"/>
      <c r="AI746" s="194"/>
      <c r="AJ746" s="194"/>
      <c r="AK746" s="194"/>
      <c r="AL746" s="194"/>
      <c r="AM746" s="194"/>
      <c r="AN746" s="194"/>
      <c r="AO746" s="194"/>
    </row>
    <row r="747">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c r="AC747" s="194"/>
      <c r="AD747" s="194"/>
      <c r="AE747" s="194"/>
      <c r="AF747" s="194"/>
      <c r="AG747" s="194"/>
      <c r="AH747" s="194"/>
      <c r="AI747" s="194"/>
      <c r="AJ747" s="194"/>
      <c r="AK747" s="194"/>
      <c r="AL747" s="194"/>
      <c r="AM747" s="194"/>
      <c r="AN747" s="194"/>
      <c r="AO747" s="194"/>
    </row>
    <row r="748">
      <c r="A748" s="194"/>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c r="AA748" s="194"/>
      <c r="AB748" s="194"/>
      <c r="AC748" s="194"/>
      <c r="AD748" s="194"/>
      <c r="AE748" s="194"/>
      <c r="AF748" s="194"/>
      <c r="AG748" s="194"/>
      <c r="AH748" s="194"/>
      <c r="AI748" s="194"/>
      <c r="AJ748" s="194"/>
      <c r="AK748" s="194"/>
      <c r="AL748" s="194"/>
      <c r="AM748" s="194"/>
      <c r="AN748" s="194"/>
      <c r="AO748" s="194"/>
    </row>
    <row r="749">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c r="AC749" s="194"/>
      <c r="AD749" s="194"/>
      <c r="AE749" s="194"/>
      <c r="AF749" s="194"/>
      <c r="AG749" s="194"/>
      <c r="AH749" s="194"/>
      <c r="AI749" s="194"/>
      <c r="AJ749" s="194"/>
      <c r="AK749" s="194"/>
      <c r="AL749" s="194"/>
      <c r="AM749" s="194"/>
      <c r="AN749" s="194"/>
      <c r="AO749" s="194"/>
    </row>
    <row r="750">
      <c r="A750" s="194"/>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c r="AA750" s="194"/>
      <c r="AB750" s="194"/>
      <c r="AC750" s="194"/>
      <c r="AD750" s="194"/>
      <c r="AE750" s="194"/>
      <c r="AF750" s="194"/>
      <c r="AG750" s="194"/>
      <c r="AH750" s="194"/>
      <c r="AI750" s="194"/>
      <c r="AJ750" s="194"/>
      <c r="AK750" s="194"/>
      <c r="AL750" s="194"/>
      <c r="AM750" s="194"/>
      <c r="AN750" s="194"/>
      <c r="AO750" s="194"/>
    </row>
    <row r="751">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c r="AC751" s="194"/>
      <c r="AD751" s="194"/>
      <c r="AE751" s="194"/>
      <c r="AF751" s="194"/>
      <c r="AG751" s="194"/>
      <c r="AH751" s="194"/>
      <c r="AI751" s="194"/>
      <c r="AJ751" s="194"/>
      <c r="AK751" s="194"/>
      <c r="AL751" s="194"/>
      <c r="AM751" s="194"/>
      <c r="AN751" s="194"/>
      <c r="AO751" s="194"/>
    </row>
    <row r="752">
      <c r="A752" s="194"/>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c r="AA752" s="194"/>
      <c r="AB752" s="194"/>
      <c r="AC752" s="194"/>
      <c r="AD752" s="194"/>
      <c r="AE752" s="194"/>
      <c r="AF752" s="194"/>
      <c r="AG752" s="194"/>
      <c r="AH752" s="194"/>
      <c r="AI752" s="194"/>
      <c r="AJ752" s="194"/>
      <c r="AK752" s="194"/>
      <c r="AL752" s="194"/>
      <c r="AM752" s="194"/>
      <c r="AN752" s="194"/>
      <c r="AO752" s="194"/>
    </row>
    <row r="753">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c r="AC753" s="194"/>
      <c r="AD753" s="194"/>
      <c r="AE753" s="194"/>
      <c r="AF753" s="194"/>
      <c r="AG753" s="194"/>
      <c r="AH753" s="194"/>
      <c r="AI753" s="194"/>
      <c r="AJ753" s="194"/>
      <c r="AK753" s="194"/>
      <c r="AL753" s="194"/>
      <c r="AM753" s="194"/>
      <c r="AN753" s="194"/>
      <c r="AO753" s="194"/>
    </row>
    <row r="754">
      <c r="A754" s="194"/>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c r="AA754" s="194"/>
      <c r="AB754" s="194"/>
      <c r="AC754" s="194"/>
      <c r="AD754" s="194"/>
      <c r="AE754" s="194"/>
      <c r="AF754" s="194"/>
      <c r="AG754" s="194"/>
      <c r="AH754" s="194"/>
      <c r="AI754" s="194"/>
      <c r="AJ754" s="194"/>
      <c r="AK754" s="194"/>
      <c r="AL754" s="194"/>
      <c r="AM754" s="194"/>
      <c r="AN754" s="194"/>
      <c r="AO754" s="194"/>
    </row>
    <row r="75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c r="AC755" s="194"/>
      <c r="AD755" s="194"/>
      <c r="AE755" s="194"/>
      <c r="AF755" s="194"/>
      <c r="AG755" s="194"/>
      <c r="AH755" s="194"/>
      <c r="AI755" s="194"/>
      <c r="AJ755" s="194"/>
      <c r="AK755" s="194"/>
      <c r="AL755" s="194"/>
      <c r="AM755" s="194"/>
      <c r="AN755" s="194"/>
      <c r="AO755" s="194"/>
    </row>
    <row r="756">
      <c r="A756" s="194"/>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c r="AA756" s="194"/>
      <c r="AB756" s="194"/>
      <c r="AC756" s="194"/>
      <c r="AD756" s="194"/>
      <c r="AE756" s="194"/>
      <c r="AF756" s="194"/>
      <c r="AG756" s="194"/>
      <c r="AH756" s="194"/>
      <c r="AI756" s="194"/>
      <c r="AJ756" s="194"/>
      <c r="AK756" s="194"/>
      <c r="AL756" s="194"/>
      <c r="AM756" s="194"/>
      <c r="AN756" s="194"/>
      <c r="AO756" s="194"/>
    </row>
    <row r="757">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c r="AC757" s="194"/>
      <c r="AD757" s="194"/>
      <c r="AE757" s="194"/>
      <c r="AF757" s="194"/>
      <c r="AG757" s="194"/>
      <c r="AH757" s="194"/>
      <c r="AI757" s="194"/>
      <c r="AJ757" s="194"/>
      <c r="AK757" s="194"/>
      <c r="AL757" s="194"/>
      <c r="AM757" s="194"/>
      <c r="AN757" s="194"/>
      <c r="AO757" s="194"/>
    </row>
    <row r="758">
      <c r="A758" s="194"/>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c r="AA758" s="194"/>
      <c r="AB758" s="194"/>
      <c r="AC758" s="194"/>
      <c r="AD758" s="194"/>
      <c r="AE758" s="194"/>
      <c r="AF758" s="194"/>
      <c r="AG758" s="194"/>
      <c r="AH758" s="194"/>
      <c r="AI758" s="194"/>
      <c r="AJ758" s="194"/>
      <c r="AK758" s="194"/>
      <c r="AL758" s="194"/>
      <c r="AM758" s="194"/>
      <c r="AN758" s="194"/>
      <c r="AO758" s="194"/>
    </row>
    <row r="759">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c r="AC759" s="194"/>
      <c r="AD759" s="194"/>
      <c r="AE759" s="194"/>
      <c r="AF759" s="194"/>
      <c r="AG759" s="194"/>
      <c r="AH759" s="194"/>
      <c r="AI759" s="194"/>
      <c r="AJ759" s="194"/>
      <c r="AK759" s="194"/>
      <c r="AL759" s="194"/>
      <c r="AM759" s="194"/>
      <c r="AN759" s="194"/>
      <c r="AO759" s="194"/>
    </row>
    <row r="760">
      <c r="A760" s="194"/>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c r="AA760" s="194"/>
      <c r="AB760" s="194"/>
      <c r="AC760" s="194"/>
      <c r="AD760" s="194"/>
      <c r="AE760" s="194"/>
      <c r="AF760" s="194"/>
      <c r="AG760" s="194"/>
      <c r="AH760" s="194"/>
      <c r="AI760" s="194"/>
      <c r="AJ760" s="194"/>
      <c r="AK760" s="194"/>
      <c r="AL760" s="194"/>
      <c r="AM760" s="194"/>
      <c r="AN760" s="194"/>
      <c r="AO760" s="194"/>
    </row>
    <row r="761">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c r="AC761" s="194"/>
      <c r="AD761" s="194"/>
      <c r="AE761" s="194"/>
      <c r="AF761" s="194"/>
      <c r="AG761" s="194"/>
      <c r="AH761" s="194"/>
      <c r="AI761" s="194"/>
      <c r="AJ761" s="194"/>
      <c r="AK761" s="194"/>
      <c r="AL761" s="194"/>
      <c r="AM761" s="194"/>
      <c r="AN761" s="194"/>
      <c r="AO761" s="194"/>
    </row>
    <row r="762">
      <c r="A762" s="194"/>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c r="AA762" s="194"/>
      <c r="AB762" s="194"/>
      <c r="AC762" s="194"/>
      <c r="AD762" s="194"/>
      <c r="AE762" s="194"/>
      <c r="AF762" s="194"/>
      <c r="AG762" s="194"/>
      <c r="AH762" s="194"/>
      <c r="AI762" s="194"/>
      <c r="AJ762" s="194"/>
      <c r="AK762" s="194"/>
      <c r="AL762" s="194"/>
      <c r="AM762" s="194"/>
      <c r="AN762" s="194"/>
      <c r="AO762" s="194"/>
    </row>
    <row r="763">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c r="AC763" s="194"/>
      <c r="AD763" s="194"/>
      <c r="AE763" s="194"/>
      <c r="AF763" s="194"/>
      <c r="AG763" s="194"/>
      <c r="AH763" s="194"/>
      <c r="AI763" s="194"/>
      <c r="AJ763" s="194"/>
      <c r="AK763" s="194"/>
      <c r="AL763" s="194"/>
      <c r="AM763" s="194"/>
      <c r="AN763" s="194"/>
      <c r="AO763" s="194"/>
    </row>
    <row r="764">
      <c r="A764" s="194"/>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c r="AA764" s="194"/>
      <c r="AB764" s="194"/>
      <c r="AC764" s="194"/>
      <c r="AD764" s="194"/>
      <c r="AE764" s="194"/>
      <c r="AF764" s="194"/>
      <c r="AG764" s="194"/>
      <c r="AH764" s="194"/>
      <c r="AI764" s="194"/>
      <c r="AJ764" s="194"/>
      <c r="AK764" s="194"/>
      <c r="AL764" s="194"/>
      <c r="AM764" s="194"/>
      <c r="AN764" s="194"/>
      <c r="AO764" s="194"/>
    </row>
    <row r="76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c r="AC765" s="194"/>
      <c r="AD765" s="194"/>
      <c r="AE765" s="194"/>
      <c r="AF765" s="194"/>
      <c r="AG765" s="194"/>
      <c r="AH765" s="194"/>
      <c r="AI765" s="194"/>
      <c r="AJ765" s="194"/>
      <c r="AK765" s="194"/>
      <c r="AL765" s="194"/>
      <c r="AM765" s="194"/>
      <c r="AN765" s="194"/>
      <c r="AO765" s="194"/>
    </row>
    <row r="766">
      <c r="A766" s="194"/>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c r="AA766" s="194"/>
      <c r="AB766" s="194"/>
      <c r="AC766" s="194"/>
      <c r="AD766" s="194"/>
      <c r="AE766" s="194"/>
      <c r="AF766" s="194"/>
      <c r="AG766" s="194"/>
      <c r="AH766" s="194"/>
      <c r="AI766" s="194"/>
      <c r="AJ766" s="194"/>
      <c r="AK766" s="194"/>
      <c r="AL766" s="194"/>
      <c r="AM766" s="194"/>
      <c r="AN766" s="194"/>
      <c r="AO766" s="194"/>
    </row>
    <row r="767">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c r="AC767" s="194"/>
      <c r="AD767" s="194"/>
      <c r="AE767" s="194"/>
      <c r="AF767" s="194"/>
      <c r="AG767" s="194"/>
      <c r="AH767" s="194"/>
      <c r="AI767" s="194"/>
      <c r="AJ767" s="194"/>
      <c r="AK767" s="194"/>
      <c r="AL767" s="194"/>
      <c r="AM767" s="194"/>
      <c r="AN767" s="194"/>
      <c r="AO767" s="194"/>
    </row>
    <row r="768">
      <c r="A768" s="194"/>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c r="AA768" s="194"/>
      <c r="AB768" s="194"/>
      <c r="AC768" s="194"/>
      <c r="AD768" s="194"/>
      <c r="AE768" s="194"/>
      <c r="AF768" s="194"/>
      <c r="AG768" s="194"/>
      <c r="AH768" s="194"/>
      <c r="AI768" s="194"/>
      <c r="AJ768" s="194"/>
      <c r="AK768" s="194"/>
      <c r="AL768" s="194"/>
      <c r="AM768" s="194"/>
      <c r="AN768" s="194"/>
      <c r="AO768" s="194"/>
    </row>
    <row r="769">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c r="AC769" s="194"/>
      <c r="AD769" s="194"/>
      <c r="AE769" s="194"/>
      <c r="AF769" s="194"/>
      <c r="AG769" s="194"/>
      <c r="AH769" s="194"/>
      <c r="AI769" s="194"/>
      <c r="AJ769" s="194"/>
      <c r="AK769" s="194"/>
      <c r="AL769" s="194"/>
      <c r="AM769" s="194"/>
      <c r="AN769" s="194"/>
      <c r="AO769" s="194"/>
    </row>
    <row r="770">
      <c r="A770" s="194"/>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c r="AA770" s="194"/>
      <c r="AB770" s="194"/>
      <c r="AC770" s="194"/>
      <c r="AD770" s="194"/>
      <c r="AE770" s="194"/>
      <c r="AF770" s="194"/>
      <c r="AG770" s="194"/>
      <c r="AH770" s="194"/>
      <c r="AI770" s="194"/>
      <c r="AJ770" s="194"/>
      <c r="AK770" s="194"/>
      <c r="AL770" s="194"/>
      <c r="AM770" s="194"/>
      <c r="AN770" s="194"/>
      <c r="AO770" s="194"/>
    </row>
    <row r="771">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c r="AC771" s="194"/>
      <c r="AD771" s="194"/>
      <c r="AE771" s="194"/>
      <c r="AF771" s="194"/>
      <c r="AG771" s="194"/>
      <c r="AH771" s="194"/>
      <c r="AI771" s="194"/>
      <c r="AJ771" s="194"/>
      <c r="AK771" s="194"/>
      <c r="AL771" s="194"/>
      <c r="AM771" s="194"/>
      <c r="AN771" s="194"/>
      <c r="AO771" s="194"/>
    </row>
    <row r="772">
      <c r="A772" s="194"/>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c r="AA772" s="194"/>
      <c r="AB772" s="194"/>
      <c r="AC772" s="194"/>
      <c r="AD772" s="194"/>
      <c r="AE772" s="194"/>
      <c r="AF772" s="194"/>
      <c r="AG772" s="194"/>
      <c r="AH772" s="194"/>
      <c r="AI772" s="194"/>
      <c r="AJ772" s="194"/>
      <c r="AK772" s="194"/>
      <c r="AL772" s="194"/>
      <c r="AM772" s="194"/>
      <c r="AN772" s="194"/>
      <c r="AO772" s="194"/>
    </row>
    <row r="773">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c r="AC773" s="194"/>
      <c r="AD773" s="194"/>
      <c r="AE773" s="194"/>
      <c r="AF773" s="194"/>
      <c r="AG773" s="194"/>
      <c r="AH773" s="194"/>
      <c r="AI773" s="194"/>
      <c r="AJ773" s="194"/>
      <c r="AK773" s="194"/>
      <c r="AL773" s="194"/>
      <c r="AM773" s="194"/>
      <c r="AN773" s="194"/>
      <c r="AO773" s="194"/>
    </row>
    <row r="774">
      <c r="A774" s="194"/>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c r="AA774" s="194"/>
      <c r="AB774" s="194"/>
      <c r="AC774" s="194"/>
      <c r="AD774" s="194"/>
      <c r="AE774" s="194"/>
      <c r="AF774" s="194"/>
      <c r="AG774" s="194"/>
      <c r="AH774" s="194"/>
      <c r="AI774" s="194"/>
      <c r="AJ774" s="194"/>
      <c r="AK774" s="194"/>
      <c r="AL774" s="194"/>
      <c r="AM774" s="194"/>
      <c r="AN774" s="194"/>
      <c r="AO774" s="194"/>
    </row>
    <row r="77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c r="AC775" s="194"/>
      <c r="AD775" s="194"/>
      <c r="AE775" s="194"/>
      <c r="AF775" s="194"/>
      <c r="AG775" s="194"/>
      <c r="AH775" s="194"/>
      <c r="AI775" s="194"/>
      <c r="AJ775" s="194"/>
      <c r="AK775" s="194"/>
      <c r="AL775" s="194"/>
      <c r="AM775" s="194"/>
      <c r="AN775" s="194"/>
      <c r="AO775" s="194"/>
    </row>
    <row r="776">
      <c r="A776" s="194"/>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c r="AA776" s="194"/>
      <c r="AB776" s="194"/>
      <c r="AC776" s="194"/>
      <c r="AD776" s="194"/>
      <c r="AE776" s="194"/>
      <c r="AF776" s="194"/>
      <c r="AG776" s="194"/>
      <c r="AH776" s="194"/>
      <c r="AI776" s="194"/>
      <c r="AJ776" s="194"/>
      <c r="AK776" s="194"/>
      <c r="AL776" s="194"/>
      <c r="AM776" s="194"/>
      <c r="AN776" s="194"/>
      <c r="AO776" s="194"/>
    </row>
    <row r="777">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c r="AC777" s="194"/>
      <c r="AD777" s="194"/>
      <c r="AE777" s="194"/>
      <c r="AF777" s="194"/>
      <c r="AG777" s="194"/>
      <c r="AH777" s="194"/>
      <c r="AI777" s="194"/>
      <c r="AJ777" s="194"/>
      <c r="AK777" s="194"/>
      <c r="AL777" s="194"/>
      <c r="AM777" s="194"/>
      <c r="AN777" s="194"/>
      <c r="AO777" s="194"/>
    </row>
    <row r="778">
      <c r="A778" s="194"/>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c r="AA778" s="194"/>
      <c r="AB778" s="194"/>
      <c r="AC778" s="194"/>
      <c r="AD778" s="194"/>
      <c r="AE778" s="194"/>
      <c r="AF778" s="194"/>
      <c r="AG778" s="194"/>
      <c r="AH778" s="194"/>
      <c r="AI778" s="194"/>
      <c r="AJ778" s="194"/>
      <c r="AK778" s="194"/>
      <c r="AL778" s="194"/>
      <c r="AM778" s="194"/>
      <c r="AN778" s="194"/>
      <c r="AO778" s="194"/>
    </row>
    <row r="779">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c r="AC779" s="194"/>
      <c r="AD779" s="194"/>
      <c r="AE779" s="194"/>
      <c r="AF779" s="194"/>
      <c r="AG779" s="194"/>
      <c r="AH779" s="194"/>
      <c r="AI779" s="194"/>
      <c r="AJ779" s="194"/>
      <c r="AK779" s="194"/>
      <c r="AL779" s="194"/>
      <c r="AM779" s="194"/>
      <c r="AN779" s="194"/>
      <c r="AO779" s="194"/>
    </row>
    <row r="780">
      <c r="A780" s="194"/>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c r="AA780" s="194"/>
      <c r="AB780" s="194"/>
      <c r="AC780" s="194"/>
      <c r="AD780" s="194"/>
      <c r="AE780" s="194"/>
      <c r="AF780" s="194"/>
      <c r="AG780" s="194"/>
      <c r="AH780" s="194"/>
      <c r="AI780" s="194"/>
      <c r="AJ780" s="194"/>
      <c r="AK780" s="194"/>
      <c r="AL780" s="194"/>
      <c r="AM780" s="194"/>
      <c r="AN780" s="194"/>
      <c r="AO780" s="194"/>
    </row>
    <row r="781">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c r="AC781" s="194"/>
      <c r="AD781" s="194"/>
      <c r="AE781" s="194"/>
      <c r="AF781" s="194"/>
      <c r="AG781" s="194"/>
      <c r="AH781" s="194"/>
      <c r="AI781" s="194"/>
      <c r="AJ781" s="194"/>
      <c r="AK781" s="194"/>
      <c r="AL781" s="194"/>
      <c r="AM781" s="194"/>
      <c r="AN781" s="194"/>
      <c r="AO781" s="194"/>
    </row>
    <row r="782">
      <c r="A782" s="194"/>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c r="AA782" s="194"/>
      <c r="AB782" s="194"/>
      <c r="AC782" s="194"/>
      <c r="AD782" s="194"/>
      <c r="AE782" s="194"/>
      <c r="AF782" s="194"/>
      <c r="AG782" s="194"/>
      <c r="AH782" s="194"/>
      <c r="AI782" s="194"/>
      <c r="AJ782" s="194"/>
      <c r="AK782" s="194"/>
      <c r="AL782" s="194"/>
      <c r="AM782" s="194"/>
      <c r="AN782" s="194"/>
      <c r="AO782" s="194"/>
    </row>
    <row r="783">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c r="AC783" s="194"/>
      <c r="AD783" s="194"/>
      <c r="AE783" s="194"/>
      <c r="AF783" s="194"/>
      <c r="AG783" s="194"/>
      <c r="AH783" s="194"/>
      <c r="AI783" s="194"/>
      <c r="AJ783" s="194"/>
      <c r="AK783" s="194"/>
      <c r="AL783" s="194"/>
      <c r="AM783" s="194"/>
      <c r="AN783" s="194"/>
      <c r="AO783" s="194"/>
    </row>
    <row r="784">
      <c r="A784" s="194"/>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c r="AA784" s="194"/>
      <c r="AB784" s="194"/>
      <c r="AC784" s="194"/>
      <c r="AD784" s="194"/>
      <c r="AE784" s="194"/>
      <c r="AF784" s="194"/>
      <c r="AG784" s="194"/>
      <c r="AH784" s="194"/>
      <c r="AI784" s="194"/>
      <c r="AJ784" s="194"/>
      <c r="AK784" s="194"/>
      <c r="AL784" s="194"/>
      <c r="AM784" s="194"/>
      <c r="AN784" s="194"/>
      <c r="AO784" s="194"/>
    </row>
    <row r="78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c r="AC785" s="194"/>
      <c r="AD785" s="194"/>
      <c r="AE785" s="194"/>
      <c r="AF785" s="194"/>
      <c r="AG785" s="194"/>
      <c r="AH785" s="194"/>
      <c r="AI785" s="194"/>
      <c r="AJ785" s="194"/>
      <c r="AK785" s="194"/>
      <c r="AL785" s="194"/>
      <c r="AM785" s="194"/>
      <c r="AN785" s="194"/>
      <c r="AO785" s="194"/>
    </row>
    <row r="786">
      <c r="A786" s="194"/>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c r="AA786" s="194"/>
      <c r="AB786" s="194"/>
      <c r="AC786" s="194"/>
      <c r="AD786" s="194"/>
      <c r="AE786" s="194"/>
      <c r="AF786" s="194"/>
      <c r="AG786" s="194"/>
      <c r="AH786" s="194"/>
      <c r="AI786" s="194"/>
      <c r="AJ786" s="194"/>
      <c r="AK786" s="194"/>
      <c r="AL786" s="194"/>
      <c r="AM786" s="194"/>
      <c r="AN786" s="194"/>
      <c r="AO786" s="194"/>
    </row>
    <row r="787">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c r="AC787" s="194"/>
      <c r="AD787" s="194"/>
      <c r="AE787" s="194"/>
      <c r="AF787" s="194"/>
      <c r="AG787" s="194"/>
      <c r="AH787" s="194"/>
      <c r="AI787" s="194"/>
      <c r="AJ787" s="194"/>
      <c r="AK787" s="194"/>
      <c r="AL787" s="194"/>
      <c r="AM787" s="194"/>
      <c r="AN787" s="194"/>
      <c r="AO787" s="194"/>
    </row>
    <row r="788">
      <c r="A788" s="194"/>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c r="AA788" s="194"/>
      <c r="AB788" s="194"/>
      <c r="AC788" s="194"/>
      <c r="AD788" s="194"/>
      <c r="AE788" s="194"/>
      <c r="AF788" s="194"/>
      <c r="AG788" s="194"/>
      <c r="AH788" s="194"/>
      <c r="AI788" s="194"/>
      <c r="AJ788" s="194"/>
      <c r="AK788" s="194"/>
      <c r="AL788" s="194"/>
      <c r="AM788" s="194"/>
      <c r="AN788" s="194"/>
      <c r="AO788" s="194"/>
    </row>
    <row r="789">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c r="AC789" s="194"/>
      <c r="AD789" s="194"/>
      <c r="AE789" s="194"/>
      <c r="AF789" s="194"/>
      <c r="AG789" s="194"/>
      <c r="AH789" s="194"/>
      <c r="AI789" s="194"/>
      <c r="AJ789" s="194"/>
      <c r="AK789" s="194"/>
      <c r="AL789" s="194"/>
      <c r="AM789" s="194"/>
      <c r="AN789" s="194"/>
      <c r="AO789" s="194"/>
    </row>
    <row r="790">
      <c r="A790" s="194"/>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c r="AA790" s="194"/>
      <c r="AB790" s="194"/>
      <c r="AC790" s="194"/>
      <c r="AD790" s="194"/>
      <c r="AE790" s="194"/>
      <c r="AF790" s="194"/>
      <c r="AG790" s="194"/>
      <c r="AH790" s="194"/>
      <c r="AI790" s="194"/>
      <c r="AJ790" s="194"/>
      <c r="AK790" s="194"/>
      <c r="AL790" s="194"/>
      <c r="AM790" s="194"/>
      <c r="AN790" s="194"/>
      <c r="AO790" s="194"/>
    </row>
    <row r="791">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c r="AC791" s="194"/>
      <c r="AD791" s="194"/>
      <c r="AE791" s="194"/>
      <c r="AF791" s="194"/>
      <c r="AG791" s="194"/>
      <c r="AH791" s="194"/>
      <c r="AI791" s="194"/>
      <c r="AJ791" s="194"/>
      <c r="AK791" s="194"/>
      <c r="AL791" s="194"/>
      <c r="AM791" s="194"/>
      <c r="AN791" s="194"/>
      <c r="AO791" s="194"/>
    </row>
    <row r="792">
      <c r="A792" s="194"/>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c r="AA792" s="194"/>
      <c r="AB792" s="194"/>
      <c r="AC792" s="194"/>
      <c r="AD792" s="194"/>
      <c r="AE792" s="194"/>
      <c r="AF792" s="194"/>
      <c r="AG792" s="194"/>
      <c r="AH792" s="194"/>
      <c r="AI792" s="194"/>
      <c r="AJ792" s="194"/>
      <c r="AK792" s="194"/>
      <c r="AL792" s="194"/>
      <c r="AM792" s="194"/>
      <c r="AN792" s="194"/>
      <c r="AO792" s="194"/>
    </row>
    <row r="793">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c r="AC793" s="194"/>
      <c r="AD793" s="194"/>
      <c r="AE793" s="194"/>
      <c r="AF793" s="194"/>
      <c r="AG793" s="194"/>
      <c r="AH793" s="194"/>
      <c r="AI793" s="194"/>
      <c r="AJ793" s="194"/>
      <c r="AK793" s="194"/>
      <c r="AL793" s="194"/>
      <c r="AM793" s="194"/>
      <c r="AN793" s="194"/>
      <c r="AO793" s="194"/>
    </row>
    <row r="794">
      <c r="A794" s="194"/>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c r="AA794" s="194"/>
      <c r="AB794" s="194"/>
      <c r="AC794" s="194"/>
      <c r="AD794" s="194"/>
      <c r="AE794" s="194"/>
      <c r="AF794" s="194"/>
      <c r="AG794" s="194"/>
      <c r="AH794" s="194"/>
      <c r="AI794" s="194"/>
      <c r="AJ794" s="194"/>
      <c r="AK794" s="194"/>
      <c r="AL794" s="194"/>
      <c r="AM794" s="194"/>
      <c r="AN794" s="194"/>
      <c r="AO794" s="194"/>
    </row>
    <row r="79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c r="AC795" s="194"/>
      <c r="AD795" s="194"/>
      <c r="AE795" s="194"/>
      <c r="AF795" s="194"/>
      <c r="AG795" s="194"/>
      <c r="AH795" s="194"/>
      <c r="AI795" s="194"/>
      <c r="AJ795" s="194"/>
      <c r="AK795" s="194"/>
      <c r="AL795" s="194"/>
      <c r="AM795" s="194"/>
      <c r="AN795" s="194"/>
      <c r="AO795" s="194"/>
    </row>
    <row r="796">
      <c r="A796" s="194"/>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c r="AA796" s="194"/>
      <c r="AB796" s="194"/>
      <c r="AC796" s="194"/>
      <c r="AD796" s="194"/>
      <c r="AE796" s="194"/>
      <c r="AF796" s="194"/>
      <c r="AG796" s="194"/>
      <c r="AH796" s="194"/>
      <c r="AI796" s="194"/>
      <c r="AJ796" s="194"/>
      <c r="AK796" s="194"/>
      <c r="AL796" s="194"/>
      <c r="AM796" s="194"/>
      <c r="AN796" s="194"/>
      <c r="AO796" s="194"/>
    </row>
    <row r="797">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c r="AC797" s="194"/>
      <c r="AD797" s="194"/>
      <c r="AE797" s="194"/>
      <c r="AF797" s="194"/>
      <c r="AG797" s="194"/>
      <c r="AH797" s="194"/>
      <c r="AI797" s="194"/>
      <c r="AJ797" s="194"/>
      <c r="AK797" s="194"/>
      <c r="AL797" s="194"/>
      <c r="AM797" s="194"/>
      <c r="AN797" s="194"/>
      <c r="AO797" s="194"/>
    </row>
    <row r="798">
      <c r="A798" s="194"/>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c r="AA798" s="194"/>
      <c r="AB798" s="194"/>
      <c r="AC798" s="194"/>
      <c r="AD798" s="194"/>
      <c r="AE798" s="194"/>
      <c r="AF798" s="194"/>
      <c r="AG798" s="194"/>
      <c r="AH798" s="194"/>
      <c r="AI798" s="194"/>
      <c r="AJ798" s="194"/>
      <c r="AK798" s="194"/>
      <c r="AL798" s="194"/>
      <c r="AM798" s="194"/>
      <c r="AN798" s="194"/>
      <c r="AO798" s="194"/>
    </row>
    <row r="799">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c r="AC799" s="194"/>
      <c r="AD799" s="194"/>
      <c r="AE799" s="194"/>
      <c r="AF799" s="194"/>
      <c r="AG799" s="194"/>
      <c r="AH799" s="194"/>
      <c r="AI799" s="194"/>
      <c r="AJ799" s="194"/>
      <c r="AK799" s="194"/>
      <c r="AL799" s="194"/>
      <c r="AM799" s="194"/>
      <c r="AN799" s="194"/>
      <c r="AO799" s="194"/>
    </row>
    <row r="800">
      <c r="A800" s="194"/>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c r="AA800" s="194"/>
      <c r="AB800" s="194"/>
      <c r="AC800" s="194"/>
      <c r="AD800" s="194"/>
      <c r="AE800" s="194"/>
      <c r="AF800" s="194"/>
      <c r="AG800" s="194"/>
      <c r="AH800" s="194"/>
      <c r="AI800" s="194"/>
      <c r="AJ800" s="194"/>
      <c r="AK800" s="194"/>
      <c r="AL800" s="194"/>
      <c r="AM800" s="194"/>
      <c r="AN800" s="194"/>
      <c r="AO800" s="194"/>
    </row>
    <row r="801">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c r="AC801" s="194"/>
      <c r="AD801" s="194"/>
      <c r="AE801" s="194"/>
      <c r="AF801" s="194"/>
      <c r="AG801" s="194"/>
      <c r="AH801" s="194"/>
      <c r="AI801" s="194"/>
      <c r="AJ801" s="194"/>
      <c r="AK801" s="194"/>
      <c r="AL801" s="194"/>
      <c r="AM801" s="194"/>
      <c r="AN801" s="194"/>
      <c r="AO801" s="194"/>
    </row>
    <row r="802">
      <c r="A802" s="194"/>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c r="AA802" s="194"/>
      <c r="AB802" s="194"/>
      <c r="AC802" s="194"/>
      <c r="AD802" s="194"/>
      <c r="AE802" s="194"/>
      <c r="AF802" s="194"/>
      <c r="AG802" s="194"/>
      <c r="AH802" s="194"/>
      <c r="AI802" s="194"/>
      <c r="AJ802" s="194"/>
      <c r="AK802" s="194"/>
      <c r="AL802" s="194"/>
      <c r="AM802" s="194"/>
      <c r="AN802" s="194"/>
      <c r="AO802" s="194"/>
    </row>
    <row r="803">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c r="AC803" s="194"/>
      <c r="AD803" s="194"/>
      <c r="AE803" s="194"/>
      <c r="AF803" s="194"/>
      <c r="AG803" s="194"/>
      <c r="AH803" s="194"/>
      <c r="AI803" s="194"/>
      <c r="AJ803" s="194"/>
      <c r="AK803" s="194"/>
      <c r="AL803" s="194"/>
      <c r="AM803" s="194"/>
      <c r="AN803" s="194"/>
      <c r="AO803" s="194"/>
    </row>
    <row r="804">
      <c r="A804" s="194"/>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c r="AA804" s="194"/>
      <c r="AB804" s="194"/>
      <c r="AC804" s="194"/>
      <c r="AD804" s="194"/>
      <c r="AE804" s="194"/>
      <c r="AF804" s="194"/>
      <c r="AG804" s="194"/>
      <c r="AH804" s="194"/>
      <c r="AI804" s="194"/>
      <c r="AJ804" s="194"/>
      <c r="AK804" s="194"/>
      <c r="AL804" s="194"/>
      <c r="AM804" s="194"/>
      <c r="AN804" s="194"/>
      <c r="AO804" s="194"/>
    </row>
    <row r="80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c r="AC805" s="194"/>
      <c r="AD805" s="194"/>
      <c r="AE805" s="194"/>
      <c r="AF805" s="194"/>
      <c r="AG805" s="194"/>
      <c r="AH805" s="194"/>
      <c r="AI805" s="194"/>
      <c r="AJ805" s="194"/>
      <c r="AK805" s="194"/>
      <c r="AL805" s="194"/>
      <c r="AM805" s="194"/>
      <c r="AN805" s="194"/>
      <c r="AO805" s="194"/>
    </row>
    <row r="806">
      <c r="A806" s="194"/>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c r="AA806" s="194"/>
      <c r="AB806" s="194"/>
      <c r="AC806" s="194"/>
      <c r="AD806" s="194"/>
      <c r="AE806" s="194"/>
      <c r="AF806" s="194"/>
      <c r="AG806" s="194"/>
      <c r="AH806" s="194"/>
      <c r="AI806" s="194"/>
      <c r="AJ806" s="194"/>
      <c r="AK806" s="194"/>
      <c r="AL806" s="194"/>
      <c r="AM806" s="194"/>
      <c r="AN806" s="194"/>
      <c r="AO806" s="194"/>
    </row>
    <row r="807">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c r="AC807" s="194"/>
      <c r="AD807" s="194"/>
      <c r="AE807" s="194"/>
      <c r="AF807" s="194"/>
      <c r="AG807" s="194"/>
      <c r="AH807" s="194"/>
      <c r="AI807" s="194"/>
      <c r="AJ807" s="194"/>
      <c r="AK807" s="194"/>
      <c r="AL807" s="194"/>
      <c r="AM807" s="194"/>
      <c r="AN807" s="194"/>
      <c r="AO807" s="194"/>
    </row>
    <row r="808">
      <c r="A808" s="194"/>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c r="AA808" s="194"/>
      <c r="AB808" s="194"/>
      <c r="AC808" s="194"/>
      <c r="AD808" s="194"/>
      <c r="AE808" s="194"/>
      <c r="AF808" s="194"/>
      <c r="AG808" s="194"/>
      <c r="AH808" s="194"/>
      <c r="AI808" s="194"/>
      <c r="AJ808" s="194"/>
      <c r="AK808" s="194"/>
      <c r="AL808" s="194"/>
      <c r="AM808" s="194"/>
      <c r="AN808" s="194"/>
      <c r="AO808" s="194"/>
    </row>
    <row r="809">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c r="AC809" s="194"/>
      <c r="AD809" s="194"/>
      <c r="AE809" s="194"/>
      <c r="AF809" s="194"/>
      <c r="AG809" s="194"/>
      <c r="AH809" s="194"/>
      <c r="AI809" s="194"/>
      <c r="AJ809" s="194"/>
      <c r="AK809" s="194"/>
      <c r="AL809" s="194"/>
      <c r="AM809" s="194"/>
      <c r="AN809" s="194"/>
      <c r="AO809" s="194"/>
    </row>
    <row r="810">
      <c r="A810" s="194"/>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c r="AA810" s="194"/>
      <c r="AB810" s="194"/>
      <c r="AC810" s="194"/>
      <c r="AD810" s="194"/>
      <c r="AE810" s="194"/>
      <c r="AF810" s="194"/>
      <c r="AG810" s="194"/>
      <c r="AH810" s="194"/>
      <c r="AI810" s="194"/>
      <c r="AJ810" s="194"/>
      <c r="AK810" s="194"/>
      <c r="AL810" s="194"/>
      <c r="AM810" s="194"/>
      <c r="AN810" s="194"/>
      <c r="AO810" s="194"/>
    </row>
    <row r="811">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c r="AC811" s="194"/>
      <c r="AD811" s="194"/>
      <c r="AE811" s="194"/>
      <c r="AF811" s="194"/>
      <c r="AG811" s="194"/>
      <c r="AH811" s="194"/>
      <c r="AI811" s="194"/>
      <c r="AJ811" s="194"/>
      <c r="AK811" s="194"/>
      <c r="AL811" s="194"/>
      <c r="AM811" s="194"/>
      <c r="AN811" s="194"/>
      <c r="AO811" s="194"/>
    </row>
    <row r="812">
      <c r="A812" s="194"/>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c r="AA812" s="194"/>
      <c r="AB812" s="194"/>
      <c r="AC812" s="194"/>
      <c r="AD812" s="194"/>
      <c r="AE812" s="194"/>
      <c r="AF812" s="194"/>
      <c r="AG812" s="194"/>
      <c r="AH812" s="194"/>
      <c r="AI812" s="194"/>
      <c r="AJ812" s="194"/>
      <c r="AK812" s="194"/>
      <c r="AL812" s="194"/>
      <c r="AM812" s="194"/>
      <c r="AN812" s="194"/>
      <c r="AO812" s="194"/>
    </row>
    <row r="813">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c r="AC813" s="194"/>
      <c r="AD813" s="194"/>
      <c r="AE813" s="194"/>
      <c r="AF813" s="194"/>
      <c r="AG813" s="194"/>
      <c r="AH813" s="194"/>
      <c r="AI813" s="194"/>
      <c r="AJ813" s="194"/>
      <c r="AK813" s="194"/>
      <c r="AL813" s="194"/>
      <c r="AM813" s="194"/>
      <c r="AN813" s="194"/>
      <c r="AO813" s="194"/>
    </row>
    <row r="814">
      <c r="A814" s="194"/>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c r="AA814" s="194"/>
      <c r="AB814" s="194"/>
      <c r="AC814" s="194"/>
      <c r="AD814" s="194"/>
      <c r="AE814" s="194"/>
      <c r="AF814" s="194"/>
      <c r="AG814" s="194"/>
      <c r="AH814" s="194"/>
      <c r="AI814" s="194"/>
      <c r="AJ814" s="194"/>
      <c r="AK814" s="194"/>
      <c r="AL814" s="194"/>
      <c r="AM814" s="194"/>
      <c r="AN814" s="194"/>
      <c r="AO814" s="194"/>
    </row>
    <row r="81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c r="AC815" s="194"/>
      <c r="AD815" s="194"/>
      <c r="AE815" s="194"/>
      <c r="AF815" s="194"/>
      <c r="AG815" s="194"/>
      <c r="AH815" s="194"/>
      <c r="AI815" s="194"/>
      <c r="AJ815" s="194"/>
      <c r="AK815" s="194"/>
      <c r="AL815" s="194"/>
      <c r="AM815" s="194"/>
      <c r="AN815" s="194"/>
      <c r="AO815" s="194"/>
    </row>
    <row r="816">
      <c r="A816" s="194"/>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c r="AA816" s="194"/>
      <c r="AB816" s="194"/>
      <c r="AC816" s="194"/>
      <c r="AD816" s="194"/>
      <c r="AE816" s="194"/>
      <c r="AF816" s="194"/>
      <c r="AG816" s="194"/>
      <c r="AH816" s="194"/>
      <c r="AI816" s="194"/>
      <c r="AJ816" s="194"/>
      <c r="AK816" s="194"/>
      <c r="AL816" s="194"/>
      <c r="AM816" s="194"/>
      <c r="AN816" s="194"/>
      <c r="AO816" s="194"/>
    </row>
    <row r="817">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c r="AC817" s="194"/>
      <c r="AD817" s="194"/>
      <c r="AE817" s="194"/>
      <c r="AF817" s="194"/>
      <c r="AG817" s="194"/>
      <c r="AH817" s="194"/>
      <c r="AI817" s="194"/>
      <c r="AJ817" s="194"/>
      <c r="AK817" s="194"/>
      <c r="AL817" s="194"/>
      <c r="AM817" s="194"/>
      <c r="AN817" s="194"/>
      <c r="AO817" s="194"/>
    </row>
    <row r="818">
      <c r="A818" s="194"/>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c r="AA818" s="194"/>
      <c r="AB818" s="194"/>
      <c r="AC818" s="194"/>
      <c r="AD818" s="194"/>
      <c r="AE818" s="194"/>
      <c r="AF818" s="194"/>
      <c r="AG818" s="194"/>
      <c r="AH818" s="194"/>
      <c r="AI818" s="194"/>
      <c r="AJ818" s="194"/>
      <c r="AK818" s="194"/>
      <c r="AL818" s="194"/>
      <c r="AM818" s="194"/>
      <c r="AN818" s="194"/>
      <c r="AO818" s="194"/>
    </row>
    <row r="819">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c r="AC819" s="194"/>
      <c r="AD819" s="194"/>
      <c r="AE819" s="194"/>
      <c r="AF819" s="194"/>
      <c r="AG819" s="194"/>
      <c r="AH819" s="194"/>
      <c r="AI819" s="194"/>
      <c r="AJ819" s="194"/>
      <c r="AK819" s="194"/>
      <c r="AL819" s="194"/>
      <c r="AM819" s="194"/>
      <c r="AN819" s="194"/>
      <c r="AO819" s="194"/>
    </row>
    <row r="820">
      <c r="A820" s="194"/>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c r="AA820" s="194"/>
      <c r="AB820" s="194"/>
      <c r="AC820" s="194"/>
      <c r="AD820" s="194"/>
      <c r="AE820" s="194"/>
      <c r="AF820" s="194"/>
      <c r="AG820" s="194"/>
      <c r="AH820" s="194"/>
      <c r="AI820" s="194"/>
      <c r="AJ820" s="194"/>
      <c r="AK820" s="194"/>
      <c r="AL820" s="194"/>
      <c r="AM820" s="194"/>
      <c r="AN820" s="194"/>
      <c r="AO820" s="194"/>
    </row>
    <row r="821">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c r="AC821" s="194"/>
      <c r="AD821" s="194"/>
      <c r="AE821" s="194"/>
      <c r="AF821" s="194"/>
      <c r="AG821" s="194"/>
      <c r="AH821" s="194"/>
      <c r="AI821" s="194"/>
      <c r="AJ821" s="194"/>
      <c r="AK821" s="194"/>
      <c r="AL821" s="194"/>
      <c r="AM821" s="194"/>
      <c r="AN821" s="194"/>
      <c r="AO821" s="194"/>
    </row>
    <row r="822">
      <c r="A822" s="194"/>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c r="AA822" s="194"/>
      <c r="AB822" s="194"/>
      <c r="AC822" s="194"/>
      <c r="AD822" s="194"/>
      <c r="AE822" s="194"/>
      <c r="AF822" s="194"/>
      <c r="AG822" s="194"/>
      <c r="AH822" s="194"/>
      <c r="AI822" s="194"/>
      <c r="AJ822" s="194"/>
      <c r="AK822" s="194"/>
      <c r="AL822" s="194"/>
      <c r="AM822" s="194"/>
      <c r="AN822" s="194"/>
      <c r="AO822" s="194"/>
    </row>
    <row r="823">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c r="AC823" s="194"/>
      <c r="AD823" s="194"/>
      <c r="AE823" s="194"/>
      <c r="AF823" s="194"/>
      <c r="AG823" s="194"/>
      <c r="AH823" s="194"/>
      <c r="AI823" s="194"/>
      <c r="AJ823" s="194"/>
      <c r="AK823" s="194"/>
      <c r="AL823" s="194"/>
      <c r="AM823" s="194"/>
      <c r="AN823" s="194"/>
      <c r="AO823" s="194"/>
    </row>
    <row r="824">
      <c r="A824" s="194"/>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c r="AA824" s="194"/>
      <c r="AB824" s="194"/>
      <c r="AC824" s="194"/>
      <c r="AD824" s="194"/>
      <c r="AE824" s="194"/>
      <c r="AF824" s="194"/>
      <c r="AG824" s="194"/>
      <c r="AH824" s="194"/>
      <c r="AI824" s="194"/>
      <c r="AJ824" s="194"/>
      <c r="AK824" s="194"/>
      <c r="AL824" s="194"/>
      <c r="AM824" s="194"/>
      <c r="AN824" s="194"/>
      <c r="AO824" s="194"/>
    </row>
    <row r="8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c r="AC825" s="194"/>
      <c r="AD825" s="194"/>
      <c r="AE825" s="194"/>
      <c r="AF825" s="194"/>
      <c r="AG825" s="194"/>
      <c r="AH825" s="194"/>
      <c r="AI825" s="194"/>
      <c r="AJ825" s="194"/>
      <c r="AK825" s="194"/>
      <c r="AL825" s="194"/>
      <c r="AM825" s="194"/>
      <c r="AN825" s="194"/>
      <c r="AO825" s="194"/>
    </row>
    <row r="826">
      <c r="A826" s="194"/>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c r="AA826" s="194"/>
      <c r="AB826" s="194"/>
      <c r="AC826" s="194"/>
      <c r="AD826" s="194"/>
      <c r="AE826" s="194"/>
      <c r="AF826" s="194"/>
      <c r="AG826" s="194"/>
      <c r="AH826" s="194"/>
      <c r="AI826" s="194"/>
      <c r="AJ826" s="194"/>
      <c r="AK826" s="194"/>
      <c r="AL826" s="194"/>
      <c r="AM826" s="194"/>
      <c r="AN826" s="194"/>
      <c r="AO826" s="194"/>
    </row>
    <row r="827">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c r="AC827" s="194"/>
      <c r="AD827" s="194"/>
      <c r="AE827" s="194"/>
      <c r="AF827" s="194"/>
      <c r="AG827" s="194"/>
      <c r="AH827" s="194"/>
      <c r="AI827" s="194"/>
      <c r="AJ827" s="194"/>
      <c r="AK827" s="194"/>
      <c r="AL827" s="194"/>
      <c r="AM827" s="194"/>
      <c r="AN827" s="194"/>
      <c r="AO827" s="194"/>
    </row>
    <row r="828">
      <c r="A828" s="194"/>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c r="AA828" s="194"/>
      <c r="AB828" s="194"/>
      <c r="AC828" s="194"/>
      <c r="AD828" s="194"/>
      <c r="AE828" s="194"/>
      <c r="AF828" s="194"/>
      <c r="AG828" s="194"/>
      <c r="AH828" s="194"/>
      <c r="AI828" s="194"/>
      <c r="AJ828" s="194"/>
      <c r="AK828" s="194"/>
      <c r="AL828" s="194"/>
      <c r="AM828" s="194"/>
      <c r="AN828" s="194"/>
      <c r="AO828" s="194"/>
    </row>
    <row r="829">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c r="AC829" s="194"/>
      <c r="AD829" s="194"/>
      <c r="AE829" s="194"/>
      <c r="AF829" s="194"/>
      <c r="AG829" s="194"/>
      <c r="AH829" s="194"/>
      <c r="AI829" s="194"/>
      <c r="AJ829" s="194"/>
      <c r="AK829" s="194"/>
      <c r="AL829" s="194"/>
      <c r="AM829" s="194"/>
      <c r="AN829" s="194"/>
      <c r="AO829" s="194"/>
    </row>
    <row r="830">
      <c r="A830" s="194"/>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c r="AA830" s="194"/>
      <c r="AB830" s="194"/>
      <c r="AC830" s="194"/>
      <c r="AD830" s="194"/>
      <c r="AE830" s="194"/>
      <c r="AF830" s="194"/>
      <c r="AG830" s="194"/>
      <c r="AH830" s="194"/>
      <c r="AI830" s="194"/>
      <c r="AJ830" s="194"/>
      <c r="AK830" s="194"/>
      <c r="AL830" s="194"/>
      <c r="AM830" s="194"/>
      <c r="AN830" s="194"/>
      <c r="AO830" s="194"/>
    </row>
    <row r="831">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c r="AC831" s="194"/>
      <c r="AD831" s="194"/>
      <c r="AE831" s="194"/>
      <c r="AF831" s="194"/>
      <c r="AG831" s="194"/>
      <c r="AH831" s="194"/>
      <c r="AI831" s="194"/>
      <c r="AJ831" s="194"/>
      <c r="AK831" s="194"/>
      <c r="AL831" s="194"/>
      <c r="AM831" s="194"/>
      <c r="AN831" s="194"/>
      <c r="AO831" s="194"/>
    </row>
    <row r="832">
      <c r="A832" s="194"/>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c r="AA832" s="194"/>
      <c r="AB832" s="194"/>
      <c r="AC832" s="194"/>
      <c r="AD832" s="194"/>
      <c r="AE832" s="194"/>
      <c r="AF832" s="194"/>
      <c r="AG832" s="194"/>
      <c r="AH832" s="194"/>
      <c r="AI832" s="194"/>
      <c r="AJ832" s="194"/>
      <c r="AK832" s="194"/>
      <c r="AL832" s="194"/>
      <c r="AM832" s="194"/>
      <c r="AN832" s="194"/>
      <c r="AO832" s="194"/>
    </row>
    <row r="833">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c r="AC833" s="194"/>
      <c r="AD833" s="194"/>
      <c r="AE833" s="194"/>
      <c r="AF833" s="194"/>
      <c r="AG833" s="194"/>
      <c r="AH833" s="194"/>
      <c r="AI833" s="194"/>
      <c r="AJ833" s="194"/>
      <c r="AK833" s="194"/>
      <c r="AL833" s="194"/>
      <c r="AM833" s="194"/>
      <c r="AN833" s="194"/>
      <c r="AO833" s="194"/>
    </row>
    <row r="834">
      <c r="A834" s="194"/>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c r="AA834" s="194"/>
      <c r="AB834" s="194"/>
      <c r="AC834" s="194"/>
      <c r="AD834" s="194"/>
      <c r="AE834" s="194"/>
      <c r="AF834" s="194"/>
      <c r="AG834" s="194"/>
      <c r="AH834" s="194"/>
      <c r="AI834" s="194"/>
      <c r="AJ834" s="194"/>
      <c r="AK834" s="194"/>
      <c r="AL834" s="194"/>
      <c r="AM834" s="194"/>
      <c r="AN834" s="194"/>
      <c r="AO834" s="194"/>
    </row>
    <row r="83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c r="AC835" s="194"/>
      <c r="AD835" s="194"/>
      <c r="AE835" s="194"/>
      <c r="AF835" s="194"/>
      <c r="AG835" s="194"/>
      <c r="AH835" s="194"/>
      <c r="AI835" s="194"/>
      <c r="AJ835" s="194"/>
      <c r="AK835" s="194"/>
      <c r="AL835" s="194"/>
      <c r="AM835" s="194"/>
      <c r="AN835" s="194"/>
      <c r="AO835" s="194"/>
    </row>
    <row r="836">
      <c r="A836" s="194"/>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c r="AA836" s="194"/>
      <c r="AB836" s="194"/>
      <c r="AC836" s="194"/>
      <c r="AD836" s="194"/>
      <c r="AE836" s="194"/>
      <c r="AF836" s="194"/>
      <c r="AG836" s="194"/>
      <c r="AH836" s="194"/>
      <c r="AI836" s="194"/>
      <c r="AJ836" s="194"/>
      <c r="AK836" s="194"/>
      <c r="AL836" s="194"/>
      <c r="AM836" s="194"/>
      <c r="AN836" s="194"/>
      <c r="AO836" s="194"/>
    </row>
    <row r="837">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c r="AC837" s="194"/>
      <c r="AD837" s="194"/>
      <c r="AE837" s="194"/>
      <c r="AF837" s="194"/>
      <c r="AG837" s="194"/>
      <c r="AH837" s="194"/>
      <c r="AI837" s="194"/>
      <c r="AJ837" s="194"/>
      <c r="AK837" s="194"/>
      <c r="AL837" s="194"/>
      <c r="AM837" s="194"/>
      <c r="AN837" s="194"/>
      <c r="AO837" s="194"/>
    </row>
    <row r="838">
      <c r="A838" s="194"/>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c r="AA838" s="194"/>
      <c r="AB838" s="194"/>
      <c r="AC838" s="194"/>
      <c r="AD838" s="194"/>
      <c r="AE838" s="194"/>
      <c r="AF838" s="194"/>
      <c r="AG838" s="194"/>
      <c r="AH838" s="194"/>
      <c r="AI838" s="194"/>
      <c r="AJ838" s="194"/>
      <c r="AK838" s="194"/>
      <c r="AL838" s="194"/>
      <c r="AM838" s="194"/>
      <c r="AN838" s="194"/>
      <c r="AO838" s="194"/>
    </row>
    <row r="839">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c r="AC839" s="194"/>
      <c r="AD839" s="194"/>
      <c r="AE839" s="194"/>
      <c r="AF839" s="194"/>
      <c r="AG839" s="194"/>
      <c r="AH839" s="194"/>
      <c r="AI839" s="194"/>
      <c r="AJ839" s="194"/>
      <c r="AK839" s="194"/>
      <c r="AL839" s="194"/>
      <c r="AM839" s="194"/>
      <c r="AN839" s="194"/>
      <c r="AO839" s="194"/>
    </row>
    <row r="840">
      <c r="A840" s="194"/>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c r="AA840" s="194"/>
      <c r="AB840" s="194"/>
      <c r="AC840" s="194"/>
      <c r="AD840" s="194"/>
      <c r="AE840" s="194"/>
      <c r="AF840" s="194"/>
      <c r="AG840" s="194"/>
      <c r="AH840" s="194"/>
      <c r="AI840" s="194"/>
      <c r="AJ840" s="194"/>
      <c r="AK840" s="194"/>
      <c r="AL840" s="194"/>
      <c r="AM840" s="194"/>
      <c r="AN840" s="194"/>
      <c r="AO840" s="194"/>
    </row>
    <row r="841">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c r="AC841" s="194"/>
      <c r="AD841" s="194"/>
      <c r="AE841" s="194"/>
      <c r="AF841" s="194"/>
      <c r="AG841" s="194"/>
      <c r="AH841" s="194"/>
      <c r="AI841" s="194"/>
      <c r="AJ841" s="194"/>
      <c r="AK841" s="194"/>
      <c r="AL841" s="194"/>
      <c r="AM841" s="194"/>
      <c r="AN841" s="194"/>
      <c r="AO841" s="194"/>
    </row>
    <row r="842">
      <c r="A842" s="194"/>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c r="AA842" s="194"/>
      <c r="AB842" s="194"/>
      <c r="AC842" s="194"/>
      <c r="AD842" s="194"/>
      <c r="AE842" s="194"/>
      <c r="AF842" s="194"/>
      <c r="AG842" s="194"/>
      <c r="AH842" s="194"/>
      <c r="AI842" s="194"/>
      <c r="AJ842" s="194"/>
      <c r="AK842" s="194"/>
      <c r="AL842" s="194"/>
      <c r="AM842" s="194"/>
      <c r="AN842" s="194"/>
      <c r="AO842" s="194"/>
    </row>
    <row r="843">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c r="AC843" s="194"/>
      <c r="AD843" s="194"/>
      <c r="AE843" s="194"/>
      <c r="AF843" s="194"/>
      <c r="AG843" s="194"/>
      <c r="AH843" s="194"/>
      <c r="AI843" s="194"/>
      <c r="AJ843" s="194"/>
      <c r="AK843" s="194"/>
      <c r="AL843" s="194"/>
      <c r="AM843" s="194"/>
      <c r="AN843" s="194"/>
      <c r="AO843" s="194"/>
    </row>
    <row r="844">
      <c r="A844" s="194"/>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c r="AA844" s="194"/>
      <c r="AB844" s="194"/>
      <c r="AC844" s="194"/>
      <c r="AD844" s="194"/>
      <c r="AE844" s="194"/>
      <c r="AF844" s="194"/>
      <c r="AG844" s="194"/>
      <c r="AH844" s="194"/>
      <c r="AI844" s="194"/>
      <c r="AJ844" s="194"/>
      <c r="AK844" s="194"/>
      <c r="AL844" s="194"/>
      <c r="AM844" s="194"/>
      <c r="AN844" s="194"/>
      <c r="AO844" s="194"/>
    </row>
    <row r="84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c r="AC845" s="194"/>
      <c r="AD845" s="194"/>
      <c r="AE845" s="194"/>
      <c r="AF845" s="194"/>
      <c r="AG845" s="194"/>
      <c r="AH845" s="194"/>
      <c r="AI845" s="194"/>
      <c r="AJ845" s="194"/>
      <c r="AK845" s="194"/>
      <c r="AL845" s="194"/>
      <c r="AM845" s="194"/>
      <c r="AN845" s="194"/>
      <c r="AO845" s="194"/>
    </row>
    <row r="846">
      <c r="A846" s="194"/>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c r="AA846" s="194"/>
      <c r="AB846" s="194"/>
      <c r="AC846" s="194"/>
      <c r="AD846" s="194"/>
      <c r="AE846" s="194"/>
      <c r="AF846" s="194"/>
      <c r="AG846" s="194"/>
      <c r="AH846" s="194"/>
      <c r="AI846" s="194"/>
      <c r="AJ846" s="194"/>
      <c r="AK846" s="194"/>
      <c r="AL846" s="194"/>
      <c r="AM846" s="194"/>
      <c r="AN846" s="194"/>
      <c r="AO846" s="194"/>
    </row>
    <row r="847">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c r="AC847" s="194"/>
      <c r="AD847" s="194"/>
      <c r="AE847" s="194"/>
      <c r="AF847" s="194"/>
      <c r="AG847" s="194"/>
      <c r="AH847" s="194"/>
      <c r="AI847" s="194"/>
      <c r="AJ847" s="194"/>
      <c r="AK847" s="194"/>
      <c r="AL847" s="194"/>
      <c r="AM847" s="194"/>
      <c r="AN847" s="194"/>
      <c r="AO847" s="194"/>
    </row>
    <row r="848">
      <c r="A848" s="194"/>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c r="AA848" s="194"/>
      <c r="AB848" s="194"/>
      <c r="AC848" s="194"/>
      <c r="AD848" s="194"/>
      <c r="AE848" s="194"/>
      <c r="AF848" s="194"/>
      <c r="AG848" s="194"/>
      <c r="AH848" s="194"/>
      <c r="AI848" s="194"/>
      <c r="AJ848" s="194"/>
      <c r="AK848" s="194"/>
      <c r="AL848" s="194"/>
      <c r="AM848" s="194"/>
      <c r="AN848" s="194"/>
      <c r="AO848" s="194"/>
    </row>
    <row r="849">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c r="AC849" s="194"/>
      <c r="AD849" s="194"/>
      <c r="AE849" s="194"/>
      <c r="AF849" s="194"/>
      <c r="AG849" s="194"/>
      <c r="AH849" s="194"/>
      <c r="AI849" s="194"/>
      <c r="AJ849" s="194"/>
      <c r="AK849" s="194"/>
      <c r="AL849" s="194"/>
      <c r="AM849" s="194"/>
      <c r="AN849" s="194"/>
      <c r="AO849" s="194"/>
    </row>
    <row r="850">
      <c r="A850" s="194"/>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c r="AA850" s="194"/>
      <c r="AB850" s="194"/>
      <c r="AC850" s="194"/>
      <c r="AD850" s="194"/>
      <c r="AE850" s="194"/>
      <c r="AF850" s="194"/>
      <c r="AG850" s="194"/>
      <c r="AH850" s="194"/>
      <c r="AI850" s="194"/>
      <c r="AJ850" s="194"/>
      <c r="AK850" s="194"/>
      <c r="AL850" s="194"/>
      <c r="AM850" s="194"/>
      <c r="AN850" s="194"/>
      <c r="AO850" s="194"/>
    </row>
    <row r="851">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c r="AC851" s="194"/>
      <c r="AD851" s="194"/>
      <c r="AE851" s="194"/>
      <c r="AF851" s="194"/>
      <c r="AG851" s="194"/>
      <c r="AH851" s="194"/>
      <c r="AI851" s="194"/>
      <c r="AJ851" s="194"/>
      <c r="AK851" s="194"/>
      <c r="AL851" s="194"/>
      <c r="AM851" s="194"/>
      <c r="AN851" s="194"/>
      <c r="AO851" s="194"/>
    </row>
    <row r="852">
      <c r="A852" s="194"/>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c r="AA852" s="194"/>
      <c r="AB852" s="194"/>
      <c r="AC852" s="194"/>
      <c r="AD852" s="194"/>
      <c r="AE852" s="194"/>
      <c r="AF852" s="194"/>
      <c r="AG852" s="194"/>
      <c r="AH852" s="194"/>
      <c r="AI852" s="194"/>
      <c r="AJ852" s="194"/>
      <c r="AK852" s="194"/>
      <c r="AL852" s="194"/>
      <c r="AM852" s="194"/>
      <c r="AN852" s="194"/>
      <c r="AO852" s="194"/>
    </row>
    <row r="853">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c r="AC853" s="194"/>
      <c r="AD853" s="194"/>
      <c r="AE853" s="194"/>
      <c r="AF853" s="194"/>
      <c r="AG853" s="194"/>
      <c r="AH853" s="194"/>
      <c r="AI853" s="194"/>
      <c r="AJ853" s="194"/>
      <c r="AK853" s="194"/>
      <c r="AL853" s="194"/>
      <c r="AM853" s="194"/>
      <c r="AN853" s="194"/>
      <c r="AO853" s="194"/>
    </row>
    <row r="854">
      <c r="A854" s="194"/>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c r="AA854" s="194"/>
      <c r="AB854" s="194"/>
      <c r="AC854" s="194"/>
      <c r="AD854" s="194"/>
      <c r="AE854" s="194"/>
      <c r="AF854" s="194"/>
      <c r="AG854" s="194"/>
      <c r="AH854" s="194"/>
      <c r="AI854" s="194"/>
      <c r="AJ854" s="194"/>
      <c r="AK854" s="194"/>
      <c r="AL854" s="194"/>
      <c r="AM854" s="194"/>
      <c r="AN854" s="194"/>
      <c r="AO854" s="194"/>
    </row>
    <row r="85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c r="AC855" s="194"/>
      <c r="AD855" s="194"/>
      <c r="AE855" s="194"/>
      <c r="AF855" s="194"/>
      <c r="AG855" s="194"/>
      <c r="AH855" s="194"/>
      <c r="AI855" s="194"/>
      <c r="AJ855" s="194"/>
      <c r="AK855" s="194"/>
      <c r="AL855" s="194"/>
      <c r="AM855" s="194"/>
      <c r="AN855" s="194"/>
      <c r="AO855" s="194"/>
    </row>
    <row r="856">
      <c r="A856" s="194"/>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c r="AA856" s="194"/>
      <c r="AB856" s="194"/>
      <c r="AC856" s="194"/>
      <c r="AD856" s="194"/>
      <c r="AE856" s="194"/>
      <c r="AF856" s="194"/>
      <c r="AG856" s="194"/>
      <c r="AH856" s="194"/>
      <c r="AI856" s="194"/>
      <c r="AJ856" s="194"/>
      <c r="AK856" s="194"/>
      <c r="AL856" s="194"/>
      <c r="AM856" s="194"/>
      <c r="AN856" s="194"/>
      <c r="AO856" s="194"/>
    </row>
    <row r="857">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c r="AC857" s="194"/>
      <c r="AD857" s="194"/>
      <c r="AE857" s="194"/>
      <c r="AF857" s="194"/>
      <c r="AG857" s="194"/>
      <c r="AH857" s="194"/>
      <c r="AI857" s="194"/>
      <c r="AJ857" s="194"/>
      <c r="AK857" s="194"/>
      <c r="AL857" s="194"/>
      <c r="AM857" s="194"/>
      <c r="AN857" s="194"/>
      <c r="AO857" s="194"/>
    </row>
    <row r="858">
      <c r="A858" s="194"/>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c r="AA858" s="194"/>
      <c r="AB858" s="194"/>
      <c r="AC858" s="194"/>
      <c r="AD858" s="194"/>
      <c r="AE858" s="194"/>
      <c r="AF858" s="194"/>
      <c r="AG858" s="194"/>
      <c r="AH858" s="194"/>
      <c r="AI858" s="194"/>
      <c r="AJ858" s="194"/>
      <c r="AK858" s="194"/>
      <c r="AL858" s="194"/>
      <c r="AM858" s="194"/>
      <c r="AN858" s="194"/>
      <c r="AO858" s="194"/>
    </row>
    <row r="859">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c r="AC859" s="194"/>
      <c r="AD859" s="194"/>
      <c r="AE859" s="194"/>
      <c r="AF859" s="194"/>
      <c r="AG859" s="194"/>
      <c r="AH859" s="194"/>
      <c r="AI859" s="194"/>
      <c r="AJ859" s="194"/>
      <c r="AK859" s="194"/>
      <c r="AL859" s="194"/>
      <c r="AM859" s="194"/>
      <c r="AN859" s="194"/>
      <c r="AO859" s="194"/>
    </row>
    <row r="860">
      <c r="A860" s="194"/>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c r="AA860" s="194"/>
      <c r="AB860" s="194"/>
      <c r="AC860" s="194"/>
      <c r="AD860" s="194"/>
      <c r="AE860" s="194"/>
      <c r="AF860" s="194"/>
      <c r="AG860" s="194"/>
      <c r="AH860" s="194"/>
      <c r="AI860" s="194"/>
      <c r="AJ860" s="194"/>
      <c r="AK860" s="194"/>
      <c r="AL860" s="194"/>
      <c r="AM860" s="194"/>
      <c r="AN860" s="194"/>
      <c r="AO860" s="194"/>
    </row>
    <row r="861">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c r="AC861" s="194"/>
      <c r="AD861" s="194"/>
      <c r="AE861" s="194"/>
      <c r="AF861" s="194"/>
      <c r="AG861" s="194"/>
      <c r="AH861" s="194"/>
      <c r="AI861" s="194"/>
      <c r="AJ861" s="194"/>
      <c r="AK861" s="194"/>
      <c r="AL861" s="194"/>
      <c r="AM861" s="194"/>
      <c r="AN861" s="194"/>
      <c r="AO861" s="194"/>
    </row>
    <row r="862">
      <c r="A862" s="194"/>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c r="AA862" s="194"/>
      <c r="AB862" s="194"/>
      <c r="AC862" s="194"/>
      <c r="AD862" s="194"/>
      <c r="AE862" s="194"/>
      <c r="AF862" s="194"/>
      <c r="AG862" s="194"/>
      <c r="AH862" s="194"/>
      <c r="AI862" s="194"/>
      <c r="AJ862" s="194"/>
      <c r="AK862" s="194"/>
      <c r="AL862" s="194"/>
      <c r="AM862" s="194"/>
      <c r="AN862" s="194"/>
      <c r="AO862" s="194"/>
    </row>
    <row r="863">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c r="AC863" s="194"/>
      <c r="AD863" s="194"/>
      <c r="AE863" s="194"/>
      <c r="AF863" s="194"/>
      <c r="AG863" s="194"/>
      <c r="AH863" s="194"/>
      <c r="AI863" s="194"/>
      <c r="AJ863" s="194"/>
      <c r="AK863" s="194"/>
      <c r="AL863" s="194"/>
      <c r="AM863" s="194"/>
      <c r="AN863" s="194"/>
      <c r="AO863" s="194"/>
    </row>
    <row r="864">
      <c r="A864" s="194"/>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c r="AA864" s="194"/>
      <c r="AB864" s="194"/>
      <c r="AC864" s="194"/>
      <c r="AD864" s="194"/>
      <c r="AE864" s="194"/>
      <c r="AF864" s="194"/>
      <c r="AG864" s="194"/>
      <c r="AH864" s="194"/>
      <c r="AI864" s="194"/>
      <c r="AJ864" s="194"/>
      <c r="AK864" s="194"/>
      <c r="AL864" s="194"/>
      <c r="AM864" s="194"/>
      <c r="AN864" s="194"/>
      <c r="AO864" s="194"/>
    </row>
    <row r="86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c r="AC865" s="194"/>
      <c r="AD865" s="194"/>
      <c r="AE865" s="194"/>
      <c r="AF865" s="194"/>
      <c r="AG865" s="194"/>
      <c r="AH865" s="194"/>
      <c r="AI865" s="194"/>
      <c r="AJ865" s="194"/>
      <c r="AK865" s="194"/>
      <c r="AL865" s="194"/>
      <c r="AM865" s="194"/>
      <c r="AN865" s="194"/>
      <c r="AO865" s="194"/>
    </row>
    <row r="866">
      <c r="A866" s="194"/>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c r="AA866" s="194"/>
      <c r="AB866" s="194"/>
      <c r="AC866" s="194"/>
      <c r="AD866" s="194"/>
      <c r="AE866" s="194"/>
      <c r="AF866" s="194"/>
      <c r="AG866" s="194"/>
      <c r="AH866" s="194"/>
      <c r="AI866" s="194"/>
      <c r="AJ866" s="194"/>
      <c r="AK866" s="194"/>
      <c r="AL866" s="194"/>
      <c r="AM866" s="194"/>
      <c r="AN866" s="194"/>
      <c r="AO866" s="194"/>
    </row>
    <row r="867">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c r="AC867" s="194"/>
      <c r="AD867" s="194"/>
      <c r="AE867" s="194"/>
      <c r="AF867" s="194"/>
      <c r="AG867" s="194"/>
      <c r="AH867" s="194"/>
      <c r="AI867" s="194"/>
      <c r="AJ867" s="194"/>
      <c r="AK867" s="194"/>
      <c r="AL867" s="194"/>
      <c r="AM867" s="194"/>
      <c r="AN867" s="194"/>
      <c r="AO867" s="194"/>
    </row>
    <row r="868">
      <c r="A868" s="194"/>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c r="AA868" s="194"/>
      <c r="AB868" s="194"/>
      <c r="AC868" s="194"/>
      <c r="AD868" s="194"/>
      <c r="AE868" s="194"/>
      <c r="AF868" s="194"/>
      <c r="AG868" s="194"/>
      <c r="AH868" s="194"/>
      <c r="AI868" s="194"/>
      <c r="AJ868" s="194"/>
      <c r="AK868" s="194"/>
      <c r="AL868" s="194"/>
      <c r="AM868" s="194"/>
      <c r="AN868" s="194"/>
      <c r="AO868" s="194"/>
    </row>
    <row r="869">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c r="AC869" s="194"/>
      <c r="AD869" s="194"/>
      <c r="AE869" s="194"/>
      <c r="AF869" s="194"/>
      <c r="AG869" s="194"/>
      <c r="AH869" s="194"/>
      <c r="AI869" s="194"/>
      <c r="AJ869" s="194"/>
      <c r="AK869" s="194"/>
      <c r="AL869" s="194"/>
      <c r="AM869" s="194"/>
      <c r="AN869" s="194"/>
      <c r="AO869" s="194"/>
    </row>
    <row r="870">
      <c r="A870" s="194"/>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c r="AA870" s="194"/>
      <c r="AB870" s="194"/>
      <c r="AC870" s="194"/>
      <c r="AD870" s="194"/>
      <c r="AE870" s="194"/>
      <c r="AF870" s="194"/>
      <c r="AG870" s="194"/>
      <c r="AH870" s="194"/>
      <c r="AI870" s="194"/>
      <c r="AJ870" s="194"/>
      <c r="AK870" s="194"/>
      <c r="AL870" s="194"/>
      <c r="AM870" s="194"/>
      <c r="AN870" s="194"/>
      <c r="AO870" s="194"/>
    </row>
    <row r="871">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c r="AC871" s="194"/>
      <c r="AD871" s="194"/>
      <c r="AE871" s="194"/>
      <c r="AF871" s="194"/>
      <c r="AG871" s="194"/>
      <c r="AH871" s="194"/>
      <c r="AI871" s="194"/>
      <c r="AJ871" s="194"/>
      <c r="AK871" s="194"/>
      <c r="AL871" s="194"/>
      <c r="AM871" s="194"/>
      <c r="AN871" s="194"/>
      <c r="AO871" s="194"/>
    </row>
    <row r="872">
      <c r="A872" s="194"/>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c r="AA872" s="194"/>
      <c r="AB872" s="194"/>
      <c r="AC872" s="194"/>
      <c r="AD872" s="194"/>
      <c r="AE872" s="194"/>
      <c r="AF872" s="194"/>
      <c r="AG872" s="194"/>
      <c r="AH872" s="194"/>
      <c r="AI872" s="194"/>
      <c r="AJ872" s="194"/>
      <c r="AK872" s="194"/>
      <c r="AL872" s="194"/>
      <c r="AM872" s="194"/>
      <c r="AN872" s="194"/>
      <c r="AO872" s="194"/>
    </row>
    <row r="873">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c r="AC873" s="194"/>
      <c r="AD873" s="194"/>
      <c r="AE873" s="194"/>
      <c r="AF873" s="194"/>
      <c r="AG873" s="194"/>
      <c r="AH873" s="194"/>
      <c r="AI873" s="194"/>
      <c r="AJ873" s="194"/>
      <c r="AK873" s="194"/>
      <c r="AL873" s="194"/>
      <c r="AM873" s="194"/>
      <c r="AN873" s="194"/>
      <c r="AO873" s="194"/>
    </row>
    <row r="874">
      <c r="A874" s="194"/>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c r="AA874" s="194"/>
      <c r="AB874" s="194"/>
      <c r="AC874" s="194"/>
      <c r="AD874" s="194"/>
      <c r="AE874" s="194"/>
      <c r="AF874" s="194"/>
      <c r="AG874" s="194"/>
      <c r="AH874" s="194"/>
      <c r="AI874" s="194"/>
      <c r="AJ874" s="194"/>
      <c r="AK874" s="194"/>
      <c r="AL874" s="194"/>
      <c r="AM874" s="194"/>
      <c r="AN874" s="194"/>
      <c r="AO874" s="194"/>
    </row>
    <row r="87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c r="AC875" s="194"/>
      <c r="AD875" s="194"/>
      <c r="AE875" s="194"/>
      <c r="AF875" s="194"/>
      <c r="AG875" s="194"/>
      <c r="AH875" s="194"/>
      <c r="AI875" s="194"/>
      <c r="AJ875" s="194"/>
      <c r="AK875" s="194"/>
      <c r="AL875" s="194"/>
      <c r="AM875" s="194"/>
      <c r="AN875" s="194"/>
      <c r="AO875" s="194"/>
    </row>
    <row r="876">
      <c r="A876" s="194"/>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c r="AA876" s="194"/>
      <c r="AB876" s="194"/>
      <c r="AC876" s="194"/>
      <c r="AD876" s="194"/>
      <c r="AE876" s="194"/>
      <c r="AF876" s="194"/>
      <c r="AG876" s="194"/>
      <c r="AH876" s="194"/>
      <c r="AI876" s="194"/>
      <c r="AJ876" s="194"/>
      <c r="AK876" s="194"/>
      <c r="AL876" s="194"/>
      <c r="AM876" s="194"/>
      <c r="AN876" s="194"/>
      <c r="AO876" s="194"/>
    </row>
    <row r="877">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c r="AC877" s="194"/>
      <c r="AD877" s="194"/>
      <c r="AE877" s="194"/>
      <c r="AF877" s="194"/>
      <c r="AG877" s="194"/>
      <c r="AH877" s="194"/>
      <c r="AI877" s="194"/>
      <c r="AJ877" s="194"/>
      <c r="AK877" s="194"/>
      <c r="AL877" s="194"/>
      <c r="AM877" s="194"/>
      <c r="AN877" s="194"/>
      <c r="AO877" s="194"/>
    </row>
    <row r="878">
      <c r="A878" s="194"/>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c r="AA878" s="194"/>
      <c r="AB878" s="194"/>
      <c r="AC878" s="194"/>
      <c r="AD878" s="194"/>
      <c r="AE878" s="194"/>
      <c r="AF878" s="194"/>
      <c r="AG878" s="194"/>
      <c r="AH878" s="194"/>
      <c r="AI878" s="194"/>
      <c r="AJ878" s="194"/>
      <c r="AK878" s="194"/>
      <c r="AL878" s="194"/>
      <c r="AM878" s="194"/>
      <c r="AN878" s="194"/>
      <c r="AO878" s="194"/>
    </row>
    <row r="879">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c r="AC879" s="194"/>
      <c r="AD879" s="194"/>
      <c r="AE879" s="194"/>
      <c r="AF879" s="194"/>
      <c r="AG879" s="194"/>
      <c r="AH879" s="194"/>
      <c r="AI879" s="194"/>
      <c r="AJ879" s="194"/>
      <c r="AK879" s="194"/>
      <c r="AL879" s="194"/>
      <c r="AM879" s="194"/>
      <c r="AN879" s="194"/>
      <c r="AO879" s="194"/>
    </row>
    <row r="880">
      <c r="A880" s="194"/>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c r="AA880" s="194"/>
      <c r="AB880" s="194"/>
      <c r="AC880" s="194"/>
      <c r="AD880" s="194"/>
      <c r="AE880" s="194"/>
      <c r="AF880" s="194"/>
      <c r="AG880" s="194"/>
      <c r="AH880" s="194"/>
      <c r="AI880" s="194"/>
      <c r="AJ880" s="194"/>
      <c r="AK880" s="194"/>
      <c r="AL880" s="194"/>
      <c r="AM880" s="194"/>
      <c r="AN880" s="194"/>
      <c r="AO880" s="194"/>
    </row>
    <row r="881">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c r="AC881" s="194"/>
      <c r="AD881" s="194"/>
      <c r="AE881" s="194"/>
      <c r="AF881" s="194"/>
      <c r="AG881" s="194"/>
      <c r="AH881" s="194"/>
      <c r="AI881" s="194"/>
      <c r="AJ881" s="194"/>
      <c r="AK881" s="194"/>
      <c r="AL881" s="194"/>
      <c r="AM881" s="194"/>
      <c r="AN881" s="194"/>
      <c r="AO881" s="194"/>
    </row>
    <row r="882">
      <c r="A882" s="194"/>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c r="AA882" s="194"/>
      <c r="AB882" s="194"/>
      <c r="AC882" s="194"/>
      <c r="AD882" s="194"/>
      <c r="AE882" s="194"/>
      <c r="AF882" s="194"/>
      <c r="AG882" s="194"/>
      <c r="AH882" s="194"/>
      <c r="AI882" s="194"/>
      <c r="AJ882" s="194"/>
      <c r="AK882" s="194"/>
      <c r="AL882" s="194"/>
      <c r="AM882" s="194"/>
      <c r="AN882" s="194"/>
      <c r="AO882" s="194"/>
    </row>
    <row r="883">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c r="AC883" s="194"/>
      <c r="AD883" s="194"/>
      <c r="AE883" s="194"/>
      <c r="AF883" s="194"/>
      <c r="AG883" s="194"/>
      <c r="AH883" s="194"/>
      <c r="AI883" s="194"/>
      <c r="AJ883" s="194"/>
      <c r="AK883" s="194"/>
      <c r="AL883" s="194"/>
      <c r="AM883" s="194"/>
      <c r="AN883" s="194"/>
      <c r="AO883" s="194"/>
    </row>
    <row r="884">
      <c r="A884" s="194"/>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c r="AA884" s="194"/>
      <c r="AB884" s="194"/>
      <c r="AC884" s="194"/>
      <c r="AD884" s="194"/>
      <c r="AE884" s="194"/>
      <c r="AF884" s="194"/>
      <c r="AG884" s="194"/>
      <c r="AH884" s="194"/>
      <c r="AI884" s="194"/>
      <c r="AJ884" s="194"/>
      <c r="AK884" s="194"/>
      <c r="AL884" s="194"/>
      <c r="AM884" s="194"/>
      <c r="AN884" s="194"/>
      <c r="AO884" s="194"/>
    </row>
    <row r="88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c r="AC885" s="194"/>
      <c r="AD885" s="194"/>
      <c r="AE885" s="194"/>
      <c r="AF885" s="194"/>
      <c r="AG885" s="194"/>
      <c r="AH885" s="194"/>
      <c r="AI885" s="194"/>
      <c r="AJ885" s="194"/>
      <c r="AK885" s="194"/>
      <c r="AL885" s="194"/>
      <c r="AM885" s="194"/>
      <c r="AN885" s="194"/>
      <c r="AO885" s="194"/>
    </row>
    <row r="886">
      <c r="A886" s="194"/>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c r="AA886" s="194"/>
      <c r="AB886" s="194"/>
      <c r="AC886" s="194"/>
      <c r="AD886" s="194"/>
      <c r="AE886" s="194"/>
      <c r="AF886" s="194"/>
      <c r="AG886" s="194"/>
      <c r="AH886" s="194"/>
      <c r="AI886" s="194"/>
      <c r="AJ886" s="194"/>
      <c r="AK886" s="194"/>
      <c r="AL886" s="194"/>
      <c r="AM886" s="194"/>
      <c r="AN886" s="194"/>
      <c r="AO886" s="194"/>
    </row>
    <row r="887">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c r="AC887" s="194"/>
      <c r="AD887" s="194"/>
      <c r="AE887" s="194"/>
      <c r="AF887" s="194"/>
      <c r="AG887" s="194"/>
      <c r="AH887" s="194"/>
      <c r="AI887" s="194"/>
      <c r="AJ887" s="194"/>
      <c r="AK887" s="194"/>
      <c r="AL887" s="194"/>
      <c r="AM887" s="194"/>
      <c r="AN887" s="194"/>
      <c r="AO887" s="194"/>
    </row>
    <row r="888">
      <c r="A888" s="194"/>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c r="AA888" s="194"/>
      <c r="AB888" s="194"/>
      <c r="AC888" s="194"/>
      <c r="AD888" s="194"/>
      <c r="AE888" s="194"/>
      <c r="AF888" s="194"/>
      <c r="AG888" s="194"/>
      <c r="AH888" s="194"/>
      <c r="AI888" s="194"/>
      <c r="AJ888" s="194"/>
      <c r="AK888" s="194"/>
      <c r="AL888" s="194"/>
      <c r="AM888" s="194"/>
      <c r="AN888" s="194"/>
      <c r="AO888" s="194"/>
    </row>
    <row r="889">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c r="AC889" s="194"/>
      <c r="AD889" s="194"/>
      <c r="AE889" s="194"/>
      <c r="AF889" s="194"/>
      <c r="AG889" s="194"/>
      <c r="AH889" s="194"/>
      <c r="AI889" s="194"/>
      <c r="AJ889" s="194"/>
      <c r="AK889" s="194"/>
      <c r="AL889" s="194"/>
      <c r="AM889" s="194"/>
      <c r="AN889" s="194"/>
      <c r="AO889" s="194"/>
    </row>
    <row r="890">
      <c r="A890" s="194"/>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c r="AA890" s="194"/>
      <c r="AB890" s="194"/>
      <c r="AC890" s="194"/>
      <c r="AD890" s="194"/>
      <c r="AE890" s="194"/>
      <c r="AF890" s="194"/>
      <c r="AG890" s="194"/>
      <c r="AH890" s="194"/>
      <c r="AI890" s="194"/>
      <c r="AJ890" s="194"/>
      <c r="AK890" s="194"/>
      <c r="AL890" s="194"/>
      <c r="AM890" s="194"/>
      <c r="AN890" s="194"/>
      <c r="AO890" s="194"/>
    </row>
    <row r="891">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c r="AC891" s="194"/>
      <c r="AD891" s="194"/>
      <c r="AE891" s="194"/>
      <c r="AF891" s="194"/>
      <c r="AG891" s="194"/>
      <c r="AH891" s="194"/>
      <c r="AI891" s="194"/>
      <c r="AJ891" s="194"/>
      <c r="AK891" s="194"/>
      <c r="AL891" s="194"/>
      <c r="AM891" s="194"/>
      <c r="AN891" s="194"/>
      <c r="AO891" s="194"/>
    </row>
    <row r="892">
      <c r="A892" s="194"/>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c r="AA892" s="194"/>
      <c r="AB892" s="194"/>
      <c r="AC892" s="194"/>
      <c r="AD892" s="194"/>
      <c r="AE892" s="194"/>
      <c r="AF892" s="194"/>
      <c r="AG892" s="194"/>
      <c r="AH892" s="194"/>
      <c r="AI892" s="194"/>
      <c r="AJ892" s="194"/>
      <c r="AK892" s="194"/>
      <c r="AL892" s="194"/>
      <c r="AM892" s="194"/>
      <c r="AN892" s="194"/>
      <c r="AO892" s="194"/>
    </row>
    <row r="893">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c r="AC893" s="194"/>
      <c r="AD893" s="194"/>
      <c r="AE893" s="194"/>
      <c r="AF893" s="194"/>
      <c r="AG893" s="194"/>
      <c r="AH893" s="194"/>
      <c r="AI893" s="194"/>
      <c r="AJ893" s="194"/>
      <c r="AK893" s="194"/>
      <c r="AL893" s="194"/>
      <c r="AM893" s="194"/>
      <c r="AN893" s="194"/>
      <c r="AO893" s="194"/>
    </row>
    <row r="894">
      <c r="A894" s="194"/>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c r="AA894" s="194"/>
      <c r="AB894" s="194"/>
      <c r="AC894" s="194"/>
      <c r="AD894" s="194"/>
      <c r="AE894" s="194"/>
      <c r="AF894" s="194"/>
      <c r="AG894" s="194"/>
      <c r="AH894" s="194"/>
      <c r="AI894" s="194"/>
      <c r="AJ894" s="194"/>
      <c r="AK894" s="194"/>
      <c r="AL894" s="194"/>
      <c r="AM894" s="194"/>
      <c r="AN894" s="194"/>
      <c r="AO894" s="194"/>
    </row>
    <row r="89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c r="AC895" s="194"/>
      <c r="AD895" s="194"/>
      <c r="AE895" s="194"/>
      <c r="AF895" s="194"/>
      <c r="AG895" s="194"/>
      <c r="AH895" s="194"/>
      <c r="AI895" s="194"/>
      <c r="AJ895" s="194"/>
      <c r="AK895" s="194"/>
      <c r="AL895" s="194"/>
      <c r="AM895" s="194"/>
      <c r="AN895" s="194"/>
      <c r="AO895" s="194"/>
    </row>
    <row r="896">
      <c r="A896" s="194"/>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c r="AA896" s="194"/>
      <c r="AB896" s="194"/>
      <c r="AC896" s="194"/>
      <c r="AD896" s="194"/>
      <c r="AE896" s="194"/>
      <c r="AF896" s="194"/>
      <c r="AG896" s="194"/>
      <c r="AH896" s="194"/>
      <c r="AI896" s="194"/>
      <c r="AJ896" s="194"/>
      <c r="AK896" s="194"/>
      <c r="AL896" s="194"/>
      <c r="AM896" s="194"/>
      <c r="AN896" s="194"/>
      <c r="AO896" s="194"/>
    </row>
    <row r="897">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c r="AC897" s="194"/>
      <c r="AD897" s="194"/>
      <c r="AE897" s="194"/>
      <c r="AF897" s="194"/>
      <c r="AG897" s="194"/>
      <c r="AH897" s="194"/>
      <c r="AI897" s="194"/>
      <c r="AJ897" s="194"/>
      <c r="AK897" s="194"/>
      <c r="AL897" s="194"/>
      <c r="AM897" s="194"/>
      <c r="AN897" s="194"/>
      <c r="AO897" s="194"/>
    </row>
    <row r="898">
      <c r="A898" s="194"/>
      <c r="B898" s="194"/>
      <c r="C898" s="194"/>
      <c r="D898" s="194"/>
      <c r="E898" s="194"/>
      <c r="F898" s="194"/>
      <c r="G898" s="194"/>
      <c r="H898" s="194"/>
      <c r="I898" s="194"/>
      <c r="J898" s="194"/>
      <c r="K898" s="194"/>
      <c r="L898" s="194"/>
      <c r="M898" s="194"/>
      <c r="N898" s="194"/>
      <c r="O898" s="194"/>
      <c r="P898" s="194"/>
      <c r="Q898" s="194"/>
      <c r="R898" s="194"/>
      <c r="S898" s="194"/>
      <c r="T898" s="194"/>
      <c r="U898" s="194"/>
      <c r="V898" s="194"/>
      <c r="W898" s="194"/>
      <c r="X898" s="194"/>
      <c r="Y898" s="194"/>
      <c r="Z898" s="194"/>
      <c r="AA898" s="194"/>
      <c r="AB898" s="194"/>
      <c r="AC898" s="194"/>
      <c r="AD898" s="194"/>
      <c r="AE898" s="194"/>
      <c r="AF898" s="194"/>
      <c r="AG898" s="194"/>
      <c r="AH898" s="194"/>
      <c r="AI898" s="194"/>
      <c r="AJ898" s="194"/>
      <c r="AK898" s="194"/>
      <c r="AL898" s="194"/>
      <c r="AM898" s="194"/>
      <c r="AN898" s="194"/>
      <c r="AO898" s="194"/>
    </row>
    <row r="899">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c r="AA899" s="194"/>
      <c r="AB899" s="194"/>
      <c r="AC899" s="194"/>
      <c r="AD899" s="194"/>
      <c r="AE899" s="194"/>
      <c r="AF899" s="194"/>
      <c r="AG899" s="194"/>
      <c r="AH899" s="194"/>
      <c r="AI899" s="194"/>
      <c r="AJ899" s="194"/>
      <c r="AK899" s="194"/>
      <c r="AL899" s="194"/>
      <c r="AM899" s="194"/>
      <c r="AN899" s="194"/>
      <c r="AO899" s="194"/>
    </row>
    <row r="900">
      <c r="A900" s="194"/>
      <c r="B900" s="194"/>
      <c r="C900" s="194"/>
      <c r="D900" s="194"/>
      <c r="E900" s="194"/>
      <c r="F900" s="194"/>
      <c r="G900" s="194"/>
      <c r="H900" s="194"/>
      <c r="I900" s="194"/>
      <c r="J900" s="194"/>
      <c r="K900" s="194"/>
      <c r="L900" s="194"/>
      <c r="M900" s="194"/>
      <c r="N900" s="194"/>
      <c r="O900" s="194"/>
      <c r="P900" s="194"/>
      <c r="Q900" s="194"/>
      <c r="R900" s="194"/>
      <c r="S900" s="194"/>
      <c r="T900" s="194"/>
      <c r="U900" s="194"/>
      <c r="V900" s="194"/>
      <c r="W900" s="194"/>
      <c r="X900" s="194"/>
      <c r="Y900" s="194"/>
      <c r="Z900" s="194"/>
      <c r="AA900" s="194"/>
      <c r="AB900" s="194"/>
      <c r="AC900" s="194"/>
      <c r="AD900" s="194"/>
      <c r="AE900" s="194"/>
      <c r="AF900" s="194"/>
      <c r="AG900" s="194"/>
      <c r="AH900" s="194"/>
      <c r="AI900" s="194"/>
      <c r="AJ900" s="194"/>
      <c r="AK900" s="194"/>
      <c r="AL900" s="194"/>
      <c r="AM900" s="194"/>
      <c r="AN900" s="194"/>
      <c r="AO900" s="194"/>
    </row>
    <row r="901">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c r="AA901" s="194"/>
      <c r="AB901" s="194"/>
      <c r="AC901" s="194"/>
      <c r="AD901" s="194"/>
      <c r="AE901" s="194"/>
      <c r="AF901" s="194"/>
      <c r="AG901" s="194"/>
      <c r="AH901" s="194"/>
      <c r="AI901" s="194"/>
      <c r="AJ901" s="194"/>
      <c r="AK901" s="194"/>
      <c r="AL901" s="194"/>
      <c r="AM901" s="194"/>
      <c r="AN901" s="194"/>
      <c r="AO901" s="194"/>
    </row>
    <row r="902">
      <c r="A902" s="194"/>
      <c r="B902" s="194"/>
      <c r="C902" s="194"/>
      <c r="D902" s="194"/>
      <c r="E902" s="194"/>
      <c r="F902" s="194"/>
      <c r="G902" s="194"/>
      <c r="H902" s="194"/>
      <c r="I902" s="194"/>
      <c r="J902" s="194"/>
      <c r="K902" s="194"/>
      <c r="L902" s="194"/>
      <c r="M902" s="194"/>
      <c r="N902" s="194"/>
      <c r="O902" s="194"/>
      <c r="P902" s="194"/>
      <c r="Q902" s="194"/>
      <c r="R902" s="194"/>
      <c r="S902" s="194"/>
      <c r="T902" s="194"/>
      <c r="U902" s="194"/>
      <c r="V902" s="194"/>
      <c r="W902" s="194"/>
      <c r="X902" s="194"/>
      <c r="Y902" s="194"/>
      <c r="Z902" s="194"/>
      <c r="AA902" s="194"/>
      <c r="AB902" s="194"/>
      <c r="AC902" s="194"/>
      <c r="AD902" s="194"/>
      <c r="AE902" s="194"/>
      <c r="AF902" s="194"/>
      <c r="AG902" s="194"/>
      <c r="AH902" s="194"/>
      <c r="AI902" s="194"/>
      <c r="AJ902" s="194"/>
      <c r="AK902" s="194"/>
      <c r="AL902" s="194"/>
      <c r="AM902" s="194"/>
      <c r="AN902" s="194"/>
      <c r="AO902" s="194"/>
    </row>
    <row r="903">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c r="AA903" s="194"/>
      <c r="AB903" s="194"/>
      <c r="AC903" s="194"/>
      <c r="AD903" s="194"/>
      <c r="AE903" s="194"/>
      <c r="AF903" s="194"/>
      <c r="AG903" s="194"/>
      <c r="AH903" s="194"/>
      <c r="AI903" s="194"/>
      <c r="AJ903" s="194"/>
      <c r="AK903" s="194"/>
      <c r="AL903" s="194"/>
      <c r="AM903" s="194"/>
      <c r="AN903" s="194"/>
      <c r="AO903" s="194"/>
    </row>
    <row r="904">
      <c r="A904" s="194"/>
      <c r="B904" s="194"/>
      <c r="C904" s="194"/>
      <c r="D904" s="194"/>
      <c r="E904" s="194"/>
      <c r="F904" s="194"/>
      <c r="G904" s="194"/>
      <c r="H904" s="194"/>
      <c r="I904" s="194"/>
      <c r="J904" s="194"/>
      <c r="K904" s="194"/>
      <c r="L904" s="194"/>
      <c r="M904" s="194"/>
      <c r="N904" s="194"/>
      <c r="O904" s="194"/>
      <c r="P904" s="194"/>
      <c r="Q904" s="194"/>
      <c r="R904" s="194"/>
      <c r="S904" s="194"/>
      <c r="T904" s="194"/>
      <c r="U904" s="194"/>
      <c r="V904" s="194"/>
      <c r="W904" s="194"/>
      <c r="X904" s="194"/>
      <c r="Y904" s="194"/>
      <c r="Z904" s="194"/>
      <c r="AA904" s="194"/>
      <c r="AB904" s="194"/>
      <c r="AC904" s="194"/>
      <c r="AD904" s="194"/>
      <c r="AE904" s="194"/>
      <c r="AF904" s="194"/>
      <c r="AG904" s="194"/>
      <c r="AH904" s="194"/>
      <c r="AI904" s="194"/>
      <c r="AJ904" s="194"/>
      <c r="AK904" s="194"/>
      <c r="AL904" s="194"/>
      <c r="AM904" s="194"/>
      <c r="AN904" s="194"/>
      <c r="AO904" s="194"/>
    </row>
    <row r="90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c r="AA905" s="194"/>
      <c r="AB905" s="194"/>
      <c r="AC905" s="194"/>
      <c r="AD905" s="194"/>
      <c r="AE905" s="194"/>
      <c r="AF905" s="194"/>
      <c r="AG905" s="194"/>
      <c r="AH905" s="194"/>
      <c r="AI905" s="194"/>
      <c r="AJ905" s="194"/>
      <c r="AK905" s="194"/>
      <c r="AL905" s="194"/>
      <c r="AM905" s="194"/>
      <c r="AN905" s="194"/>
      <c r="AO905" s="194"/>
    </row>
    <row r="906">
      <c r="A906" s="194"/>
      <c r="B906" s="194"/>
      <c r="C906" s="194"/>
      <c r="D906" s="194"/>
      <c r="E906" s="194"/>
      <c r="F906" s="194"/>
      <c r="G906" s="194"/>
      <c r="H906" s="194"/>
      <c r="I906" s="194"/>
      <c r="J906" s="194"/>
      <c r="K906" s="194"/>
      <c r="L906" s="194"/>
      <c r="M906" s="194"/>
      <c r="N906" s="194"/>
      <c r="O906" s="194"/>
      <c r="P906" s="194"/>
      <c r="Q906" s="194"/>
      <c r="R906" s="194"/>
      <c r="S906" s="194"/>
      <c r="T906" s="194"/>
      <c r="U906" s="194"/>
      <c r="V906" s="194"/>
      <c r="W906" s="194"/>
      <c r="X906" s="194"/>
      <c r="Y906" s="194"/>
      <c r="Z906" s="194"/>
      <c r="AA906" s="194"/>
      <c r="AB906" s="194"/>
      <c r="AC906" s="194"/>
      <c r="AD906" s="194"/>
      <c r="AE906" s="194"/>
      <c r="AF906" s="194"/>
      <c r="AG906" s="194"/>
      <c r="AH906" s="194"/>
      <c r="AI906" s="194"/>
      <c r="AJ906" s="194"/>
      <c r="AK906" s="194"/>
      <c r="AL906" s="194"/>
      <c r="AM906" s="194"/>
      <c r="AN906" s="194"/>
      <c r="AO906" s="194"/>
    </row>
    <row r="907">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c r="AA907" s="194"/>
      <c r="AB907" s="194"/>
      <c r="AC907" s="194"/>
      <c r="AD907" s="194"/>
      <c r="AE907" s="194"/>
      <c r="AF907" s="194"/>
      <c r="AG907" s="194"/>
      <c r="AH907" s="194"/>
      <c r="AI907" s="194"/>
      <c r="AJ907" s="194"/>
      <c r="AK907" s="194"/>
      <c r="AL907" s="194"/>
      <c r="AM907" s="194"/>
      <c r="AN907" s="194"/>
      <c r="AO907" s="194"/>
    </row>
    <row r="908">
      <c r="A908" s="194"/>
      <c r="B908" s="194"/>
      <c r="C908" s="194"/>
      <c r="D908" s="194"/>
      <c r="E908" s="194"/>
      <c r="F908" s="194"/>
      <c r="G908" s="194"/>
      <c r="H908" s="194"/>
      <c r="I908" s="194"/>
      <c r="J908" s="194"/>
      <c r="K908" s="194"/>
      <c r="L908" s="194"/>
      <c r="M908" s="194"/>
      <c r="N908" s="194"/>
      <c r="O908" s="194"/>
      <c r="P908" s="194"/>
      <c r="Q908" s="194"/>
      <c r="R908" s="194"/>
      <c r="S908" s="194"/>
      <c r="T908" s="194"/>
      <c r="U908" s="194"/>
      <c r="V908" s="194"/>
      <c r="W908" s="194"/>
      <c r="X908" s="194"/>
      <c r="Y908" s="194"/>
      <c r="Z908" s="194"/>
      <c r="AA908" s="194"/>
      <c r="AB908" s="194"/>
      <c r="AC908" s="194"/>
      <c r="AD908" s="194"/>
      <c r="AE908" s="194"/>
      <c r="AF908" s="194"/>
      <c r="AG908" s="194"/>
      <c r="AH908" s="194"/>
      <c r="AI908" s="194"/>
      <c r="AJ908" s="194"/>
      <c r="AK908" s="194"/>
      <c r="AL908" s="194"/>
      <c r="AM908" s="194"/>
      <c r="AN908" s="194"/>
      <c r="AO908" s="194"/>
    </row>
    <row r="909">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c r="AA909" s="194"/>
      <c r="AB909" s="194"/>
      <c r="AC909" s="194"/>
      <c r="AD909" s="194"/>
      <c r="AE909" s="194"/>
      <c r="AF909" s="194"/>
      <c r="AG909" s="194"/>
      <c r="AH909" s="194"/>
      <c r="AI909" s="194"/>
      <c r="AJ909" s="194"/>
      <c r="AK909" s="194"/>
      <c r="AL909" s="194"/>
      <c r="AM909" s="194"/>
      <c r="AN909" s="194"/>
      <c r="AO909" s="194"/>
    </row>
    <row r="910">
      <c r="A910" s="194"/>
      <c r="B910" s="194"/>
      <c r="C910" s="194"/>
      <c r="D910" s="194"/>
      <c r="E910" s="194"/>
      <c r="F910" s="194"/>
      <c r="G910" s="194"/>
      <c r="H910" s="194"/>
      <c r="I910" s="194"/>
      <c r="J910" s="194"/>
      <c r="K910" s="194"/>
      <c r="L910" s="194"/>
      <c r="M910" s="194"/>
      <c r="N910" s="194"/>
      <c r="O910" s="194"/>
      <c r="P910" s="194"/>
      <c r="Q910" s="194"/>
      <c r="R910" s="194"/>
      <c r="S910" s="194"/>
      <c r="T910" s="194"/>
      <c r="U910" s="194"/>
      <c r="V910" s="194"/>
      <c r="W910" s="194"/>
      <c r="X910" s="194"/>
      <c r="Y910" s="194"/>
      <c r="Z910" s="194"/>
      <c r="AA910" s="194"/>
      <c r="AB910" s="194"/>
      <c r="AC910" s="194"/>
      <c r="AD910" s="194"/>
      <c r="AE910" s="194"/>
      <c r="AF910" s="194"/>
      <c r="AG910" s="194"/>
      <c r="AH910" s="194"/>
      <c r="AI910" s="194"/>
      <c r="AJ910" s="194"/>
      <c r="AK910" s="194"/>
      <c r="AL910" s="194"/>
      <c r="AM910" s="194"/>
      <c r="AN910" s="194"/>
      <c r="AO910" s="194"/>
    </row>
    <row r="911">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c r="AA911" s="194"/>
      <c r="AB911" s="194"/>
      <c r="AC911" s="194"/>
      <c r="AD911" s="194"/>
      <c r="AE911" s="194"/>
      <c r="AF911" s="194"/>
      <c r="AG911" s="194"/>
      <c r="AH911" s="194"/>
      <c r="AI911" s="194"/>
      <c r="AJ911" s="194"/>
      <c r="AK911" s="194"/>
      <c r="AL911" s="194"/>
      <c r="AM911" s="194"/>
      <c r="AN911" s="194"/>
      <c r="AO911" s="194"/>
    </row>
    <row r="912">
      <c r="A912" s="194"/>
      <c r="B912" s="194"/>
      <c r="C912" s="194"/>
      <c r="D912" s="194"/>
      <c r="E912" s="194"/>
      <c r="F912" s="194"/>
      <c r="G912" s="194"/>
      <c r="H912" s="194"/>
      <c r="I912" s="194"/>
      <c r="J912" s="194"/>
      <c r="K912" s="194"/>
      <c r="L912" s="194"/>
      <c r="M912" s="194"/>
      <c r="N912" s="194"/>
      <c r="O912" s="194"/>
      <c r="P912" s="194"/>
      <c r="Q912" s="194"/>
      <c r="R912" s="194"/>
      <c r="S912" s="194"/>
      <c r="T912" s="194"/>
      <c r="U912" s="194"/>
      <c r="V912" s="194"/>
      <c r="W912" s="194"/>
      <c r="X912" s="194"/>
      <c r="Y912" s="194"/>
      <c r="Z912" s="194"/>
      <c r="AA912" s="194"/>
      <c r="AB912" s="194"/>
      <c r="AC912" s="194"/>
      <c r="AD912" s="194"/>
      <c r="AE912" s="194"/>
      <c r="AF912" s="194"/>
      <c r="AG912" s="194"/>
      <c r="AH912" s="194"/>
      <c r="AI912" s="194"/>
      <c r="AJ912" s="194"/>
      <c r="AK912" s="194"/>
      <c r="AL912" s="194"/>
      <c r="AM912" s="194"/>
      <c r="AN912" s="194"/>
      <c r="AO912" s="194"/>
    </row>
    <row r="913">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c r="AA913" s="194"/>
      <c r="AB913" s="194"/>
      <c r="AC913" s="194"/>
      <c r="AD913" s="194"/>
      <c r="AE913" s="194"/>
      <c r="AF913" s="194"/>
      <c r="AG913" s="194"/>
      <c r="AH913" s="194"/>
      <c r="AI913" s="194"/>
      <c r="AJ913" s="194"/>
      <c r="AK913" s="194"/>
      <c r="AL913" s="194"/>
      <c r="AM913" s="194"/>
      <c r="AN913" s="194"/>
      <c r="AO913" s="194"/>
    </row>
    <row r="914">
      <c r="A914" s="194"/>
      <c r="B914" s="194"/>
      <c r="C914" s="194"/>
      <c r="D914" s="194"/>
      <c r="E914" s="194"/>
      <c r="F914" s="194"/>
      <c r="G914" s="194"/>
      <c r="H914" s="194"/>
      <c r="I914" s="194"/>
      <c r="J914" s="194"/>
      <c r="K914" s="194"/>
      <c r="L914" s="194"/>
      <c r="M914" s="194"/>
      <c r="N914" s="194"/>
      <c r="O914" s="194"/>
      <c r="P914" s="194"/>
      <c r="Q914" s="194"/>
      <c r="R914" s="194"/>
      <c r="S914" s="194"/>
      <c r="T914" s="194"/>
      <c r="U914" s="194"/>
      <c r="V914" s="194"/>
      <c r="W914" s="194"/>
      <c r="X914" s="194"/>
      <c r="Y914" s="194"/>
      <c r="Z914" s="194"/>
      <c r="AA914" s="194"/>
      <c r="AB914" s="194"/>
      <c r="AC914" s="194"/>
      <c r="AD914" s="194"/>
      <c r="AE914" s="194"/>
      <c r="AF914" s="194"/>
      <c r="AG914" s="194"/>
      <c r="AH914" s="194"/>
      <c r="AI914" s="194"/>
      <c r="AJ914" s="194"/>
      <c r="AK914" s="194"/>
      <c r="AL914" s="194"/>
      <c r="AM914" s="194"/>
      <c r="AN914" s="194"/>
      <c r="AO914" s="194"/>
    </row>
    <row r="91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c r="AA915" s="194"/>
      <c r="AB915" s="194"/>
      <c r="AC915" s="194"/>
      <c r="AD915" s="194"/>
      <c r="AE915" s="194"/>
      <c r="AF915" s="194"/>
      <c r="AG915" s="194"/>
      <c r="AH915" s="194"/>
      <c r="AI915" s="194"/>
      <c r="AJ915" s="194"/>
      <c r="AK915" s="194"/>
      <c r="AL915" s="194"/>
      <c r="AM915" s="194"/>
      <c r="AN915" s="194"/>
      <c r="AO915" s="194"/>
    </row>
    <row r="916">
      <c r="A916" s="194"/>
      <c r="B916" s="194"/>
      <c r="C916" s="194"/>
      <c r="D916" s="194"/>
      <c r="E916" s="194"/>
      <c r="F916" s="194"/>
      <c r="G916" s="194"/>
      <c r="H916" s="194"/>
      <c r="I916" s="194"/>
      <c r="J916" s="194"/>
      <c r="K916" s="194"/>
      <c r="L916" s="194"/>
      <c r="M916" s="194"/>
      <c r="N916" s="194"/>
      <c r="O916" s="194"/>
      <c r="P916" s="194"/>
      <c r="Q916" s="194"/>
      <c r="R916" s="194"/>
      <c r="S916" s="194"/>
      <c r="T916" s="194"/>
      <c r="U916" s="194"/>
      <c r="V916" s="194"/>
      <c r="W916" s="194"/>
      <c r="X916" s="194"/>
      <c r="Y916" s="194"/>
      <c r="Z916" s="194"/>
      <c r="AA916" s="194"/>
      <c r="AB916" s="194"/>
      <c r="AC916" s="194"/>
      <c r="AD916" s="194"/>
      <c r="AE916" s="194"/>
      <c r="AF916" s="194"/>
      <c r="AG916" s="194"/>
      <c r="AH916" s="194"/>
      <c r="AI916" s="194"/>
      <c r="AJ916" s="194"/>
      <c r="AK916" s="194"/>
      <c r="AL916" s="194"/>
      <c r="AM916" s="194"/>
      <c r="AN916" s="194"/>
      <c r="AO916" s="194"/>
    </row>
    <row r="917">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c r="AA917" s="194"/>
      <c r="AB917" s="194"/>
      <c r="AC917" s="194"/>
      <c r="AD917" s="194"/>
      <c r="AE917" s="194"/>
      <c r="AF917" s="194"/>
      <c r="AG917" s="194"/>
      <c r="AH917" s="194"/>
      <c r="AI917" s="194"/>
      <c r="AJ917" s="194"/>
      <c r="AK917" s="194"/>
      <c r="AL917" s="194"/>
      <c r="AM917" s="194"/>
      <c r="AN917" s="194"/>
      <c r="AO917" s="194"/>
    </row>
    <row r="918">
      <c r="A918" s="194"/>
      <c r="B918" s="194"/>
      <c r="C918" s="194"/>
      <c r="D918" s="194"/>
      <c r="E918" s="194"/>
      <c r="F918" s="194"/>
      <c r="G918" s="194"/>
      <c r="H918" s="194"/>
      <c r="I918" s="194"/>
      <c r="J918" s="194"/>
      <c r="K918" s="194"/>
      <c r="L918" s="194"/>
      <c r="M918" s="194"/>
      <c r="N918" s="194"/>
      <c r="O918" s="194"/>
      <c r="P918" s="194"/>
      <c r="Q918" s="194"/>
      <c r="R918" s="194"/>
      <c r="S918" s="194"/>
      <c r="T918" s="194"/>
      <c r="U918" s="194"/>
      <c r="V918" s="194"/>
      <c r="W918" s="194"/>
      <c r="X918" s="194"/>
      <c r="Y918" s="194"/>
      <c r="Z918" s="194"/>
      <c r="AA918" s="194"/>
      <c r="AB918" s="194"/>
      <c r="AC918" s="194"/>
      <c r="AD918" s="194"/>
      <c r="AE918" s="194"/>
      <c r="AF918" s="194"/>
      <c r="AG918" s="194"/>
      <c r="AH918" s="194"/>
      <c r="AI918" s="194"/>
      <c r="AJ918" s="194"/>
      <c r="AK918" s="194"/>
      <c r="AL918" s="194"/>
      <c r="AM918" s="194"/>
      <c r="AN918" s="194"/>
      <c r="AO918" s="194"/>
    </row>
    <row r="919">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c r="AA919" s="194"/>
      <c r="AB919" s="194"/>
      <c r="AC919" s="194"/>
      <c r="AD919" s="194"/>
      <c r="AE919" s="194"/>
      <c r="AF919" s="194"/>
      <c r="AG919" s="194"/>
      <c r="AH919" s="194"/>
      <c r="AI919" s="194"/>
      <c r="AJ919" s="194"/>
      <c r="AK919" s="194"/>
      <c r="AL919" s="194"/>
      <c r="AM919" s="194"/>
      <c r="AN919" s="194"/>
      <c r="AO919" s="194"/>
    </row>
    <row r="920">
      <c r="A920" s="194"/>
      <c r="B920" s="194"/>
      <c r="C920" s="194"/>
      <c r="D920" s="194"/>
      <c r="E920" s="194"/>
      <c r="F920" s="194"/>
      <c r="G920" s="194"/>
      <c r="H920" s="194"/>
      <c r="I920" s="194"/>
      <c r="J920" s="194"/>
      <c r="K920" s="194"/>
      <c r="L920" s="194"/>
      <c r="M920" s="194"/>
      <c r="N920" s="194"/>
      <c r="O920" s="194"/>
      <c r="P920" s="194"/>
      <c r="Q920" s="194"/>
      <c r="R920" s="194"/>
      <c r="S920" s="194"/>
      <c r="T920" s="194"/>
      <c r="U920" s="194"/>
      <c r="V920" s="194"/>
      <c r="W920" s="194"/>
      <c r="X920" s="194"/>
      <c r="Y920" s="194"/>
      <c r="Z920" s="194"/>
      <c r="AA920" s="194"/>
      <c r="AB920" s="194"/>
      <c r="AC920" s="194"/>
      <c r="AD920" s="194"/>
      <c r="AE920" s="194"/>
      <c r="AF920" s="194"/>
      <c r="AG920" s="194"/>
      <c r="AH920" s="194"/>
      <c r="AI920" s="194"/>
      <c r="AJ920" s="194"/>
      <c r="AK920" s="194"/>
      <c r="AL920" s="194"/>
      <c r="AM920" s="194"/>
      <c r="AN920" s="194"/>
      <c r="AO920" s="194"/>
    </row>
    <row r="921">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c r="AA921" s="194"/>
      <c r="AB921" s="194"/>
      <c r="AC921" s="194"/>
      <c r="AD921" s="194"/>
      <c r="AE921" s="194"/>
      <c r="AF921" s="194"/>
      <c r="AG921" s="194"/>
      <c r="AH921" s="194"/>
      <c r="AI921" s="194"/>
      <c r="AJ921" s="194"/>
      <c r="AK921" s="194"/>
      <c r="AL921" s="194"/>
      <c r="AM921" s="194"/>
      <c r="AN921" s="194"/>
      <c r="AO921" s="194"/>
    </row>
    <row r="922">
      <c r="A922" s="194"/>
      <c r="B922" s="194"/>
      <c r="C922" s="194"/>
      <c r="D922" s="194"/>
      <c r="E922" s="194"/>
      <c r="F922" s="194"/>
      <c r="G922" s="194"/>
      <c r="H922" s="194"/>
      <c r="I922" s="194"/>
      <c r="J922" s="194"/>
      <c r="K922" s="194"/>
      <c r="L922" s="194"/>
      <c r="M922" s="194"/>
      <c r="N922" s="194"/>
      <c r="O922" s="194"/>
      <c r="P922" s="194"/>
      <c r="Q922" s="194"/>
      <c r="R922" s="194"/>
      <c r="S922" s="194"/>
      <c r="T922" s="194"/>
      <c r="U922" s="194"/>
      <c r="V922" s="194"/>
      <c r="W922" s="194"/>
      <c r="X922" s="194"/>
      <c r="Y922" s="194"/>
      <c r="Z922" s="194"/>
      <c r="AA922" s="194"/>
      <c r="AB922" s="194"/>
      <c r="AC922" s="194"/>
      <c r="AD922" s="194"/>
      <c r="AE922" s="194"/>
      <c r="AF922" s="194"/>
      <c r="AG922" s="194"/>
      <c r="AH922" s="194"/>
      <c r="AI922" s="194"/>
      <c r="AJ922" s="194"/>
      <c r="AK922" s="194"/>
      <c r="AL922" s="194"/>
      <c r="AM922" s="194"/>
      <c r="AN922" s="194"/>
      <c r="AO922" s="194"/>
    </row>
    <row r="923">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c r="AA923" s="194"/>
      <c r="AB923" s="194"/>
      <c r="AC923" s="194"/>
      <c r="AD923" s="194"/>
      <c r="AE923" s="194"/>
      <c r="AF923" s="194"/>
      <c r="AG923" s="194"/>
      <c r="AH923" s="194"/>
      <c r="AI923" s="194"/>
      <c r="AJ923" s="194"/>
      <c r="AK923" s="194"/>
      <c r="AL923" s="194"/>
      <c r="AM923" s="194"/>
      <c r="AN923" s="194"/>
      <c r="AO923" s="194"/>
    </row>
    <row r="924">
      <c r="A924" s="194"/>
      <c r="B924" s="194"/>
      <c r="C924" s="194"/>
      <c r="D924" s="194"/>
      <c r="E924" s="194"/>
      <c r="F924" s="194"/>
      <c r="G924" s="194"/>
      <c r="H924" s="194"/>
      <c r="I924" s="194"/>
      <c r="J924" s="194"/>
      <c r="K924" s="194"/>
      <c r="L924" s="194"/>
      <c r="M924" s="194"/>
      <c r="N924" s="194"/>
      <c r="O924" s="194"/>
      <c r="P924" s="194"/>
      <c r="Q924" s="194"/>
      <c r="R924" s="194"/>
      <c r="S924" s="194"/>
      <c r="T924" s="194"/>
      <c r="U924" s="194"/>
      <c r="V924" s="194"/>
      <c r="W924" s="194"/>
      <c r="X924" s="194"/>
      <c r="Y924" s="194"/>
      <c r="Z924" s="194"/>
      <c r="AA924" s="194"/>
      <c r="AB924" s="194"/>
      <c r="AC924" s="194"/>
      <c r="AD924" s="194"/>
      <c r="AE924" s="194"/>
      <c r="AF924" s="194"/>
      <c r="AG924" s="194"/>
      <c r="AH924" s="194"/>
      <c r="AI924" s="194"/>
      <c r="AJ924" s="194"/>
      <c r="AK924" s="194"/>
      <c r="AL924" s="194"/>
      <c r="AM924" s="194"/>
      <c r="AN924" s="194"/>
      <c r="AO924" s="194"/>
    </row>
    <row r="9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c r="AA925" s="194"/>
      <c r="AB925" s="194"/>
      <c r="AC925" s="194"/>
      <c r="AD925" s="194"/>
      <c r="AE925" s="194"/>
      <c r="AF925" s="194"/>
      <c r="AG925" s="194"/>
      <c r="AH925" s="194"/>
      <c r="AI925" s="194"/>
      <c r="AJ925" s="194"/>
      <c r="AK925" s="194"/>
      <c r="AL925" s="194"/>
      <c r="AM925" s="194"/>
      <c r="AN925" s="194"/>
      <c r="AO925" s="194"/>
    </row>
    <row r="926">
      <c r="A926" s="194"/>
      <c r="B926" s="194"/>
      <c r="C926" s="194"/>
      <c r="D926" s="194"/>
      <c r="E926" s="194"/>
      <c r="F926" s="194"/>
      <c r="G926" s="194"/>
      <c r="H926" s="194"/>
      <c r="I926" s="194"/>
      <c r="J926" s="194"/>
      <c r="K926" s="194"/>
      <c r="L926" s="194"/>
      <c r="M926" s="194"/>
      <c r="N926" s="194"/>
      <c r="O926" s="194"/>
      <c r="P926" s="194"/>
      <c r="Q926" s="194"/>
      <c r="R926" s="194"/>
      <c r="S926" s="194"/>
      <c r="T926" s="194"/>
      <c r="U926" s="194"/>
      <c r="V926" s="194"/>
      <c r="W926" s="194"/>
      <c r="X926" s="194"/>
      <c r="Y926" s="194"/>
      <c r="Z926" s="194"/>
      <c r="AA926" s="194"/>
      <c r="AB926" s="194"/>
      <c r="AC926" s="194"/>
      <c r="AD926" s="194"/>
      <c r="AE926" s="194"/>
      <c r="AF926" s="194"/>
      <c r="AG926" s="194"/>
      <c r="AH926" s="194"/>
      <c r="AI926" s="194"/>
      <c r="AJ926" s="194"/>
      <c r="AK926" s="194"/>
      <c r="AL926" s="194"/>
      <c r="AM926" s="194"/>
      <c r="AN926" s="194"/>
      <c r="AO926" s="194"/>
    </row>
    <row r="927">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c r="AA927" s="194"/>
      <c r="AB927" s="194"/>
      <c r="AC927" s="194"/>
      <c r="AD927" s="194"/>
      <c r="AE927" s="194"/>
      <c r="AF927" s="194"/>
      <c r="AG927" s="194"/>
      <c r="AH927" s="194"/>
      <c r="AI927" s="194"/>
      <c r="AJ927" s="194"/>
      <c r="AK927" s="194"/>
      <c r="AL927" s="194"/>
      <c r="AM927" s="194"/>
      <c r="AN927" s="194"/>
      <c r="AO927" s="194"/>
    </row>
    <row r="928">
      <c r="A928" s="194"/>
      <c r="B928" s="194"/>
      <c r="C928" s="194"/>
      <c r="D928" s="194"/>
      <c r="E928" s="194"/>
      <c r="F928" s="194"/>
      <c r="G928" s="194"/>
      <c r="H928" s="194"/>
      <c r="I928" s="194"/>
      <c r="J928" s="194"/>
      <c r="K928" s="194"/>
      <c r="L928" s="194"/>
      <c r="M928" s="194"/>
      <c r="N928" s="194"/>
      <c r="O928" s="194"/>
      <c r="P928" s="194"/>
      <c r="Q928" s="194"/>
      <c r="R928" s="194"/>
      <c r="S928" s="194"/>
      <c r="T928" s="194"/>
      <c r="U928" s="194"/>
      <c r="V928" s="194"/>
      <c r="W928" s="194"/>
      <c r="X928" s="194"/>
      <c r="Y928" s="194"/>
      <c r="Z928" s="194"/>
      <c r="AA928" s="194"/>
      <c r="AB928" s="194"/>
      <c r="AC928" s="194"/>
      <c r="AD928" s="194"/>
      <c r="AE928" s="194"/>
      <c r="AF928" s="194"/>
      <c r="AG928" s="194"/>
      <c r="AH928" s="194"/>
      <c r="AI928" s="194"/>
      <c r="AJ928" s="194"/>
      <c r="AK928" s="194"/>
      <c r="AL928" s="194"/>
      <c r="AM928" s="194"/>
      <c r="AN928" s="194"/>
      <c r="AO928" s="194"/>
    </row>
    <row r="929">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c r="AA929" s="194"/>
      <c r="AB929" s="194"/>
      <c r="AC929" s="194"/>
      <c r="AD929" s="194"/>
      <c r="AE929" s="194"/>
      <c r="AF929" s="194"/>
      <c r="AG929" s="194"/>
      <c r="AH929" s="194"/>
      <c r="AI929" s="194"/>
      <c r="AJ929" s="194"/>
      <c r="AK929" s="194"/>
      <c r="AL929" s="194"/>
      <c r="AM929" s="194"/>
      <c r="AN929" s="194"/>
      <c r="AO929" s="194"/>
    </row>
    <row r="930">
      <c r="A930" s="194"/>
      <c r="B930" s="194"/>
      <c r="C930" s="194"/>
      <c r="D930" s="194"/>
      <c r="E930" s="194"/>
      <c r="F930" s="194"/>
      <c r="G930" s="194"/>
      <c r="H930" s="194"/>
      <c r="I930" s="194"/>
      <c r="J930" s="194"/>
      <c r="K930" s="194"/>
      <c r="L930" s="194"/>
      <c r="M930" s="194"/>
      <c r="N930" s="194"/>
      <c r="O930" s="194"/>
      <c r="P930" s="194"/>
      <c r="Q930" s="194"/>
      <c r="R930" s="194"/>
      <c r="S930" s="194"/>
      <c r="T930" s="194"/>
      <c r="U930" s="194"/>
      <c r="V930" s="194"/>
      <c r="W930" s="194"/>
      <c r="X930" s="194"/>
      <c r="Y930" s="194"/>
      <c r="Z930" s="194"/>
      <c r="AA930" s="194"/>
      <c r="AB930" s="194"/>
      <c r="AC930" s="194"/>
      <c r="AD930" s="194"/>
      <c r="AE930" s="194"/>
      <c r="AF930" s="194"/>
      <c r="AG930" s="194"/>
      <c r="AH930" s="194"/>
      <c r="AI930" s="194"/>
      <c r="AJ930" s="194"/>
      <c r="AK930" s="194"/>
      <c r="AL930" s="194"/>
      <c r="AM930" s="194"/>
      <c r="AN930" s="194"/>
      <c r="AO930" s="194"/>
    </row>
    <row r="931">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c r="AA931" s="194"/>
      <c r="AB931" s="194"/>
      <c r="AC931" s="194"/>
      <c r="AD931" s="194"/>
      <c r="AE931" s="194"/>
      <c r="AF931" s="194"/>
      <c r="AG931" s="194"/>
      <c r="AH931" s="194"/>
      <c r="AI931" s="194"/>
      <c r="AJ931" s="194"/>
      <c r="AK931" s="194"/>
      <c r="AL931" s="194"/>
      <c r="AM931" s="194"/>
      <c r="AN931" s="194"/>
      <c r="AO931" s="194"/>
    </row>
    <row r="932">
      <c r="A932" s="194"/>
      <c r="B932" s="194"/>
      <c r="C932" s="194"/>
      <c r="D932" s="194"/>
      <c r="E932" s="194"/>
      <c r="F932" s="194"/>
      <c r="G932" s="194"/>
      <c r="H932" s="194"/>
      <c r="I932" s="194"/>
      <c r="J932" s="194"/>
      <c r="K932" s="194"/>
      <c r="L932" s="194"/>
      <c r="M932" s="194"/>
      <c r="N932" s="194"/>
      <c r="O932" s="194"/>
      <c r="P932" s="194"/>
      <c r="Q932" s="194"/>
      <c r="R932" s="194"/>
      <c r="S932" s="194"/>
      <c r="T932" s="194"/>
      <c r="U932" s="194"/>
      <c r="V932" s="194"/>
      <c r="W932" s="194"/>
      <c r="X932" s="194"/>
      <c r="Y932" s="194"/>
      <c r="Z932" s="194"/>
      <c r="AA932" s="194"/>
      <c r="AB932" s="194"/>
      <c r="AC932" s="194"/>
      <c r="AD932" s="194"/>
      <c r="AE932" s="194"/>
      <c r="AF932" s="194"/>
      <c r="AG932" s="194"/>
      <c r="AH932" s="194"/>
      <c r="AI932" s="194"/>
      <c r="AJ932" s="194"/>
      <c r="AK932" s="194"/>
      <c r="AL932" s="194"/>
      <c r="AM932" s="194"/>
      <c r="AN932" s="194"/>
      <c r="AO932" s="194"/>
    </row>
    <row r="933">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c r="AA933" s="194"/>
      <c r="AB933" s="194"/>
      <c r="AC933" s="194"/>
      <c r="AD933" s="194"/>
      <c r="AE933" s="194"/>
      <c r="AF933" s="194"/>
      <c r="AG933" s="194"/>
      <c r="AH933" s="194"/>
      <c r="AI933" s="194"/>
      <c r="AJ933" s="194"/>
      <c r="AK933" s="194"/>
      <c r="AL933" s="194"/>
      <c r="AM933" s="194"/>
      <c r="AN933" s="194"/>
      <c r="AO933" s="194"/>
    </row>
    <row r="934">
      <c r="A934" s="194"/>
      <c r="B934" s="194"/>
      <c r="C934" s="194"/>
      <c r="D934" s="194"/>
      <c r="E934" s="194"/>
      <c r="F934" s="194"/>
      <c r="G934" s="194"/>
      <c r="H934" s="194"/>
      <c r="I934" s="194"/>
      <c r="J934" s="194"/>
      <c r="K934" s="194"/>
      <c r="L934" s="194"/>
      <c r="M934" s="194"/>
      <c r="N934" s="194"/>
      <c r="O934" s="194"/>
      <c r="P934" s="194"/>
      <c r="Q934" s="194"/>
      <c r="R934" s="194"/>
      <c r="S934" s="194"/>
      <c r="T934" s="194"/>
      <c r="U934" s="194"/>
      <c r="V934" s="194"/>
      <c r="W934" s="194"/>
      <c r="X934" s="194"/>
      <c r="Y934" s="194"/>
      <c r="Z934" s="194"/>
      <c r="AA934" s="194"/>
      <c r="AB934" s="194"/>
      <c r="AC934" s="194"/>
      <c r="AD934" s="194"/>
      <c r="AE934" s="194"/>
      <c r="AF934" s="194"/>
      <c r="AG934" s="194"/>
      <c r="AH934" s="194"/>
      <c r="AI934" s="194"/>
      <c r="AJ934" s="194"/>
      <c r="AK934" s="194"/>
      <c r="AL934" s="194"/>
      <c r="AM934" s="194"/>
      <c r="AN934" s="194"/>
      <c r="AO934" s="194"/>
    </row>
    <row r="93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c r="AA935" s="194"/>
      <c r="AB935" s="194"/>
      <c r="AC935" s="194"/>
      <c r="AD935" s="194"/>
      <c r="AE935" s="194"/>
      <c r="AF935" s="194"/>
      <c r="AG935" s="194"/>
      <c r="AH935" s="194"/>
      <c r="AI935" s="194"/>
      <c r="AJ935" s="194"/>
      <c r="AK935" s="194"/>
      <c r="AL935" s="194"/>
      <c r="AM935" s="194"/>
      <c r="AN935" s="194"/>
      <c r="AO935" s="194"/>
    </row>
    <row r="936">
      <c r="A936" s="194"/>
      <c r="B936" s="194"/>
      <c r="C936" s="194"/>
      <c r="D936" s="194"/>
      <c r="E936" s="194"/>
      <c r="F936" s="194"/>
      <c r="G936" s="194"/>
      <c r="H936" s="194"/>
      <c r="I936" s="194"/>
      <c r="J936" s="194"/>
      <c r="K936" s="194"/>
      <c r="L936" s="194"/>
      <c r="M936" s="194"/>
      <c r="N936" s="194"/>
      <c r="O936" s="194"/>
      <c r="P936" s="194"/>
      <c r="Q936" s="194"/>
      <c r="R936" s="194"/>
      <c r="S936" s="194"/>
      <c r="T936" s="194"/>
      <c r="U936" s="194"/>
      <c r="V936" s="194"/>
      <c r="W936" s="194"/>
      <c r="X936" s="194"/>
      <c r="Y936" s="194"/>
      <c r="Z936" s="194"/>
      <c r="AA936" s="194"/>
      <c r="AB936" s="194"/>
      <c r="AC936" s="194"/>
      <c r="AD936" s="194"/>
      <c r="AE936" s="194"/>
      <c r="AF936" s="194"/>
      <c r="AG936" s="194"/>
      <c r="AH936" s="194"/>
      <c r="AI936" s="194"/>
      <c r="AJ936" s="194"/>
      <c r="AK936" s="194"/>
      <c r="AL936" s="194"/>
      <c r="AM936" s="194"/>
      <c r="AN936" s="194"/>
      <c r="AO936" s="194"/>
    </row>
    <row r="937">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c r="AA937" s="194"/>
      <c r="AB937" s="194"/>
      <c r="AC937" s="194"/>
      <c r="AD937" s="194"/>
      <c r="AE937" s="194"/>
      <c r="AF937" s="194"/>
      <c r="AG937" s="194"/>
      <c r="AH937" s="194"/>
      <c r="AI937" s="194"/>
      <c r="AJ937" s="194"/>
      <c r="AK937" s="194"/>
      <c r="AL937" s="194"/>
      <c r="AM937" s="194"/>
      <c r="AN937" s="194"/>
      <c r="AO937" s="194"/>
    </row>
    <row r="938">
      <c r="A938" s="194"/>
      <c r="B938" s="194"/>
      <c r="C938" s="194"/>
      <c r="D938" s="194"/>
      <c r="E938" s="194"/>
      <c r="F938" s="194"/>
      <c r="G938" s="194"/>
      <c r="H938" s="194"/>
      <c r="I938" s="194"/>
      <c r="J938" s="194"/>
      <c r="K938" s="194"/>
      <c r="L938" s="194"/>
      <c r="M938" s="194"/>
      <c r="N938" s="194"/>
      <c r="O938" s="194"/>
      <c r="P938" s="194"/>
      <c r="Q938" s="194"/>
      <c r="R938" s="194"/>
      <c r="S938" s="194"/>
      <c r="T938" s="194"/>
      <c r="U938" s="194"/>
      <c r="V938" s="194"/>
      <c r="W938" s="194"/>
      <c r="X938" s="194"/>
      <c r="Y938" s="194"/>
      <c r="Z938" s="194"/>
      <c r="AA938" s="194"/>
      <c r="AB938" s="194"/>
      <c r="AC938" s="194"/>
      <c r="AD938" s="194"/>
      <c r="AE938" s="194"/>
      <c r="AF938" s="194"/>
      <c r="AG938" s="194"/>
      <c r="AH938" s="194"/>
      <c r="AI938" s="194"/>
      <c r="AJ938" s="194"/>
      <c r="AK938" s="194"/>
      <c r="AL938" s="194"/>
      <c r="AM938" s="194"/>
      <c r="AN938" s="194"/>
      <c r="AO938" s="194"/>
    </row>
    <row r="939">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c r="AA939" s="194"/>
      <c r="AB939" s="194"/>
      <c r="AC939" s="194"/>
      <c r="AD939" s="194"/>
      <c r="AE939" s="194"/>
      <c r="AF939" s="194"/>
      <c r="AG939" s="194"/>
      <c r="AH939" s="194"/>
      <c r="AI939" s="194"/>
      <c r="AJ939" s="194"/>
      <c r="AK939" s="194"/>
      <c r="AL939" s="194"/>
      <c r="AM939" s="194"/>
      <c r="AN939" s="194"/>
      <c r="AO939" s="194"/>
    </row>
    <row r="940">
      <c r="A940" s="194"/>
      <c r="B940" s="194"/>
      <c r="C940" s="194"/>
      <c r="D940" s="194"/>
      <c r="E940" s="194"/>
      <c r="F940" s="194"/>
      <c r="G940" s="194"/>
      <c r="H940" s="194"/>
      <c r="I940" s="194"/>
      <c r="J940" s="194"/>
      <c r="K940" s="194"/>
      <c r="L940" s="194"/>
      <c r="M940" s="194"/>
      <c r="N940" s="194"/>
      <c r="O940" s="194"/>
      <c r="P940" s="194"/>
      <c r="Q940" s="194"/>
      <c r="R940" s="194"/>
      <c r="S940" s="194"/>
      <c r="T940" s="194"/>
      <c r="U940" s="194"/>
      <c r="V940" s="194"/>
      <c r="W940" s="194"/>
      <c r="X940" s="194"/>
      <c r="Y940" s="194"/>
      <c r="Z940" s="194"/>
      <c r="AA940" s="194"/>
      <c r="AB940" s="194"/>
      <c r="AC940" s="194"/>
      <c r="AD940" s="194"/>
      <c r="AE940" s="194"/>
      <c r="AF940" s="194"/>
      <c r="AG940" s="194"/>
      <c r="AH940" s="194"/>
      <c r="AI940" s="194"/>
      <c r="AJ940" s="194"/>
      <c r="AK940" s="194"/>
      <c r="AL940" s="194"/>
      <c r="AM940" s="194"/>
      <c r="AN940" s="194"/>
      <c r="AO940" s="194"/>
    </row>
    <row r="941">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c r="AA941" s="194"/>
      <c r="AB941" s="194"/>
      <c r="AC941" s="194"/>
      <c r="AD941" s="194"/>
      <c r="AE941" s="194"/>
      <c r="AF941" s="194"/>
      <c r="AG941" s="194"/>
      <c r="AH941" s="194"/>
      <c r="AI941" s="194"/>
      <c r="AJ941" s="194"/>
      <c r="AK941" s="194"/>
      <c r="AL941" s="194"/>
      <c r="AM941" s="194"/>
      <c r="AN941" s="194"/>
      <c r="AO941" s="194"/>
    </row>
    <row r="942">
      <c r="A942" s="194"/>
      <c r="B942" s="194"/>
      <c r="C942" s="194"/>
      <c r="D942" s="194"/>
      <c r="E942" s="194"/>
      <c r="F942" s="194"/>
      <c r="G942" s="194"/>
      <c r="H942" s="194"/>
      <c r="I942" s="194"/>
      <c r="J942" s="194"/>
      <c r="K942" s="194"/>
      <c r="L942" s="194"/>
      <c r="M942" s="194"/>
      <c r="N942" s="194"/>
      <c r="O942" s="194"/>
      <c r="P942" s="194"/>
      <c r="Q942" s="194"/>
      <c r="R942" s="194"/>
      <c r="S942" s="194"/>
      <c r="T942" s="194"/>
      <c r="U942" s="194"/>
      <c r="V942" s="194"/>
      <c r="W942" s="194"/>
      <c r="X942" s="194"/>
      <c r="Y942" s="194"/>
      <c r="Z942" s="194"/>
      <c r="AA942" s="194"/>
      <c r="AB942" s="194"/>
      <c r="AC942" s="194"/>
      <c r="AD942" s="194"/>
      <c r="AE942" s="194"/>
      <c r="AF942" s="194"/>
      <c r="AG942" s="194"/>
      <c r="AH942" s="194"/>
      <c r="AI942" s="194"/>
      <c r="AJ942" s="194"/>
      <c r="AK942" s="194"/>
      <c r="AL942" s="194"/>
      <c r="AM942" s="194"/>
      <c r="AN942" s="194"/>
      <c r="AO942" s="194"/>
    </row>
    <row r="943">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c r="AA943" s="194"/>
      <c r="AB943" s="194"/>
      <c r="AC943" s="194"/>
      <c r="AD943" s="194"/>
      <c r="AE943" s="194"/>
      <c r="AF943" s="194"/>
      <c r="AG943" s="194"/>
      <c r="AH943" s="194"/>
      <c r="AI943" s="194"/>
      <c r="AJ943" s="194"/>
      <c r="AK943" s="194"/>
      <c r="AL943" s="194"/>
      <c r="AM943" s="194"/>
      <c r="AN943" s="194"/>
      <c r="AO943" s="194"/>
    </row>
    <row r="944">
      <c r="A944" s="194"/>
      <c r="B944" s="194"/>
      <c r="C944" s="194"/>
      <c r="D944" s="194"/>
      <c r="E944" s="194"/>
      <c r="F944" s="194"/>
      <c r="G944" s="194"/>
      <c r="H944" s="194"/>
      <c r="I944" s="194"/>
      <c r="J944" s="194"/>
      <c r="K944" s="194"/>
      <c r="L944" s="194"/>
      <c r="M944" s="194"/>
      <c r="N944" s="194"/>
      <c r="O944" s="194"/>
      <c r="P944" s="194"/>
      <c r="Q944" s="194"/>
      <c r="R944" s="194"/>
      <c r="S944" s="194"/>
      <c r="T944" s="194"/>
      <c r="U944" s="194"/>
      <c r="V944" s="194"/>
      <c r="W944" s="194"/>
      <c r="X944" s="194"/>
      <c r="Y944" s="194"/>
      <c r="Z944" s="194"/>
      <c r="AA944" s="194"/>
      <c r="AB944" s="194"/>
      <c r="AC944" s="194"/>
      <c r="AD944" s="194"/>
      <c r="AE944" s="194"/>
      <c r="AF944" s="194"/>
      <c r="AG944" s="194"/>
      <c r="AH944" s="194"/>
      <c r="AI944" s="194"/>
      <c r="AJ944" s="194"/>
      <c r="AK944" s="194"/>
      <c r="AL944" s="194"/>
      <c r="AM944" s="194"/>
      <c r="AN944" s="194"/>
      <c r="AO944" s="194"/>
    </row>
    <row r="94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c r="AA945" s="194"/>
      <c r="AB945" s="194"/>
      <c r="AC945" s="194"/>
      <c r="AD945" s="194"/>
      <c r="AE945" s="194"/>
      <c r="AF945" s="194"/>
      <c r="AG945" s="194"/>
      <c r="AH945" s="194"/>
      <c r="AI945" s="194"/>
      <c r="AJ945" s="194"/>
      <c r="AK945" s="194"/>
      <c r="AL945" s="194"/>
      <c r="AM945" s="194"/>
      <c r="AN945" s="194"/>
      <c r="AO945" s="194"/>
    </row>
    <row r="946">
      <c r="A946" s="194"/>
      <c r="B946" s="194"/>
      <c r="C946" s="194"/>
      <c r="D946" s="194"/>
      <c r="E946" s="194"/>
      <c r="F946" s="194"/>
      <c r="G946" s="194"/>
      <c r="H946" s="194"/>
      <c r="I946" s="194"/>
      <c r="J946" s="194"/>
      <c r="K946" s="194"/>
      <c r="L946" s="194"/>
      <c r="M946" s="194"/>
      <c r="N946" s="194"/>
      <c r="O946" s="194"/>
      <c r="P946" s="194"/>
      <c r="Q946" s="194"/>
      <c r="R946" s="194"/>
      <c r="S946" s="194"/>
      <c r="T946" s="194"/>
      <c r="U946" s="194"/>
      <c r="V946" s="194"/>
      <c r="W946" s="194"/>
      <c r="X946" s="194"/>
      <c r="Y946" s="194"/>
      <c r="Z946" s="194"/>
      <c r="AA946" s="194"/>
      <c r="AB946" s="194"/>
      <c r="AC946" s="194"/>
      <c r="AD946" s="194"/>
      <c r="AE946" s="194"/>
      <c r="AF946" s="194"/>
      <c r="AG946" s="194"/>
      <c r="AH946" s="194"/>
      <c r="AI946" s="194"/>
      <c r="AJ946" s="194"/>
      <c r="AK946" s="194"/>
      <c r="AL946" s="194"/>
      <c r="AM946" s="194"/>
      <c r="AN946" s="194"/>
      <c r="AO946" s="194"/>
    </row>
    <row r="947">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c r="AA947" s="194"/>
      <c r="AB947" s="194"/>
      <c r="AC947" s="194"/>
      <c r="AD947" s="194"/>
      <c r="AE947" s="194"/>
      <c r="AF947" s="194"/>
      <c r="AG947" s="194"/>
      <c r="AH947" s="194"/>
      <c r="AI947" s="194"/>
      <c r="AJ947" s="194"/>
      <c r="AK947" s="194"/>
      <c r="AL947" s="194"/>
      <c r="AM947" s="194"/>
      <c r="AN947" s="194"/>
      <c r="AO947" s="194"/>
    </row>
    <row r="948">
      <c r="A948" s="194"/>
      <c r="B948" s="194"/>
      <c r="C948" s="194"/>
      <c r="D948" s="194"/>
      <c r="E948" s="194"/>
      <c r="F948" s="194"/>
      <c r="G948" s="194"/>
      <c r="H948" s="194"/>
      <c r="I948" s="194"/>
      <c r="J948" s="194"/>
      <c r="K948" s="194"/>
      <c r="L948" s="194"/>
      <c r="M948" s="194"/>
      <c r="N948" s="194"/>
      <c r="O948" s="194"/>
      <c r="P948" s="194"/>
      <c r="Q948" s="194"/>
      <c r="R948" s="194"/>
      <c r="S948" s="194"/>
      <c r="T948" s="194"/>
      <c r="U948" s="194"/>
      <c r="V948" s="194"/>
      <c r="W948" s="194"/>
      <c r="X948" s="194"/>
      <c r="Y948" s="194"/>
      <c r="Z948" s="194"/>
      <c r="AA948" s="194"/>
      <c r="AB948" s="194"/>
      <c r="AC948" s="194"/>
      <c r="AD948" s="194"/>
      <c r="AE948" s="194"/>
      <c r="AF948" s="194"/>
      <c r="AG948" s="194"/>
      <c r="AH948" s="194"/>
      <c r="AI948" s="194"/>
      <c r="AJ948" s="194"/>
      <c r="AK948" s="194"/>
      <c r="AL948" s="194"/>
      <c r="AM948" s="194"/>
      <c r="AN948" s="194"/>
      <c r="AO948" s="194"/>
    </row>
    <row r="949">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c r="AA949" s="194"/>
      <c r="AB949" s="194"/>
      <c r="AC949" s="194"/>
      <c r="AD949" s="194"/>
      <c r="AE949" s="194"/>
      <c r="AF949" s="194"/>
      <c r="AG949" s="194"/>
      <c r="AH949" s="194"/>
      <c r="AI949" s="194"/>
      <c r="AJ949" s="194"/>
      <c r="AK949" s="194"/>
      <c r="AL949" s="194"/>
      <c r="AM949" s="194"/>
      <c r="AN949" s="194"/>
      <c r="AO949" s="194"/>
    </row>
    <row r="950">
      <c r="A950" s="194"/>
      <c r="B950" s="194"/>
      <c r="C950" s="194"/>
      <c r="D950" s="194"/>
      <c r="E950" s="194"/>
      <c r="F950" s="194"/>
      <c r="G950" s="194"/>
      <c r="H950" s="194"/>
      <c r="I950" s="194"/>
      <c r="J950" s="194"/>
      <c r="K950" s="194"/>
      <c r="L950" s="194"/>
      <c r="M950" s="194"/>
      <c r="N950" s="194"/>
      <c r="O950" s="194"/>
      <c r="P950" s="194"/>
      <c r="Q950" s="194"/>
      <c r="R950" s="194"/>
      <c r="S950" s="194"/>
      <c r="T950" s="194"/>
      <c r="U950" s="194"/>
      <c r="V950" s="194"/>
      <c r="W950" s="194"/>
      <c r="X950" s="194"/>
      <c r="Y950" s="194"/>
      <c r="Z950" s="194"/>
      <c r="AA950" s="194"/>
      <c r="AB950" s="194"/>
      <c r="AC950" s="194"/>
      <c r="AD950" s="194"/>
      <c r="AE950" s="194"/>
      <c r="AF950" s="194"/>
      <c r="AG950" s="194"/>
      <c r="AH950" s="194"/>
      <c r="AI950" s="194"/>
      <c r="AJ950" s="194"/>
      <c r="AK950" s="194"/>
      <c r="AL950" s="194"/>
      <c r="AM950" s="194"/>
      <c r="AN950" s="194"/>
      <c r="AO950" s="194"/>
    </row>
    <row r="951">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c r="AA951" s="194"/>
      <c r="AB951" s="194"/>
      <c r="AC951" s="194"/>
      <c r="AD951" s="194"/>
      <c r="AE951" s="194"/>
      <c r="AF951" s="194"/>
      <c r="AG951" s="194"/>
      <c r="AH951" s="194"/>
      <c r="AI951" s="194"/>
      <c r="AJ951" s="194"/>
      <c r="AK951" s="194"/>
      <c r="AL951" s="194"/>
      <c r="AM951" s="194"/>
      <c r="AN951" s="194"/>
      <c r="AO951" s="194"/>
    </row>
    <row r="952">
      <c r="A952" s="194"/>
      <c r="B952" s="194"/>
      <c r="C952" s="194"/>
      <c r="D952" s="194"/>
      <c r="E952" s="194"/>
      <c r="F952" s="194"/>
      <c r="G952" s="194"/>
      <c r="H952" s="194"/>
      <c r="I952" s="194"/>
      <c r="J952" s="194"/>
      <c r="K952" s="194"/>
      <c r="L952" s="194"/>
      <c r="M952" s="194"/>
      <c r="N952" s="194"/>
      <c r="O952" s="194"/>
      <c r="P952" s="194"/>
      <c r="Q952" s="194"/>
      <c r="R952" s="194"/>
      <c r="S952" s="194"/>
      <c r="T952" s="194"/>
      <c r="U952" s="194"/>
      <c r="V952" s="194"/>
      <c r="W952" s="194"/>
      <c r="X952" s="194"/>
      <c r="Y952" s="194"/>
      <c r="Z952" s="194"/>
      <c r="AA952" s="194"/>
      <c r="AB952" s="194"/>
      <c r="AC952" s="194"/>
      <c r="AD952" s="194"/>
      <c r="AE952" s="194"/>
      <c r="AF952" s="194"/>
      <c r="AG952" s="194"/>
      <c r="AH952" s="194"/>
      <c r="AI952" s="194"/>
      <c r="AJ952" s="194"/>
      <c r="AK952" s="194"/>
      <c r="AL952" s="194"/>
      <c r="AM952" s="194"/>
      <c r="AN952" s="194"/>
      <c r="AO952" s="194"/>
    </row>
    <row r="953">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c r="AA953" s="194"/>
      <c r="AB953" s="194"/>
      <c r="AC953" s="194"/>
      <c r="AD953" s="194"/>
      <c r="AE953" s="194"/>
      <c r="AF953" s="194"/>
      <c r="AG953" s="194"/>
      <c r="AH953" s="194"/>
      <c r="AI953" s="194"/>
      <c r="AJ953" s="194"/>
      <c r="AK953" s="194"/>
      <c r="AL953" s="194"/>
      <c r="AM953" s="194"/>
      <c r="AN953" s="194"/>
      <c r="AO953" s="194"/>
    </row>
    <row r="954">
      <c r="A954" s="194"/>
      <c r="B954" s="194"/>
      <c r="C954" s="194"/>
      <c r="D954" s="194"/>
      <c r="E954" s="194"/>
      <c r="F954" s="194"/>
      <c r="G954" s="194"/>
      <c r="H954" s="194"/>
      <c r="I954" s="194"/>
      <c r="J954" s="194"/>
      <c r="K954" s="194"/>
      <c r="L954" s="194"/>
      <c r="M954" s="194"/>
      <c r="N954" s="194"/>
      <c r="O954" s="194"/>
      <c r="P954" s="194"/>
      <c r="Q954" s="194"/>
      <c r="R954" s="194"/>
      <c r="S954" s="194"/>
      <c r="T954" s="194"/>
      <c r="U954" s="194"/>
      <c r="V954" s="194"/>
      <c r="W954" s="194"/>
      <c r="X954" s="194"/>
      <c r="Y954" s="194"/>
      <c r="Z954" s="194"/>
      <c r="AA954" s="194"/>
      <c r="AB954" s="194"/>
      <c r="AC954" s="194"/>
      <c r="AD954" s="194"/>
      <c r="AE954" s="194"/>
      <c r="AF954" s="194"/>
      <c r="AG954" s="194"/>
      <c r="AH954" s="194"/>
      <c r="AI954" s="194"/>
      <c r="AJ954" s="194"/>
      <c r="AK954" s="194"/>
      <c r="AL954" s="194"/>
      <c r="AM954" s="194"/>
      <c r="AN954" s="194"/>
      <c r="AO954" s="194"/>
    </row>
    <row r="95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c r="AA955" s="194"/>
      <c r="AB955" s="194"/>
      <c r="AC955" s="194"/>
      <c r="AD955" s="194"/>
      <c r="AE955" s="194"/>
      <c r="AF955" s="194"/>
      <c r="AG955" s="194"/>
      <c r="AH955" s="194"/>
      <c r="AI955" s="194"/>
      <c r="AJ955" s="194"/>
      <c r="AK955" s="194"/>
      <c r="AL955" s="194"/>
      <c r="AM955" s="194"/>
      <c r="AN955" s="194"/>
      <c r="AO955" s="194"/>
    </row>
    <row r="956">
      <c r="A956" s="194"/>
      <c r="B956" s="194"/>
      <c r="C956" s="194"/>
      <c r="D956" s="194"/>
      <c r="E956" s="194"/>
      <c r="F956" s="194"/>
      <c r="G956" s="194"/>
      <c r="H956" s="194"/>
      <c r="I956" s="194"/>
      <c r="J956" s="194"/>
      <c r="K956" s="194"/>
      <c r="L956" s="194"/>
      <c r="M956" s="194"/>
      <c r="N956" s="194"/>
      <c r="O956" s="194"/>
      <c r="P956" s="194"/>
      <c r="Q956" s="194"/>
      <c r="R956" s="194"/>
      <c r="S956" s="194"/>
      <c r="T956" s="194"/>
      <c r="U956" s="194"/>
      <c r="V956" s="194"/>
      <c r="W956" s="194"/>
      <c r="X956" s="194"/>
      <c r="Y956" s="194"/>
      <c r="Z956" s="194"/>
      <c r="AA956" s="194"/>
      <c r="AB956" s="194"/>
      <c r="AC956" s="194"/>
      <c r="AD956" s="194"/>
      <c r="AE956" s="194"/>
      <c r="AF956" s="194"/>
      <c r="AG956" s="194"/>
      <c r="AH956" s="194"/>
      <c r="AI956" s="194"/>
      <c r="AJ956" s="194"/>
      <c r="AK956" s="194"/>
      <c r="AL956" s="194"/>
      <c r="AM956" s="194"/>
      <c r="AN956" s="194"/>
      <c r="AO956" s="194"/>
    </row>
    <row r="957">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c r="AA957" s="194"/>
      <c r="AB957" s="194"/>
      <c r="AC957" s="194"/>
      <c r="AD957" s="194"/>
      <c r="AE957" s="194"/>
      <c r="AF957" s="194"/>
      <c r="AG957" s="194"/>
      <c r="AH957" s="194"/>
      <c r="AI957" s="194"/>
      <c r="AJ957" s="194"/>
      <c r="AK957" s="194"/>
      <c r="AL957" s="194"/>
      <c r="AM957" s="194"/>
      <c r="AN957" s="194"/>
      <c r="AO957" s="194"/>
    </row>
    <row r="958">
      <c r="A958" s="194"/>
      <c r="B958" s="194"/>
      <c r="C958" s="194"/>
      <c r="D958" s="194"/>
      <c r="E958" s="194"/>
      <c r="F958" s="194"/>
      <c r="G958" s="194"/>
      <c r="H958" s="194"/>
      <c r="I958" s="194"/>
      <c r="J958" s="194"/>
      <c r="K958" s="194"/>
      <c r="L958" s="194"/>
      <c r="M958" s="194"/>
      <c r="N958" s="194"/>
      <c r="O958" s="194"/>
      <c r="P958" s="194"/>
      <c r="Q958" s="194"/>
      <c r="R958" s="194"/>
      <c r="S958" s="194"/>
      <c r="T958" s="194"/>
      <c r="U958" s="194"/>
      <c r="V958" s="194"/>
      <c r="W958" s="194"/>
      <c r="X958" s="194"/>
      <c r="Y958" s="194"/>
      <c r="Z958" s="194"/>
      <c r="AA958" s="194"/>
      <c r="AB958" s="194"/>
      <c r="AC958" s="194"/>
      <c r="AD958" s="194"/>
      <c r="AE958" s="194"/>
      <c r="AF958" s="194"/>
      <c r="AG958" s="194"/>
      <c r="AH958" s="194"/>
      <c r="AI958" s="194"/>
      <c r="AJ958" s="194"/>
      <c r="AK958" s="194"/>
      <c r="AL958" s="194"/>
      <c r="AM958" s="194"/>
      <c r="AN958" s="194"/>
      <c r="AO958" s="194"/>
    </row>
    <row r="959">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c r="AA959" s="194"/>
      <c r="AB959" s="194"/>
      <c r="AC959" s="194"/>
      <c r="AD959" s="194"/>
      <c r="AE959" s="194"/>
      <c r="AF959" s="194"/>
      <c r="AG959" s="194"/>
      <c r="AH959" s="194"/>
      <c r="AI959" s="194"/>
      <c r="AJ959" s="194"/>
      <c r="AK959" s="194"/>
      <c r="AL959" s="194"/>
      <c r="AM959" s="194"/>
      <c r="AN959" s="194"/>
      <c r="AO959" s="194"/>
    </row>
    <row r="960">
      <c r="A960" s="194"/>
      <c r="B960" s="194"/>
      <c r="C960" s="194"/>
      <c r="D960" s="194"/>
      <c r="E960" s="194"/>
      <c r="F960" s="194"/>
      <c r="G960" s="194"/>
      <c r="H960" s="194"/>
      <c r="I960" s="194"/>
      <c r="J960" s="194"/>
      <c r="K960" s="194"/>
      <c r="L960" s="194"/>
      <c r="M960" s="194"/>
      <c r="N960" s="194"/>
      <c r="O960" s="194"/>
      <c r="P960" s="194"/>
      <c r="Q960" s="194"/>
      <c r="R960" s="194"/>
      <c r="S960" s="194"/>
      <c r="T960" s="194"/>
      <c r="U960" s="194"/>
      <c r="V960" s="194"/>
      <c r="W960" s="194"/>
      <c r="X960" s="194"/>
      <c r="Y960" s="194"/>
      <c r="Z960" s="194"/>
      <c r="AA960" s="194"/>
      <c r="AB960" s="194"/>
      <c r="AC960" s="194"/>
      <c r="AD960" s="194"/>
      <c r="AE960" s="194"/>
      <c r="AF960" s="194"/>
      <c r="AG960" s="194"/>
      <c r="AH960" s="194"/>
      <c r="AI960" s="194"/>
      <c r="AJ960" s="194"/>
      <c r="AK960" s="194"/>
      <c r="AL960" s="194"/>
      <c r="AM960" s="194"/>
      <c r="AN960" s="194"/>
      <c r="AO960" s="194"/>
    </row>
    <row r="961">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c r="AA961" s="194"/>
      <c r="AB961" s="194"/>
      <c r="AC961" s="194"/>
      <c r="AD961" s="194"/>
      <c r="AE961" s="194"/>
      <c r="AF961" s="194"/>
      <c r="AG961" s="194"/>
      <c r="AH961" s="194"/>
      <c r="AI961" s="194"/>
      <c r="AJ961" s="194"/>
      <c r="AK961" s="194"/>
      <c r="AL961" s="194"/>
      <c r="AM961" s="194"/>
      <c r="AN961" s="194"/>
      <c r="AO961" s="194"/>
    </row>
    <row r="962">
      <c r="A962" s="194"/>
      <c r="B962" s="194"/>
      <c r="C962" s="194"/>
      <c r="D962" s="194"/>
      <c r="E962" s="194"/>
      <c r="F962" s="194"/>
      <c r="G962" s="194"/>
      <c r="H962" s="194"/>
      <c r="I962" s="194"/>
      <c r="J962" s="194"/>
      <c r="K962" s="194"/>
      <c r="L962" s="194"/>
      <c r="M962" s="194"/>
      <c r="N962" s="194"/>
      <c r="O962" s="194"/>
      <c r="P962" s="194"/>
      <c r="Q962" s="194"/>
      <c r="R962" s="194"/>
      <c r="S962" s="194"/>
      <c r="T962" s="194"/>
      <c r="U962" s="194"/>
      <c r="V962" s="194"/>
      <c r="W962" s="194"/>
      <c r="X962" s="194"/>
      <c r="Y962" s="194"/>
      <c r="Z962" s="194"/>
      <c r="AA962" s="194"/>
      <c r="AB962" s="194"/>
      <c r="AC962" s="194"/>
      <c r="AD962" s="194"/>
      <c r="AE962" s="194"/>
      <c r="AF962" s="194"/>
      <c r="AG962" s="194"/>
      <c r="AH962" s="194"/>
      <c r="AI962" s="194"/>
      <c r="AJ962" s="194"/>
      <c r="AK962" s="194"/>
      <c r="AL962" s="194"/>
      <c r="AM962" s="194"/>
      <c r="AN962" s="194"/>
      <c r="AO962" s="194"/>
    </row>
    <row r="963">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c r="AA963" s="194"/>
      <c r="AB963" s="194"/>
      <c r="AC963" s="194"/>
      <c r="AD963" s="194"/>
      <c r="AE963" s="194"/>
      <c r="AF963" s="194"/>
      <c r="AG963" s="194"/>
      <c r="AH963" s="194"/>
      <c r="AI963" s="194"/>
      <c r="AJ963" s="194"/>
      <c r="AK963" s="194"/>
      <c r="AL963" s="194"/>
      <c r="AM963" s="194"/>
      <c r="AN963" s="194"/>
      <c r="AO963" s="194"/>
    </row>
    <row r="964">
      <c r="A964" s="194"/>
      <c r="B964" s="194"/>
      <c r="C964" s="194"/>
      <c r="D964" s="194"/>
      <c r="E964" s="194"/>
      <c r="F964" s="194"/>
      <c r="G964" s="194"/>
      <c r="H964" s="194"/>
      <c r="I964" s="194"/>
      <c r="J964" s="194"/>
      <c r="K964" s="194"/>
      <c r="L964" s="194"/>
      <c r="M964" s="194"/>
      <c r="N964" s="194"/>
      <c r="O964" s="194"/>
      <c r="P964" s="194"/>
      <c r="Q964" s="194"/>
      <c r="R964" s="194"/>
      <c r="S964" s="194"/>
      <c r="T964" s="194"/>
      <c r="U964" s="194"/>
      <c r="V964" s="194"/>
      <c r="W964" s="194"/>
      <c r="X964" s="194"/>
      <c r="Y964" s="194"/>
      <c r="Z964" s="194"/>
      <c r="AA964" s="194"/>
      <c r="AB964" s="194"/>
      <c r="AC964" s="194"/>
      <c r="AD964" s="194"/>
      <c r="AE964" s="194"/>
      <c r="AF964" s="194"/>
      <c r="AG964" s="194"/>
      <c r="AH964" s="194"/>
      <c r="AI964" s="194"/>
      <c r="AJ964" s="194"/>
      <c r="AK964" s="194"/>
      <c r="AL964" s="194"/>
      <c r="AM964" s="194"/>
      <c r="AN964" s="194"/>
      <c r="AO964" s="194"/>
    </row>
    <row r="96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c r="AA965" s="194"/>
      <c r="AB965" s="194"/>
      <c r="AC965" s="194"/>
      <c r="AD965" s="194"/>
      <c r="AE965" s="194"/>
      <c r="AF965" s="194"/>
      <c r="AG965" s="194"/>
      <c r="AH965" s="194"/>
      <c r="AI965" s="194"/>
      <c r="AJ965" s="194"/>
      <c r="AK965" s="194"/>
      <c r="AL965" s="194"/>
      <c r="AM965" s="194"/>
      <c r="AN965" s="194"/>
      <c r="AO965" s="194"/>
    </row>
    <row r="966">
      <c r="A966" s="194"/>
      <c r="B966" s="194"/>
      <c r="C966" s="194"/>
      <c r="D966" s="194"/>
      <c r="E966" s="194"/>
      <c r="F966" s="194"/>
      <c r="G966" s="194"/>
      <c r="H966" s="194"/>
      <c r="I966" s="194"/>
      <c r="J966" s="194"/>
      <c r="K966" s="194"/>
      <c r="L966" s="194"/>
      <c r="M966" s="194"/>
      <c r="N966" s="194"/>
      <c r="O966" s="194"/>
      <c r="P966" s="194"/>
      <c r="Q966" s="194"/>
      <c r="R966" s="194"/>
      <c r="S966" s="194"/>
      <c r="T966" s="194"/>
      <c r="U966" s="194"/>
      <c r="V966" s="194"/>
      <c r="W966" s="194"/>
      <c r="X966" s="194"/>
      <c r="Y966" s="194"/>
      <c r="Z966" s="194"/>
      <c r="AA966" s="194"/>
      <c r="AB966" s="194"/>
      <c r="AC966" s="194"/>
      <c r="AD966" s="194"/>
      <c r="AE966" s="194"/>
      <c r="AF966" s="194"/>
      <c r="AG966" s="194"/>
      <c r="AH966" s="194"/>
      <c r="AI966" s="194"/>
      <c r="AJ966" s="194"/>
      <c r="AK966" s="194"/>
      <c r="AL966" s="194"/>
      <c r="AM966" s="194"/>
      <c r="AN966" s="194"/>
      <c r="AO966" s="194"/>
    </row>
    <row r="967">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c r="AA967" s="194"/>
      <c r="AB967" s="194"/>
      <c r="AC967" s="194"/>
      <c r="AD967" s="194"/>
      <c r="AE967" s="194"/>
      <c r="AF967" s="194"/>
      <c r="AG967" s="194"/>
      <c r="AH967" s="194"/>
      <c r="AI967" s="194"/>
      <c r="AJ967" s="194"/>
      <c r="AK967" s="194"/>
      <c r="AL967" s="194"/>
      <c r="AM967" s="194"/>
      <c r="AN967" s="194"/>
      <c r="AO967" s="194"/>
    </row>
    <row r="968">
      <c r="A968" s="194"/>
      <c r="B968" s="194"/>
      <c r="C968" s="194"/>
      <c r="D968" s="194"/>
      <c r="E968" s="194"/>
      <c r="F968" s="194"/>
      <c r="G968" s="194"/>
      <c r="H968" s="194"/>
      <c r="I968" s="194"/>
      <c r="J968" s="194"/>
      <c r="K968" s="194"/>
      <c r="L968" s="194"/>
      <c r="M968" s="194"/>
      <c r="N968" s="194"/>
      <c r="O968" s="194"/>
      <c r="P968" s="194"/>
      <c r="Q968" s="194"/>
      <c r="R968" s="194"/>
      <c r="S968" s="194"/>
      <c r="T968" s="194"/>
      <c r="U968" s="194"/>
      <c r="V968" s="194"/>
      <c r="W968" s="194"/>
      <c r="X968" s="194"/>
      <c r="Y968" s="194"/>
      <c r="Z968" s="194"/>
      <c r="AA968" s="194"/>
      <c r="AB968" s="194"/>
      <c r="AC968" s="194"/>
      <c r="AD968" s="194"/>
      <c r="AE968" s="194"/>
      <c r="AF968" s="194"/>
      <c r="AG968" s="194"/>
      <c r="AH968" s="194"/>
      <c r="AI968" s="194"/>
      <c r="AJ968" s="194"/>
      <c r="AK968" s="194"/>
      <c r="AL968" s="194"/>
      <c r="AM968" s="194"/>
      <c r="AN968" s="194"/>
      <c r="AO968" s="194"/>
    </row>
    <row r="969">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c r="AA969" s="194"/>
      <c r="AB969" s="194"/>
      <c r="AC969" s="194"/>
      <c r="AD969" s="194"/>
      <c r="AE969" s="194"/>
      <c r="AF969" s="194"/>
      <c r="AG969" s="194"/>
      <c r="AH969" s="194"/>
      <c r="AI969" s="194"/>
      <c r="AJ969" s="194"/>
      <c r="AK969" s="194"/>
      <c r="AL969" s="194"/>
      <c r="AM969" s="194"/>
      <c r="AN969" s="194"/>
      <c r="AO969" s="194"/>
    </row>
    <row r="970">
      <c r="A970" s="194"/>
      <c r="B970" s="194"/>
      <c r="C970" s="194"/>
      <c r="D970" s="194"/>
      <c r="E970" s="194"/>
      <c r="F970" s="194"/>
      <c r="G970" s="194"/>
      <c r="H970" s="194"/>
      <c r="I970" s="194"/>
      <c r="J970" s="194"/>
      <c r="K970" s="194"/>
      <c r="L970" s="194"/>
      <c r="M970" s="194"/>
      <c r="N970" s="194"/>
      <c r="O970" s="194"/>
      <c r="P970" s="194"/>
      <c r="Q970" s="194"/>
      <c r="R970" s="194"/>
      <c r="S970" s="194"/>
      <c r="T970" s="194"/>
      <c r="U970" s="194"/>
      <c r="V970" s="194"/>
      <c r="W970" s="194"/>
      <c r="X970" s="194"/>
      <c r="Y970" s="194"/>
      <c r="Z970" s="194"/>
      <c r="AA970" s="194"/>
      <c r="AB970" s="194"/>
      <c r="AC970" s="194"/>
      <c r="AD970" s="194"/>
      <c r="AE970" s="194"/>
      <c r="AF970" s="194"/>
      <c r="AG970" s="194"/>
      <c r="AH970" s="194"/>
      <c r="AI970" s="194"/>
      <c r="AJ970" s="194"/>
      <c r="AK970" s="194"/>
      <c r="AL970" s="194"/>
      <c r="AM970" s="194"/>
      <c r="AN970" s="194"/>
      <c r="AO970" s="194"/>
    </row>
    <row r="971">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c r="AA971" s="194"/>
      <c r="AB971" s="194"/>
      <c r="AC971" s="194"/>
      <c r="AD971" s="194"/>
      <c r="AE971" s="194"/>
      <c r="AF971" s="194"/>
      <c r="AG971" s="194"/>
      <c r="AH971" s="194"/>
      <c r="AI971" s="194"/>
      <c r="AJ971" s="194"/>
      <c r="AK971" s="194"/>
      <c r="AL971" s="194"/>
      <c r="AM971" s="194"/>
      <c r="AN971" s="194"/>
      <c r="AO971" s="194"/>
    </row>
    <row r="972">
      <c r="A972" s="194"/>
      <c r="B972" s="194"/>
      <c r="C972" s="194"/>
      <c r="D972" s="194"/>
      <c r="E972" s="194"/>
      <c r="F972" s="194"/>
      <c r="G972" s="194"/>
      <c r="H972" s="194"/>
      <c r="I972" s="194"/>
      <c r="J972" s="194"/>
      <c r="K972" s="194"/>
      <c r="L972" s="194"/>
      <c r="M972" s="194"/>
      <c r="N972" s="194"/>
      <c r="O972" s="194"/>
      <c r="P972" s="194"/>
      <c r="Q972" s="194"/>
      <c r="R972" s="194"/>
      <c r="S972" s="194"/>
      <c r="T972" s="194"/>
      <c r="U972" s="194"/>
      <c r="V972" s="194"/>
      <c r="W972" s="194"/>
      <c r="X972" s="194"/>
      <c r="Y972" s="194"/>
      <c r="Z972" s="194"/>
      <c r="AA972" s="194"/>
      <c r="AB972" s="194"/>
      <c r="AC972" s="194"/>
      <c r="AD972" s="194"/>
      <c r="AE972" s="194"/>
      <c r="AF972" s="194"/>
      <c r="AG972" s="194"/>
      <c r="AH972" s="194"/>
      <c r="AI972" s="194"/>
      <c r="AJ972" s="194"/>
      <c r="AK972" s="194"/>
      <c r="AL972" s="194"/>
      <c r="AM972" s="194"/>
      <c r="AN972" s="194"/>
      <c r="AO972" s="194"/>
    </row>
    <row r="973">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c r="AA973" s="194"/>
      <c r="AB973" s="194"/>
      <c r="AC973" s="194"/>
      <c r="AD973" s="194"/>
      <c r="AE973" s="194"/>
      <c r="AF973" s="194"/>
      <c r="AG973" s="194"/>
      <c r="AH973" s="194"/>
      <c r="AI973" s="194"/>
      <c r="AJ973" s="194"/>
      <c r="AK973" s="194"/>
      <c r="AL973" s="194"/>
      <c r="AM973" s="194"/>
      <c r="AN973" s="194"/>
      <c r="AO973" s="194"/>
    </row>
    <row r="974">
      <c r="A974" s="194"/>
      <c r="B974" s="194"/>
      <c r="C974" s="194"/>
      <c r="D974" s="194"/>
      <c r="E974" s="194"/>
      <c r="F974" s="194"/>
      <c r="G974" s="194"/>
      <c r="H974" s="194"/>
      <c r="I974" s="194"/>
      <c r="J974" s="194"/>
      <c r="K974" s="194"/>
      <c r="L974" s="194"/>
      <c r="M974" s="194"/>
      <c r="N974" s="194"/>
      <c r="O974" s="194"/>
      <c r="P974" s="194"/>
      <c r="Q974" s="194"/>
      <c r="R974" s="194"/>
      <c r="S974" s="194"/>
      <c r="T974" s="194"/>
      <c r="U974" s="194"/>
      <c r="V974" s="194"/>
      <c r="W974" s="194"/>
      <c r="X974" s="194"/>
      <c r="Y974" s="194"/>
      <c r="Z974" s="194"/>
      <c r="AA974" s="194"/>
      <c r="AB974" s="194"/>
      <c r="AC974" s="194"/>
      <c r="AD974" s="194"/>
      <c r="AE974" s="194"/>
      <c r="AF974" s="194"/>
      <c r="AG974" s="194"/>
      <c r="AH974" s="194"/>
      <c r="AI974" s="194"/>
      <c r="AJ974" s="194"/>
      <c r="AK974" s="194"/>
      <c r="AL974" s="194"/>
      <c r="AM974" s="194"/>
      <c r="AN974" s="194"/>
      <c r="AO974" s="194"/>
    </row>
    <row r="97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c r="AA975" s="194"/>
      <c r="AB975" s="194"/>
      <c r="AC975" s="194"/>
      <c r="AD975" s="194"/>
      <c r="AE975" s="194"/>
      <c r="AF975" s="194"/>
      <c r="AG975" s="194"/>
      <c r="AH975" s="194"/>
      <c r="AI975" s="194"/>
      <c r="AJ975" s="194"/>
      <c r="AK975" s="194"/>
      <c r="AL975" s="194"/>
      <c r="AM975" s="194"/>
      <c r="AN975" s="194"/>
      <c r="AO975" s="194"/>
    </row>
    <row r="976">
      <c r="A976" s="194"/>
      <c r="B976" s="194"/>
      <c r="C976" s="194"/>
      <c r="D976" s="194"/>
      <c r="E976" s="194"/>
      <c r="F976" s="194"/>
      <c r="G976" s="194"/>
      <c r="H976" s="194"/>
      <c r="I976" s="194"/>
      <c r="J976" s="194"/>
      <c r="K976" s="194"/>
      <c r="L976" s="194"/>
      <c r="M976" s="194"/>
      <c r="N976" s="194"/>
      <c r="O976" s="194"/>
      <c r="P976" s="194"/>
      <c r="Q976" s="194"/>
      <c r="R976" s="194"/>
      <c r="S976" s="194"/>
      <c r="T976" s="194"/>
      <c r="U976" s="194"/>
      <c r="V976" s="194"/>
      <c r="W976" s="194"/>
      <c r="X976" s="194"/>
      <c r="Y976" s="194"/>
      <c r="Z976" s="194"/>
      <c r="AA976" s="194"/>
      <c r="AB976" s="194"/>
      <c r="AC976" s="194"/>
      <c r="AD976" s="194"/>
      <c r="AE976" s="194"/>
      <c r="AF976" s="194"/>
      <c r="AG976" s="194"/>
      <c r="AH976" s="194"/>
      <c r="AI976" s="194"/>
      <c r="AJ976" s="194"/>
      <c r="AK976" s="194"/>
      <c r="AL976" s="194"/>
      <c r="AM976" s="194"/>
      <c r="AN976" s="194"/>
      <c r="AO976" s="194"/>
    </row>
    <row r="977">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c r="AA977" s="194"/>
      <c r="AB977" s="194"/>
      <c r="AC977" s="194"/>
      <c r="AD977" s="194"/>
      <c r="AE977" s="194"/>
      <c r="AF977" s="194"/>
      <c r="AG977" s="194"/>
      <c r="AH977" s="194"/>
      <c r="AI977" s="194"/>
      <c r="AJ977" s="194"/>
      <c r="AK977" s="194"/>
      <c r="AL977" s="194"/>
      <c r="AM977" s="194"/>
      <c r="AN977" s="194"/>
      <c r="AO977" s="194"/>
    </row>
    <row r="978">
      <c r="A978" s="194"/>
      <c r="B978" s="194"/>
      <c r="C978" s="194"/>
      <c r="D978" s="194"/>
      <c r="E978" s="194"/>
      <c r="F978" s="194"/>
      <c r="G978" s="194"/>
      <c r="H978" s="194"/>
      <c r="I978" s="194"/>
      <c r="J978" s="194"/>
      <c r="K978" s="194"/>
      <c r="L978" s="194"/>
      <c r="M978" s="194"/>
      <c r="N978" s="194"/>
      <c r="O978" s="194"/>
      <c r="P978" s="194"/>
      <c r="Q978" s="194"/>
      <c r="R978" s="194"/>
      <c r="S978" s="194"/>
      <c r="T978" s="194"/>
      <c r="U978" s="194"/>
      <c r="V978" s="194"/>
      <c r="W978" s="194"/>
      <c r="X978" s="194"/>
      <c r="Y978" s="194"/>
      <c r="Z978" s="194"/>
      <c r="AA978" s="194"/>
      <c r="AB978" s="194"/>
      <c r="AC978" s="194"/>
      <c r="AD978" s="194"/>
      <c r="AE978" s="194"/>
      <c r="AF978" s="194"/>
      <c r="AG978" s="194"/>
      <c r="AH978" s="194"/>
      <c r="AI978" s="194"/>
      <c r="AJ978" s="194"/>
      <c r="AK978" s="194"/>
      <c r="AL978" s="194"/>
      <c r="AM978" s="194"/>
      <c r="AN978" s="194"/>
      <c r="AO978" s="194"/>
    </row>
    <row r="979">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c r="AA979" s="194"/>
      <c r="AB979" s="194"/>
      <c r="AC979" s="194"/>
      <c r="AD979" s="194"/>
      <c r="AE979" s="194"/>
      <c r="AF979" s="194"/>
      <c r="AG979" s="194"/>
      <c r="AH979" s="194"/>
      <c r="AI979" s="194"/>
      <c r="AJ979" s="194"/>
      <c r="AK979" s="194"/>
      <c r="AL979" s="194"/>
      <c r="AM979" s="194"/>
      <c r="AN979" s="194"/>
      <c r="AO979" s="194"/>
    </row>
    <row r="980">
      <c r="A980" s="194"/>
      <c r="B980" s="194"/>
      <c r="C980" s="194"/>
      <c r="D980" s="194"/>
      <c r="E980" s="194"/>
      <c r="F980" s="194"/>
      <c r="G980" s="194"/>
      <c r="H980" s="194"/>
      <c r="I980" s="194"/>
      <c r="J980" s="194"/>
      <c r="K980" s="194"/>
      <c r="L980" s="194"/>
      <c r="M980" s="194"/>
      <c r="N980" s="194"/>
      <c r="O980" s="194"/>
      <c r="P980" s="194"/>
      <c r="Q980" s="194"/>
      <c r="R980" s="194"/>
      <c r="S980" s="194"/>
      <c r="T980" s="194"/>
      <c r="U980" s="194"/>
      <c r="V980" s="194"/>
      <c r="W980" s="194"/>
      <c r="X980" s="194"/>
      <c r="Y980" s="194"/>
      <c r="Z980" s="194"/>
      <c r="AA980" s="194"/>
      <c r="AB980" s="194"/>
      <c r="AC980" s="194"/>
      <c r="AD980" s="194"/>
      <c r="AE980" s="194"/>
      <c r="AF980" s="194"/>
      <c r="AG980" s="194"/>
      <c r="AH980" s="194"/>
      <c r="AI980" s="194"/>
      <c r="AJ980" s="194"/>
      <c r="AK980" s="194"/>
      <c r="AL980" s="194"/>
      <c r="AM980" s="194"/>
      <c r="AN980" s="194"/>
      <c r="AO980" s="194"/>
    </row>
    <row r="981">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c r="AA981" s="194"/>
      <c r="AB981" s="194"/>
      <c r="AC981" s="194"/>
      <c r="AD981" s="194"/>
      <c r="AE981" s="194"/>
      <c r="AF981" s="194"/>
      <c r="AG981" s="194"/>
      <c r="AH981" s="194"/>
      <c r="AI981" s="194"/>
      <c r="AJ981" s="194"/>
      <c r="AK981" s="194"/>
      <c r="AL981" s="194"/>
      <c r="AM981" s="194"/>
      <c r="AN981" s="194"/>
      <c r="AO981" s="194"/>
    </row>
    <row r="982">
      <c r="A982" s="194"/>
      <c r="B982" s="194"/>
      <c r="C982" s="194"/>
      <c r="D982" s="194"/>
      <c r="E982" s="194"/>
      <c r="F982" s="194"/>
      <c r="G982" s="194"/>
      <c r="H982" s="194"/>
      <c r="I982" s="194"/>
      <c r="J982" s="194"/>
      <c r="K982" s="194"/>
      <c r="L982" s="194"/>
      <c r="M982" s="194"/>
      <c r="N982" s="194"/>
      <c r="O982" s="194"/>
      <c r="P982" s="194"/>
      <c r="Q982" s="194"/>
      <c r="R982" s="194"/>
      <c r="S982" s="194"/>
      <c r="T982" s="194"/>
      <c r="U982" s="194"/>
      <c r="V982" s="194"/>
      <c r="W982" s="194"/>
      <c r="X982" s="194"/>
      <c r="Y982" s="194"/>
      <c r="Z982" s="194"/>
      <c r="AA982" s="194"/>
      <c r="AB982" s="194"/>
      <c r="AC982" s="194"/>
      <c r="AD982" s="194"/>
      <c r="AE982" s="194"/>
      <c r="AF982" s="194"/>
      <c r="AG982" s="194"/>
      <c r="AH982" s="194"/>
      <c r="AI982" s="194"/>
      <c r="AJ982" s="194"/>
      <c r="AK982" s="194"/>
      <c r="AL982" s="194"/>
      <c r="AM982" s="194"/>
      <c r="AN982" s="194"/>
      <c r="AO982" s="194"/>
    </row>
    <row r="983">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c r="AA983" s="194"/>
      <c r="AB983" s="194"/>
      <c r="AC983" s="194"/>
      <c r="AD983" s="194"/>
      <c r="AE983" s="194"/>
      <c r="AF983" s="194"/>
      <c r="AG983" s="194"/>
      <c r="AH983" s="194"/>
      <c r="AI983" s="194"/>
      <c r="AJ983" s="194"/>
      <c r="AK983" s="194"/>
      <c r="AL983" s="194"/>
      <c r="AM983" s="194"/>
      <c r="AN983" s="194"/>
      <c r="AO983" s="194"/>
    </row>
    <row r="984">
      <c r="A984" s="194"/>
      <c r="B984" s="194"/>
      <c r="C984" s="194"/>
      <c r="D984" s="194"/>
      <c r="E984" s="194"/>
      <c r="F984" s="194"/>
      <c r="G984" s="194"/>
      <c r="H984" s="194"/>
      <c r="I984" s="194"/>
      <c r="J984" s="194"/>
      <c r="K984" s="194"/>
      <c r="L984" s="194"/>
      <c r="M984" s="194"/>
      <c r="N984" s="194"/>
      <c r="O984" s="194"/>
      <c r="P984" s="194"/>
      <c r="Q984" s="194"/>
      <c r="R984" s="194"/>
      <c r="S984" s="194"/>
      <c r="T984" s="194"/>
      <c r="U984" s="194"/>
      <c r="V984" s="194"/>
      <c r="W984" s="194"/>
      <c r="X984" s="194"/>
      <c r="Y984" s="194"/>
      <c r="Z984" s="194"/>
      <c r="AA984" s="194"/>
      <c r="AB984" s="194"/>
      <c r="AC984" s="194"/>
      <c r="AD984" s="194"/>
      <c r="AE984" s="194"/>
      <c r="AF984" s="194"/>
      <c r="AG984" s="194"/>
      <c r="AH984" s="194"/>
      <c r="AI984" s="194"/>
      <c r="AJ984" s="194"/>
      <c r="AK984" s="194"/>
      <c r="AL984" s="194"/>
      <c r="AM984" s="194"/>
      <c r="AN984" s="194"/>
      <c r="AO984" s="194"/>
    </row>
    <row r="98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c r="AA985" s="194"/>
      <c r="AB985" s="194"/>
      <c r="AC985" s="194"/>
      <c r="AD985" s="194"/>
      <c r="AE985" s="194"/>
      <c r="AF985" s="194"/>
      <c r="AG985" s="194"/>
      <c r="AH985" s="194"/>
      <c r="AI985" s="194"/>
      <c r="AJ985" s="194"/>
      <c r="AK985" s="194"/>
      <c r="AL985" s="194"/>
      <c r="AM985" s="194"/>
      <c r="AN985" s="194"/>
      <c r="AO985" s="194"/>
    </row>
    <row r="986">
      <c r="A986" s="194"/>
      <c r="B986" s="194"/>
      <c r="C986" s="194"/>
      <c r="D986" s="194"/>
      <c r="E986" s="194"/>
      <c r="F986" s="194"/>
      <c r="G986" s="194"/>
      <c r="H986" s="194"/>
      <c r="I986" s="194"/>
      <c r="J986" s="194"/>
      <c r="K986" s="194"/>
      <c r="L986" s="194"/>
      <c r="M986" s="194"/>
      <c r="N986" s="194"/>
      <c r="O986" s="194"/>
      <c r="P986" s="194"/>
      <c r="Q986" s="194"/>
      <c r="R986" s="194"/>
      <c r="S986" s="194"/>
      <c r="T986" s="194"/>
      <c r="U986" s="194"/>
      <c r="V986" s="194"/>
      <c r="W986" s="194"/>
      <c r="X986" s="194"/>
      <c r="Y986" s="194"/>
      <c r="Z986" s="194"/>
      <c r="AA986" s="194"/>
      <c r="AB986" s="194"/>
      <c r="AC986" s="194"/>
      <c r="AD986" s="194"/>
      <c r="AE986" s="194"/>
      <c r="AF986" s="194"/>
      <c r="AG986" s="194"/>
      <c r="AH986" s="194"/>
      <c r="AI986" s="194"/>
      <c r="AJ986" s="194"/>
      <c r="AK986" s="194"/>
      <c r="AL986" s="194"/>
      <c r="AM986" s="194"/>
      <c r="AN986" s="194"/>
      <c r="AO986" s="194"/>
    </row>
    <row r="987">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c r="AA987" s="194"/>
      <c r="AB987" s="194"/>
      <c r="AC987" s="194"/>
      <c r="AD987" s="194"/>
      <c r="AE987" s="194"/>
      <c r="AF987" s="194"/>
      <c r="AG987" s="194"/>
      <c r="AH987" s="194"/>
      <c r="AI987" s="194"/>
      <c r="AJ987" s="194"/>
      <c r="AK987" s="194"/>
      <c r="AL987" s="194"/>
      <c r="AM987" s="194"/>
      <c r="AN987" s="194"/>
      <c r="AO987" s="194"/>
    </row>
    <row r="988">
      <c r="A988" s="194"/>
      <c r="B988" s="194"/>
      <c r="C988" s="194"/>
      <c r="D988" s="194"/>
      <c r="E988" s="194"/>
      <c r="F988" s="194"/>
      <c r="G988" s="194"/>
      <c r="H988" s="194"/>
      <c r="I988" s="194"/>
      <c r="J988" s="194"/>
      <c r="K988" s="194"/>
      <c r="L988" s="194"/>
      <c r="M988" s="194"/>
      <c r="N988" s="194"/>
      <c r="O988" s="194"/>
      <c r="P988" s="194"/>
      <c r="Q988" s="194"/>
      <c r="R988" s="194"/>
      <c r="S988" s="194"/>
      <c r="T988" s="194"/>
      <c r="U988" s="194"/>
      <c r="V988" s="194"/>
      <c r="W988" s="194"/>
      <c r="X988" s="194"/>
      <c r="Y988" s="194"/>
      <c r="Z988" s="194"/>
      <c r="AA988" s="194"/>
      <c r="AB988" s="194"/>
      <c r="AC988" s="194"/>
      <c r="AD988" s="194"/>
      <c r="AE988" s="194"/>
      <c r="AF988" s="194"/>
      <c r="AG988" s="194"/>
      <c r="AH988" s="194"/>
      <c r="AI988" s="194"/>
      <c r="AJ988" s="194"/>
      <c r="AK988" s="194"/>
      <c r="AL988" s="194"/>
      <c r="AM988" s="194"/>
      <c r="AN988" s="194"/>
      <c r="AO988" s="194"/>
    </row>
    <row r="989">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c r="AA989" s="194"/>
      <c r="AB989" s="194"/>
      <c r="AC989" s="194"/>
      <c r="AD989" s="194"/>
      <c r="AE989" s="194"/>
      <c r="AF989" s="194"/>
      <c r="AG989" s="194"/>
      <c r="AH989" s="194"/>
      <c r="AI989" s="194"/>
      <c r="AJ989" s="194"/>
      <c r="AK989" s="194"/>
      <c r="AL989" s="194"/>
      <c r="AM989" s="194"/>
      <c r="AN989" s="194"/>
      <c r="AO989" s="194"/>
    </row>
    <row r="990">
      <c r="A990" s="194"/>
      <c r="B990" s="194"/>
      <c r="C990" s="194"/>
      <c r="D990" s="194"/>
      <c r="E990" s="194"/>
      <c r="F990" s="194"/>
      <c r="G990" s="194"/>
      <c r="H990" s="194"/>
      <c r="I990" s="194"/>
      <c r="J990" s="194"/>
      <c r="K990" s="194"/>
      <c r="L990" s="194"/>
      <c r="M990" s="194"/>
      <c r="N990" s="194"/>
      <c r="O990" s="194"/>
      <c r="P990" s="194"/>
      <c r="Q990" s="194"/>
      <c r="R990" s="194"/>
      <c r="S990" s="194"/>
      <c r="T990" s="194"/>
      <c r="U990" s="194"/>
      <c r="V990" s="194"/>
      <c r="W990" s="194"/>
      <c r="X990" s="194"/>
      <c r="Y990" s="194"/>
      <c r="Z990" s="194"/>
      <c r="AA990" s="194"/>
      <c r="AB990" s="194"/>
      <c r="AC990" s="194"/>
      <c r="AD990" s="194"/>
      <c r="AE990" s="194"/>
      <c r="AF990" s="194"/>
      <c r="AG990" s="194"/>
      <c r="AH990" s="194"/>
      <c r="AI990" s="194"/>
      <c r="AJ990" s="194"/>
      <c r="AK990" s="194"/>
      <c r="AL990" s="194"/>
      <c r="AM990" s="194"/>
      <c r="AN990" s="194"/>
      <c r="AO990" s="194"/>
    </row>
    <row r="991">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c r="AA991" s="194"/>
      <c r="AB991" s="194"/>
      <c r="AC991" s="194"/>
      <c r="AD991" s="194"/>
      <c r="AE991" s="194"/>
      <c r="AF991" s="194"/>
      <c r="AG991" s="194"/>
      <c r="AH991" s="194"/>
      <c r="AI991" s="194"/>
      <c r="AJ991" s="194"/>
      <c r="AK991" s="194"/>
      <c r="AL991" s="194"/>
      <c r="AM991" s="194"/>
      <c r="AN991" s="194"/>
      <c r="AO991" s="194"/>
    </row>
    <row r="992">
      <c r="A992" s="194"/>
      <c r="B992" s="194"/>
      <c r="C992" s="194"/>
      <c r="D992" s="194"/>
      <c r="E992" s="194"/>
      <c r="F992" s="194"/>
      <c r="G992" s="194"/>
      <c r="H992" s="194"/>
      <c r="I992" s="194"/>
      <c r="J992" s="194"/>
      <c r="K992" s="194"/>
      <c r="L992" s="194"/>
      <c r="M992" s="194"/>
      <c r="N992" s="194"/>
      <c r="O992" s="194"/>
      <c r="P992" s="194"/>
      <c r="Q992" s="194"/>
      <c r="R992" s="194"/>
      <c r="S992" s="194"/>
      <c r="T992" s="194"/>
      <c r="U992" s="194"/>
      <c r="V992" s="194"/>
      <c r="W992" s="194"/>
      <c r="X992" s="194"/>
      <c r="Y992" s="194"/>
      <c r="Z992" s="194"/>
      <c r="AA992" s="194"/>
      <c r="AB992" s="194"/>
      <c r="AC992" s="194"/>
      <c r="AD992" s="194"/>
      <c r="AE992" s="194"/>
      <c r="AF992" s="194"/>
      <c r="AG992" s="194"/>
      <c r="AH992" s="194"/>
      <c r="AI992" s="194"/>
      <c r="AJ992" s="194"/>
      <c r="AK992" s="194"/>
      <c r="AL992" s="194"/>
      <c r="AM992" s="194"/>
      <c r="AN992" s="194"/>
      <c r="AO992" s="194"/>
    </row>
    <row r="993">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c r="AA993" s="194"/>
      <c r="AB993" s="194"/>
      <c r="AC993" s="194"/>
      <c r="AD993" s="194"/>
      <c r="AE993" s="194"/>
      <c r="AF993" s="194"/>
      <c r="AG993" s="194"/>
      <c r="AH993" s="194"/>
      <c r="AI993" s="194"/>
      <c r="AJ993" s="194"/>
      <c r="AK993" s="194"/>
      <c r="AL993" s="194"/>
      <c r="AM993" s="194"/>
      <c r="AN993" s="194"/>
      <c r="AO993" s="194"/>
    </row>
    <row r="994">
      <c r="A994" s="194"/>
      <c r="B994" s="194"/>
      <c r="C994" s="194"/>
      <c r="D994" s="194"/>
      <c r="E994" s="194"/>
      <c r="F994" s="194"/>
      <c r="G994" s="194"/>
      <c r="H994" s="194"/>
      <c r="I994" s="194"/>
      <c r="J994" s="194"/>
      <c r="K994" s="194"/>
      <c r="L994" s="194"/>
      <c r="M994" s="194"/>
      <c r="N994" s="194"/>
      <c r="O994" s="194"/>
      <c r="P994" s="194"/>
      <c r="Q994" s="194"/>
      <c r="R994" s="194"/>
      <c r="S994" s="194"/>
      <c r="T994" s="194"/>
      <c r="U994" s="194"/>
      <c r="V994" s="194"/>
      <c r="W994" s="194"/>
      <c r="X994" s="194"/>
      <c r="Y994" s="194"/>
      <c r="Z994" s="194"/>
      <c r="AA994" s="194"/>
      <c r="AB994" s="194"/>
      <c r="AC994" s="194"/>
      <c r="AD994" s="194"/>
      <c r="AE994" s="194"/>
      <c r="AF994" s="194"/>
      <c r="AG994" s="194"/>
      <c r="AH994" s="194"/>
      <c r="AI994" s="194"/>
      <c r="AJ994" s="194"/>
      <c r="AK994" s="194"/>
      <c r="AL994" s="194"/>
      <c r="AM994" s="194"/>
      <c r="AN994" s="194"/>
      <c r="AO994" s="194"/>
    </row>
    <row r="99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c r="AA995" s="194"/>
      <c r="AB995" s="194"/>
      <c r="AC995" s="194"/>
      <c r="AD995" s="194"/>
      <c r="AE995" s="194"/>
      <c r="AF995" s="194"/>
      <c r="AG995" s="194"/>
      <c r="AH995" s="194"/>
      <c r="AI995" s="194"/>
      <c r="AJ995" s="194"/>
      <c r="AK995" s="194"/>
      <c r="AL995" s="194"/>
      <c r="AM995" s="194"/>
      <c r="AN995" s="194"/>
      <c r="AO995" s="194"/>
    </row>
    <row r="996">
      <c r="A996" s="194"/>
      <c r="B996" s="194"/>
      <c r="C996" s="194"/>
      <c r="D996" s="194"/>
      <c r="E996" s="194"/>
      <c r="F996" s="194"/>
      <c r="G996" s="194"/>
      <c r="H996" s="194"/>
      <c r="I996" s="194"/>
      <c r="J996" s="194"/>
      <c r="K996" s="194"/>
      <c r="L996" s="194"/>
      <c r="M996" s="194"/>
      <c r="N996" s="194"/>
      <c r="O996" s="194"/>
      <c r="P996" s="194"/>
      <c r="Q996" s="194"/>
      <c r="R996" s="194"/>
      <c r="S996" s="194"/>
      <c r="T996" s="194"/>
      <c r="U996" s="194"/>
      <c r="V996" s="194"/>
      <c r="W996" s="194"/>
      <c r="X996" s="194"/>
      <c r="Y996" s="194"/>
      <c r="Z996" s="194"/>
      <c r="AA996" s="194"/>
      <c r="AB996" s="194"/>
      <c r="AC996" s="194"/>
      <c r="AD996" s="194"/>
      <c r="AE996" s="194"/>
      <c r="AF996" s="194"/>
      <c r="AG996" s="194"/>
      <c r="AH996" s="194"/>
      <c r="AI996" s="194"/>
      <c r="AJ996" s="194"/>
      <c r="AK996" s="194"/>
      <c r="AL996" s="194"/>
      <c r="AM996" s="194"/>
      <c r="AN996" s="194"/>
      <c r="AO996" s="194"/>
    </row>
    <row r="997">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c r="AA997" s="194"/>
      <c r="AB997" s="194"/>
      <c r="AC997" s="194"/>
      <c r="AD997" s="194"/>
      <c r="AE997" s="194"/>
      <c r="AF997" s="194"/>
      <c r="AG997" s="194"/>
      <c r="AH997" s="194"/>
      <c r="AI997" s="194"/>
      <c r="AJ997" s="194"/>
      <c r="AK997" s="194"/>
      <c r="AL997" s="194"/>
      <c r="AM997" s="194"/>
      <c r="AN997" s="194"/>
      <c r="AO997" s="194"/>
    </row>
    <row r="998">
      <c r="A998" s="194"/>
      <c r="B998" s="194"/>
      <c r="C998" s="194"/>
      <c r="D998" s="194"/>
      <c r="E998" s="194"/>
      <c r="F998" s="194"/>
      <c r="G998" s="194"/>
      <c r="H998" s="194"/>
      <c r="I998" s="194"/>
      <c r="J998" s="194"/>
      <c r="K998" s="194"/>
      <c r="L998" s="194"/>
      <c r="M998" s="194"/>
      <c r="N998" s="194"/>
      <c r="O998" s="194"/>
      <c r="P998" s="194"/>
      <c r="Q998" s="194"/>
      <c r="R998" s="194"/>
      <c r="S998" s="194"/>
      <c r="T998" s="194"/>
      <c r="U998" s="194"/>
      <c r="V998" s="194"/>
      <c r="W998" s="194"/>
      <c r="X998" s="194"/>
      <c r="Y998" s="194"/>
      <c r="Z998" s="194"/>
      <c r="AA998" s="194"/>
      <c r="AB998" s="194"/>
      <c r="AC998" s="194"/>
      <c r="AD998" s="194"/>
      <c r="AE998" s="194"/>
      <c r="AF998" s="194"/>
      <c r="AG998" s="194"/>
      <c r="AH998" s="194"/>
      <c r="AI998" s="194"/>
      <c r="AJ998" s="194"/>
      <c r="AK998" s="194"/>
      <c r="AL998" s="194"/>
      <c r="AM998" s="194"/>
      <c r="AN998" s="194"/>
      <c r="AO998" s="194"/>
    </row>
    <row r="999">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c r="AA999" s="194"/>
      <c r="AB999" s="194"/>
      <c r="AC999" s="194"/>
      <c r="AD999" s="194"/>
      <c r="AE999" s="194"/>
      <c r="AF999" s="194"/>
      <c r="AG999" s="194"/>
      <c r="AH999" s="194"/>
      <c r="AI999" s="194"/>
      <c r="AJ999" s="194"/>
      <c r="AK999" s="194"/>
      <c r="AL999" s="194"/>
      <c r="AM999" s="194"/>
      <c r="AN999" s="194"/>
      <c r="AO999" s="194"/>
    </row>
    <row r="1000">
      <c r="A1000" s="194"/>
      <c r="B1000" s="194"/>
      <c r="C1000" s="194"/>
      <c r="D1000" s="194"/>
      <c r="E1000" s="194"/>
      <c r="F1000" s="194"/>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c r="AA1000" s="194"/>
      <c r="AB1000" s="194"/>
      <c r="AC1000" s="194"/>
      <c r="AD1000" s="194"/>
      <c r="AE1000" s="194"/>
      <c r="AF1000" s="194"/>
      <c r="AG1000" s="194"/>
      <c r="AH1000" s="194"/>
      <c r="AI1000" s="194"/>
      <c r="AJ1000" s="194"/>
      <c r="AK1000" s="194"/>
      <c r="AL1000" s="194"/>
      <c r="AM1000" s="194"/>
      <c r="AN1000" s="194"/>
      <c r="AO1000" s="194"/>
    </row>
    <row r="1001">
      <c r="A1001" s="194"/>
      <c r="B1001" s="194"/>
      <c r="C1001" s="194"/>
      <c r="D1001" s="194"/>
      <c r="E1001" s="194"/>
      <c r="F1001" s="194"/>
      <c r="G1001" s="194"/>
      <c r="H1001" s="194"/>
      <c r="I1001" s="194"/>
      <c r="J1001" s="194"/>
      <c r="K1001" s="194"/>
      <c r="L1001" s="194"/>
      <c r="M1001" s="194"/>
      <c r="N1001" s="194"/>
      <c r="O1001" s="194"/>
      <c r="P1001" s="194"/>
      <c r="Q1001" s="194"/>
      <c r="R1001" s="194"/>
      <c r="S1001" s="194"/>
      <c r="T1001" s="194"/>
      <c r="U1001" s="194"/>
      <c r="V1001" s="194"/>
      <c r="W1001" s="194"/>
      <c r="X1001" s="194"/>
      <c r="Y1001" s="194"/>
      <c r="Z1001" s="194"/>
      <c r="AA1001" s="194"/>
      <c r="AB1001" s="194"/>
      <c r="AC1001" s="194"/>
      <c r="AD1001" s="194"/>
      <c r="AE1001" s="194"/>
      <c r="AF1001" s="194"/>
      <c r="AG1001" s="194"/>
      <c r="AH1001" s="194"/>
      <c r="AI1001" s="194"/>
      <c r="AJ1001" s="194"/>
      <c r="AK1001" s="194"/>
      <c r="AL1001" s="194"/>
      <c r="AM1001" s="194"/>
      <c r="AN1001" s="194"/>
      <c r="AO1001" s="194"/>
    </row>
    <row r="1002">
      <c r="A1002" s="194"/>
      <c r="B1002" s="194"/>
      <c r="C1002" s="194"/>
      <c r="D1002" s="194"/>
      <c r="E1002" s="194"/>
      <c r="F1002" s="194"/>
      <c r="G1002" s="194"/>
      <c r="H1002" s="194"/>
      <c r="I1002" s="194"/>
      <c r="J1002" s="194"/>
      <c r="K1002" s="194"/>
      <c r="L1002" s="194"/>
      <c r="M1002" s="194"/>
      <c r="N1002" s="194"/>
      <c r="O1002" s="194"/>
      <c r="P1002" s="194"/>
      <c r="Q1002" s="194"/>
      <c r="R1002" s="194"/>
      <c r="S1002" s="194"/>
      <c r="T1002" s="194"/>
      <c r="U1002" s="194"/>
      <c r="V1002" s="194"/>
      <c r="W1002" s="194"/>
      <c r="X1002" s="194"/>
      <c r="Y1002" s="194"/>
      <c r="Z1002" s="194"/>
      <c r="AA1002" s="194"/>
      <c r="AB1002" s="194"/>
      <c r="AC1002" s="194"/>
      <c r="AD1002" s="194"/>
      <c r="AE1002" s="194"/>
      <c r="AF1002" s="194"/>
      <c r="AG1002" s="194"/>
      <c r="AH1002" s="194"/>
      <c r="AI1002" s="194"/>
      <c r="AJ1002" s="194"/>
      <c r="AK1002" s="194"/>
      <c r="AL1002" s="194"/>
      <c r="AM1002" s="194"/>
      <c r="AN1002" s="194"/>
      <c r="AO1002" s="194"/>
    </row>
    <row r="1003">
      <c r="A1003" s="194"/>
      <c r="B1003" s="194"/>
      <c r="C1003" s="194"/>
      <c r="D1003" s="194"/>
      <c r="E1003" s="194"/>
      <c r="F1003" s="194"/>
      <c r="G1003" s="194"/>
      <c r="H1003" s="194"/>
      <c r="I1003" s="194"/>
      <c r="J1003" s="194"/>
      <c r="K1003" s="194"/>
      <c r="L1003" s="194"/>
      <c r="M1003" s="194"/>
      <c r="N1003" s="194"/>
      <c r="O1003" s="194"/>
      <c r="P1003" s="194"/>
      <c r="Q1003" s="194"/>
      <c r="R1003" s="194"/>
      <c r="S1003" s="194"/>
      <c r="T1003" s="194"/>
      <c r="U1003" s="194"/>
      <c r="V1003" s="194"/>
      <c r="W1003" s="194"/>
      <c r="X1003" s="194"/>
      <c r="Y1003" s="194"/>
      <c r="Z1003" s="194"/>
      <c r="AA1003" s="194"/>
      <c r="AB1003" s="194"/>
      <c r="AC1003" s="194"/>
      <c r="AD1003" s="194"/>
      <c r="AE1003" s="194"/>
      <c r="AF1003" s="194"/>
      <c r="AG1003" s="194"/>
      <c r="AH1003" s="194"/>
      <c r="AI1003" s="194"/>
      <c r="AJ1003" s="194"/>
      <c r="AK1003" s="194"/>
      <c r="AL1003" s="194"/>
      <c r="AM1003" s="194"/>
      <c r="AN1003" s="194"/>
      <c r="AO1003" s="194"/>
    </row>
    <row r="1004">
      <c r="A1004" s="194"/>
      <c r="B1004" s="194"/>
      <c r="C1004" s="194"/>
      <c r="D1004" s="194"/>
      <c r="E1004" s="194"/>
      <c r="F1004" s="194"/>
      <c r="G1004" s="194"/>
      <c r="H1004" s="194"/>
      <c r="I1004" s="194"/>
      <c r="J1004" s="194"/>
      <c r="K1004" s="194"/>
      <c r="L1004" s="194"/>
      <c r="M1004" s="194"/>
      <c r="N1004" s="194"/>
      <c r="O1004" s="194"/>
      <c r="P1004" s="194"/>
      <c r="Q1004" s="194"/>
      <c r="R1004" s="194"/>
      <c r="S1004" s="194"/>
      <c r="T1004" s="194"/>
      <c r="U1004" s="194"/>
      <c r="V1004" s="194"/>
      <c r="W1004" s="194"/>
      <c r="X1004" s="194"/>
      <c r="Y1004" s="194"/>
      <c r="Z1004" s="194"/>
      <c r="AA1004" s="194"/>
      <c r="AB1004" s="194"/>
      <c r="AC1004" s="194"/>
      <c r="AD1004" s="194"/>
      <c r="AE1004" s="194"/>
      <c r="AF1004" s="194"/>
      <c r="AG1004" s="194"/>
      <c r="AH1004" s="194"/>
      <c r="AI1004" s="194"/>
      <c r="AJ1004" s="194"/>
      <c r="AK1004" s="194"/>
      <c r="AL1004" s="194"/>
      <c r="AM1004" s="194"/>
      <c r="AN1004" s="194"/>
      <c r="AO1004" s="194"/>
    </row>
    <row r="1005">
      <c r="A1005" s="194"/>
      <c r="B1005" s="194"/>
      <c r="C1005" s="194"/>
      <c r="D1005" s="194"/>
      <c r="E1005" s="194"/>
      <c r="F1005" s="194"/>
      <c r="G1005" s="194"/>
      <c r="H1005" s="194"/>
      <c r="I1005" s="194"/>
      <c r="J1005" s="194"/>
      <c r="K1005" s="194"/>
      <c r="L1005" s="194"/>
      <c r="M1005" s="194"/>
      <c r="N1005" s="194"/>
      <c r="O1005" s="194"/>
      <c r="P1005" s="194"/>
      <c r="Q1005" s="194"/>
      <c r="R1005" s="194"/>
      <c r="S1005" s="194"/>
      <c r="T1005" s="194"/>
      <c r="U1005" s="194"/>
      <c r="V1005" s="194"/>
      <c r="W1005" s="194"/>
      <c r="X1005" s="194"/>
      <c r="Y1005" s="194"/>
      <c r="Z1005" s="194"/>
      <c r="AA1005" s="194"/>
      <c r="AB1005" s="194"/>
      <c r="AC1005" s="194"/>
      <c r="AD1005" s="194"/>
      <c r="AE1005" s="194"/>
      <c r="AF1005" s="194"/>
      <c r="AG1005" s="194"/>
      <c r="AH1005" s="194"/>
      <c r="AI1005" s="194"/>
      <c r="AJ1005" s="194"/>
      <c r="AK1005" s="194"/>
      <c r="AL1005" s="194"/>
      <c r="AM1005" s="194"/>
      <c r="AN1005" s="194"/>
      <c r="AO1005" s="194"/>
    </row>
    <row r="1006">
      <c r="A1006" s="194"/>
      <c r="B1006" s="194"/>
      <c r="C1006" s="194"/>
      <c r="D1006" s="194"/>
      <c r="E1006" s="194"/>
      <c r="F1006" s="194"/>
      <c r="G1006" s="194"/>
      <c r="H1006" s="194"/>
      <c r="I1006" s="194"/>
      <c r="J1006" s="194"/>
      <c r="K1006" s="194"/>
      <c r="L1006" s="194"/>
      <c r="M1006" s="194"/>
      <c r="N1006" s="194"/>
      <c r="O1006" s="194"/>
      <c r="P1006" s="194"/>
      <c r="Q1006" s="194"/>
      <c r="R1006" s="194"/>
      <c r="S1006" s="194"/>
      <c r="T1006" s="194"/>
      <c r="U1006" s="194"/>
      <c r="V1006" s="194"/>
      <c r="W1006" s="194"/>
      <c r="X1006" s="194"/>
      <c r="Y1006" s="194"/>
      <c r="Z1006" s="194"/>
      <c r="AA1006" s="194"/>
      <c r="AB1006" s="194"/>
      <c r="AC1006" s="194"/>
      <c r="AD1006" s="194"/>
      <c r="AE1006" s="194"/>
      <c r="AF1006" s="194"/>
      <c r="AG1006" s="194"/>
      <c r="AH1006" s="194"/>
      <c r="AI1006" s="194"/>
      <c r="AJ1006" s="194"/>
      <c r="AK1006" s="194"/>
      <c r="AL1006" s="194"/>
      <c r="AM1006" s="194"/>
      <c r="AN1006" s="194"/>
      <c r="AO1006" s="194"/>
    </row>
    <row r="1007">
      <c r="A1007" s="194"/>
      <c r="B1007" s="194"/>
      <c r="C1007" s="194"/>
      <c r="D1007" s="194"/>
      <c r="E1007" s="194"/>
      <c r="F1007" s="194"/>
      <c r="G1007" s="194"/>
      <c r="H1007" s="194"/>
      <c r="I1007" s="194"/>
      <c r="J1007" s="194"/>
      <c r="K1007" s="194"/>
      <c r="L1007" s="194"/>
      <c r="M1007" s="194"/>
      <c r="N1007" s="194"/>
      <c r="O1007" s="194"/>
      <c r="P1007" s="194"/>
      <c r="Q1007" s="194"/>
      <c r="R1007" s="194"/>
      <c r="S1007" s="194"/>
      <c r="T1007" s="194"/>
      <c r="U1007" s="194"/>
      <c r="V1007" s="194"/>
      <c r="W1007" s="194"/>
      <c r="X1007" s="194"/>
      <c r="Y1007" s="194"/>
      <c r="Z1007" s="194"/>
      <c r="AA1007" s="194"/>
      <c r="AB1007" s="194"/>
      <c r="AC1007" s="194"/>
      <c r="AD1007" s="194"/>
      <c r="AE1007" s="194"/>
      <c r="AF1007" s="194"/>
      <c r="AG1007" s="194"/>
      <c r="AH1007" s="194"/>
      <c r="AI1007" s="194"/>
      <c r="AJ1007" s="194"/>
      <c r="AK1007" s="194"/>
      <c r="AL1007" s="194"/>
      <c r="AM1007" s="194"/>
      <c r="AN1007" s="194"/>
      <c r="AO1007" s="194"/>
    </row>
    <row r="1008">
      <c r="A1008" s="194"/>
      <c r="B1008" s="194"/>
      <c r="C1008" s="194"/>
      <c r="D1008" s="194"/>
      <c r="E1008" s="194"/>
      <c r="F1008" s="194"/>
      <c r="G1008" s="194"/>
      <c r="H1008" s="194"/>
      <c r="I1008" s="194"/>
      <c r="J1008" s="194"/>
      <c r="K1008" s="194"/>
      <c r="L1008" s="194"/>
      <c r="M1008" s="194"/>
      <c r="N1008" s="194"/>
      <c r="O1008" s="194"/>
      <c r="P1008" s="194"/>
      <c r="Q1008" s="194"/>
      <c r="R1008" s="194"/>
      <c r="S1008" s="194"/>
      <c r="T1008" s="194"/>
      <c r="U1008" s="194"/>
      <c r="V1008" s="194"/>
      <c r="W1008" s="194"/>
      <c r="X1008" s="194"/>
      <c r="Y1008" s="194"/>
      <c r="Z1008" s="194"/>
      <c r="AA1008" s="194"/>
      <c r="AB1008" s="194"/>
      <c r="AC1008" s="194"/>
      <c r="AD1008" s="194"/>
      <c r="AE1008" s="194"/>
      <c r="AF1008" s="194"/>
      <c r="AG1008" s="194"/>
      <c r="AH1008" s="194"/>
      <c r="AI1008" s="194"/>
      <c r="AJ1008" s="194"/>
      <c r="AK1008" s="194"/>
      <c r="AL1008" s="194"/>
      <c r="AM1008" s="194"/>
      <c r="AN1008" s="194"/>
      <c r="AO1008" s="194"/>
    </row>
    <row r="1009">
      <c r="A1009" s="194"/>
      <c r="B1009" s="194"/>
      <c r="C1009" s="194"/>
      <c r="D1009" s="194"/>
      <c r="E1009" s="194"/>
      <c r="F1009" s="194"/>
      <c r="G1009" s="194"/>
      <c r="H1009" s="194"/>
      <c r="I1009" s="194"/>
      <c r="J1009" s="194"/>
      <c r="K1009" s="194"/>
      <c r="L1009" s="194"/>
      <c r="M1009" s="194"/>
      <c r="N1009" s="194"/>
      <c r="O1009" s="194"/>
      <c r="P1009" s="194"/>
      <c r="Q1009" s="194"/>
      <c r="R1009" s="194"/>
      <c r="S1009" s="194"/>
      <c r="T1009" s="194"/>
      <c r="U1009" s="194"/>
      <c r="V1009" s="194"/>
      <c r="W1009" s="194"/>
      <c r="X1009" s="194"/>
      <c r="Y1009" s="194"/>
      <c r="Z1009" s="194"/>
      <c r="AA1009" s="194"/>
      <c r="AB1009" s="194"/>
      <c r="AC1009" s="194"/>
      <c r="AD1009" s="194"/>
      <c r="AE1009" s="194"/>
      <c r="AF1009" s="194"/>
      <c r="AG1009" s="194"/>
      <c r="AH1009" s="194"/>
      <c r="AI1009" s="194"/>
      <c r="AJ1009" s="194"/>
      <c r="AK1009" s="194"/>
      <c r="AL1009" s="194"/>
      <c r="AM1009" s="194"/>
      <c r="AN1009" s="194"/>
      <c r="AO1009" s="194"/>
    </row>
    <row r="1010">
      <c r="A1010" s="194"/>
      <c r="B1010" s="194"/>
      <c r="C1010" s="194"/>
      <c r="D1010" s="194"/>
      <c r="E1010" s="194"/>
      <c r="F1010" s="194"/>
      <c r="G1010" s="194"/>
      <c r="H1010" s="194"/>
      <c r="I1010" s="194"/>
      <c r="J1010" s="194"/>
      <c r="K1010" s="194"/>
      <c r="L1010" s="194"/>
      <c r="M1010" s="194"/>
      <c r="N1010" s="194"/>
      <c r="O1010" s="194"/>
      <c r="P1010" s="194"/>
      <c r="Q1010" s="194"/>
      <c r="R1010" s="194"/>
      <c r="S1010" s="194"/>
      <c r="T1010" s="194"/>
      <c r="U1010" s="194"/>
      <c r="V1010" s="194"/>
      <c r="W1010" s="194"/>
      <c r="X1010" s="194"/>
      <c r="Y1010" s="194"/>
      <c r="Z1010" s="194"/>
      <c r="AA1010" s="194"/>
      <c r="AB1010" s="194"/>
      <c r="AC1010" s="194"/>
      <c r="AD1010" s="194"/>
      <c r="AE1010" s="194"/>
      <c r="AF1010" s="194"/>
      <c r="AG1010" s="194"/>
      <c r="AH1010" s="194"/>
      <c r="AI1010" s="194"/>
      <c r="AJ1010" s="194"/>
      <c r="AK1010" s="194"/>
      <c r="AL1010" s="194"/>
      <c r="AM1010" s="194"/>
      <c r="AN1010" s="194"/>
      <c r="AO1010" s="194"/>
    </row>
  </sheetData>
  <autoFilter ref="$B$1:$B$1010"/>
  <hyperlinks>
    <hyperlink r:id="rId1" ref="C5"/>
    <hyperlink r:id="rId2" ref="C6"/>
    <hyperlink r:id="rId3" ref="D6"/>
    <hyperlink r:id="rId4" ref="C7"/>
    <hyperlink r:id="rId5" ref="D7"/>
    <hyperlink r:id="rId6" ref="E7"/>
    <hyperlink r:id="rId7" ref="C8"/>
    <hyperlink r:id="rId8" ref="D8"/>
    <hyperlink r:id="rId9" ref="E8"/>
    <hyperlink r:id="rId10" ref="C9"/>
    <hyperlink r:id="rId11" ref="E9"/>
    <hyperlink r:id="rId12" ref="C10"/>
    <hyperlink r:id="rId13" ref="D10"/>
    <hyperlink r:id="rId14" ref="E10"/>
    <hyperlink r:id="rId15" ref="D11"/>
    <hyperlink r:id="rId16" ref="E11"/>
    <hyperlink r:id="rId17" ref="C12"/>
    <hyperlink r:id="rId18" ref="D12"/>
    <hyperlink r:id="rId19" ref="E12"/>
    <hyperlink r:id="rId20" ref="C13"/>
    <hyperlink r:id="rId21" ref="D13"/>
    <hyperlink r:id="rId22" ref="C14"/>
    <hyperlink r:id="rId23" location="apply" ref="D14"/>
    <hyperlink r:id="rId24" ref="E14"/>
    <hyperlink r:id="rId25" ref="C15"/>
    <hyperlink r:id="rId26" ref="D15"/>
    <hyperlink r:id="rId27" ref="C16"/>
    <hyperlink r:id="rId28" ref="C17"/>
    <hyperlink r:id="rId29" ref="D17"/>
    <hyperlink r:id="rId30" ref="C18"/>
    <hyperlink r:id="rId31" ref="D18"/>
    <hyperlink r:id="rId32" ref="E18"/>
    <hyperlink r:id="rId33" ref="C19"/>
    <hyperlink r:id="rId34" ref="D19"/>
    <hyperlink r:id="rId35" ref="C20"/>
    <hyperlink r:id="rId36" ref="D20"/>
    <hyperlink r:id="rId37" ref="E20"/>
    <hyperlink r:id="rId38" ref="C24"/>
    <hyperlink r:id="rId39" ref="E24"/>
    <hyperlink r:id="rId40" location="aabc23a0-2980-43a8-a0ee-b7ec5e4a76df" ref="D25"/>
    <hyperlink r:id="rId41" ref="E25"/>
    <hyperlink r:id="rId42" ref="C26"/>
    <hyperlink r:id="rId43" ref="C27"/>
    <hyperlink r:id="rId44" ref="D27"/>
    <hyperlink r:id="rId45" ref="C28"/>
    <hyperlink r:id="rId46" ref="D28"/>
    <hyperlink r:id="rId47" ref="E28"/>
    <hyperlink r:id="rId48" ref="C29"/>
    <hyperlink r:id="rId49" ref="D29"/>
    <hyperlink r:id="rId50" ref="E29"/>
    <hyperlink r:id="rId51" ref="C30"/>
    <hyperlink r:id="rId52" ref="D30"/>
    <hyperlink r:id="rId53" ref="C31"/>
    <hyperlink r:id="rId54" ref="D31"/>
    <hyperlink r:id="rId55" ref="C32"/>
    <hyperlink r:id="rId56" ref="D32"/>
    <hyperlink r:id="rId57" ref="C33"/>
    <hyperlink r:id="rId58" ref="C34"/>
    <hyperlink r:id="rId59" ref="E34"/>
    <hyperlink r:id="rId60" ref="C35"/>
    <hyperlink r:id="rId61" ref="E35"/>
    <hyperlink r:id="rId62" ref="C39"/>
    <hyperlink r:id="rId63" ref="C41"/>
    <hyperlink r:id="rId64" ref="C42"/>
    <hyperlink r:id="rId65" ref="D42"/>
    <hyperlink r:id="rId66" ref="C46"/>
    <hyperlink r:id="rId67" ref="D46"/>
    <hyperlink r:id="rId68" ref="E46"/>
    <hyperlink r:id="rId69" ref="C47"/>
    <hyperlink r:id="rId70" ref="D47"/>
    <hyperlink r:id="rId71" ref="C48"/>
    <hyperlink r:id="rId72" ref="D48"/>
    <hyperlink r:id="rId73" ref="E48"/>
    <hyperlink r:id="rId74" ref="C49"/>
    <hyperlink r:id="rId75" ref="D49"/>
    <hyperlink r:id="rId76" ref="E49"/>
    <hyperlink r:id="rId77" ref="C50"/>
    <hyperlink r:id="rId78" ref="D50"/>
    <hyperlink r:id="rId79" ref="E50"/>
    <hyperlink r:id="rId80" ref="C51"/>
    <hyperlink r:id="rId81" ref="E51"/>
    <hyperlink r:id="rId82" ref="C52"/>
    <hyperlink r:id="rId83" ref="D52"/>
    <hyperlink r:id="rId84" ref="E52"/>
    <hyperlink r:id="rId85" ref="C53"/>
    <hyperlink r:id="rId86" ref="E53"/>
    <hyperlink r:id="rId87" ref="C54"/>
    <hyperlink r:id="rId88" ref="C55"/>
    <hyperlink r:id="rId89" ref="D55"/>
  </hyperlinks>
  <printOptions gridLines="1" horizontalCentered="1"/>
  <pageMargins bottom="0.75" footer="0.0" header="0.0" left="0.7" right="0.7" top="0.75"/>
  <pageSetup fitToWidth="0" paperSize="8" cellComments="atEnd" orientation="landscape" pageOrder="overThenDown"/>
  <drawing r:id="rId9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7.88"/>
    <col customWidth="1" min="3" max="3" width="32.25"/>
    <col customWidth="1" min="4" max="4" width="100.38"/>
  </cols>
  <sheetData>
    <row r="1">
      <c r="A1" s="19" t="s">
        <v>2103</v>
      </c>
      <c r="B1" s="19" t="s">
        <v>2104</v>
      </c>
      <c r="C1" s="19" t="s">
        <v>2106</v>
      </c>
      <c r="D1" s="19" t="s">
        <v>32</v>
      </c>
    </row>
    <row r="2">
      <c r="C2" s="153"/>
    </row>
    <row r="3" ht="15.75" customHeight="1">
      <c r="A3" s="310" t="s">
        <v>2107</v>
      </c>
      <c r="B3" s="311"/>
      <c r="C3" s="312"/>
      <c r="D3" s="32"/>
      <c r="E3" s="311"/>
      <c r="F3" s="311"/>
      <c r="G3" s="311"/>
      <c r="H3" s="311"/>
      <c r="I3" s="313"/>
      <c r="J3" s="313"/>
      <c r="K3" s="313"/>
      <c r="L3" s="313"/>
      <c r="M3" s="313"/>
      <c r="N3" s="313"/>
      <c r="O3" s="313"/>
      <c r="P3" s="313"/>
      <c r="Q3" s="311"/>
      <c r="R3" s="311"/>
      <c r="S3" s="311"/>
      <c r="T3" s="311"/>
      <c r="U3" s="311"/>
      <c r="V3" s="164"/>
      <c r="W3" s="164"/>
      <c r="X3" s="164"/>
      <c r="Y3" s="164"/>
      <c r="Z3" s="164"/>
      <c r="AA3" s="164"/>
      <c r="AB3" s="164"/>
      <c r="AC3" s="164"/>
      <c r="AD3" s="164"/>
      <c r="AE3" s="164"/>
      <c r="AF3" s="164"/>
      <c r="AG3" s="164"/>
      <c r="AH3" s="164"/>
      <c r="AI3" s="164"/>
      <c r="AJ3" s="164"/>
      <c r="AK3" s="164"/>
      <c r="AL3" s="164"/>
      <c r="AM3" s="164"/>
      <c r="AN3" s="164"/>
    </row>
    <row r="4">
      <c r="E4" s="14"/>
    </row>
    <row r="5">
      <c r="A5" s="315" t="s">
        <v>2113</v>
      </c>
      <c r="B5" s="83" t="s">
        <v>2116</v>
      </c>
      <c r="C5" s="98" t="s">
        <v>2117</v>
      </c>
      <c r="D5" s="83" t="s">
        <v>2120</v>
      </c>
      <c r="F5" s="14"/>
      <c r="G5" s="14"/>
    </row>
    <row r="6">
      <c r="A6" s="315" t="s">
        <v>2122</v>
      </c>
      <c r="B6" s="83" t="s">
        <v>2116</v>
      </c>
      <c r="C6" s="98" t="s">
        <v>2124</v>
      </c>
      <c r="D6" s="83" t="s">
        <v>2126</v>
      </c>
      <c r="E6" s="14"/>
      <c r="F6" s="14"/>
      <c r="G6" s="14"/>
    </row>
    <row r="7">
      <c r="A7" s="318" t="s">
        <v>2127</v>
      </c>
      <c r="B7" s="83" t="s">
        <v>2116</v>
      </c>
      <c r="C7" s="98" t="s">
        <v>2129</v>
      </c>
      <c r="D7" s="83" t="s">
        <v>2132</v>
      </c>
      <c r="E7" s="14"/>
      <c r="F7" s="14"/>
      <c r="G7" s="14"/>
    </row>
    <row r="8">
      <c r="A8" s="315" t="s">
        <v>2134</v>
      </c>
      <c r="B8" s="83" t="s">
        <v>2135</v>
      </c>
      <c r="C8" s="142" t="s">
        <v>2138</v>
      </c>
      <c r="D8" s="83" t="s">
        <v>2141</v>
      </c>
    </row>
    <row r="9">
      <c r="A9" s="315" t="s">
        <v>2143</v>
      </c>
      <c r="B9" s="83" t="s">
        <v>2144</v>
      </c>
      <c r="C9" s="98" t="s">
        <v>2146</v>
      </c>
      <c r="D9" s="83" t="s">
        <v>2148</v>
      </c>
      <c r="F9" s="14"/>
      <c r="G9" s="14"/>
    </row>
    <row r="11" ht="15.75" customHeight="1">
      <c r="A11" s="310" t="s">
        <v>2149</v>
      </c>
      <c r="B11" s="311"/>
      <c r="C11" s="312"/>
      <c r="D11" s="32"/>
      <c r="E11" s="311"/>
      <c r="F11" s="311"/>
      <c r="G11" s="311"/>
      <c r="H11" s="311"/>
      <c r="I11" s="313"/>
      <c r="J11" s="313"/>
      <c r="K11" s="313"/>
      <c r="L11" s="313"/>
      <c r="M11" s="313"/>
      <c r="N11" s="313"/>
      <c r="O11" s="313"/>
      <c r="P11" s="313"/>
      <c r="Q11" s="311"/>
      <c r="R11" s="311"/>
      <c r="S11" s="311"/>
      <c r="T11" s="311"/>
      <c r="U11" s="311"/>
      <c r="V11" s="164"/>
      <c r="W11" s="164"/>
      <c r="X11" s="164"/>
      <c r="Y11" s="164"/>
      <c r="Z11" s="164"/>
      <c r="AA11" s="164"/>
      <c r="AB11" s="164"/>
      <c r="AC11" s="164"/>
      <c r="AD11" s="164"/>
      <c r="AE11" s="164"/>
      <c r="AF11" s="164"/>
      <c r="AG11" s="164"/>
      <c r="AH11" s="164"/>
      <c r="AI11" s="164"/>
      <c r="AJ11" s="164"/>
      <c r="AK11" s="164"/>
      <c r="AL11" s="164"/>
      <c r="AM11" s="164"/>
      <c r="AN11" s="164"/>
    </row>
    <row r="13">
      <c r="A13" s="318" t="s">
        <v>2155</v>
      </c>
      <c r="B13" s="83" t="s">
        <v>579</v>
      </c>
      <c r="C13" s="98" t="s">
        <v>2156</v>
      </c>
      <c r="D13" s="83" t="s">
        <v>2159</v>
      </c>
      <c r="E13" s="14"/>
      <c r="F13" s="14"/>
      <c r="G13" s="14"/>
    </row>
    <row r="14">
      <c r="A14" s="321" t="s">
        <v>90</v>
      </c>
      <c r="B14" s="83" t="s">
        <v>90</v>
      </c>
      <c r="C14" s="142" t="s">
        <v>2160</v>
      </c>
      <c r="D14" s="83" t="s">
        <v>2163</v>
      </c>
    </row>
    <row r="15">
      <c r="A15" s="321" t="s">
        <v>2164</v>
      </c>
      <c r="B15" s="83" t="s">
        <v>2165</v>
      </c>
      <c r="C15" s="98" t="s">
        <v>2166</v>
      </c>
      <c r="D15" s="83" t="s">
        <v>2169</v>
      </c>
    </row>
    <row r="16">
      <c r="A16" s="321" t="s">
        <v>2171</v>
      </c>
      <c r="B16" s="83" t="s">
        <v>2172</v>
      </c>
      <c r="C16" s="98" t="s">
        <v>2173</v>
      </c>
      <c r="D16" s="83" t="s">
        <v>2179</v>
      </c>
    </row>
    <row r="18" ht="15.75" customHeight="1">
      <c r="A18" s="310" t="s">
        <v>2180</v>
      </c>
      <c r="B18" s="311"/>
      <c r="C18" s="312"/>
      <c r="D18" s="32"/>
      <c r="E18" s="311"/>
      <c r="F18" s="311"/>
      <c r="G18" s="311"/>
      <c r="H18" s="311"/>
      <c r="I18" s="313"/>
      <c r="J18" s="313"/>
      <c r="K18" s="313"/>
      <c r="L18" s="313"/>
      <c r="M18" s="313"/>
      <c r="N18" s="313"/>
      <c r="O18" s="313"/>
      <c r="P18" s="313"/>
      <c r="Q18" s="311"/>
      <c r="R18" s="311"/>
      <c r="S18" s="311"/>
      <c r="T18" s="311"/>
      <c r="U18" s="311"/>
      <c r="V18" s="164"/>
      <c r="W18" s="164"/>
      <c r="X18" s="164"/>
      <c r="Y18" s="164"/>
      <c r="Z18" s="164"/>
      <c r="AA18" s="164"/>
      <c r="AB18" s="164"/>
      <c r="AC18" s="164"/>
      <c r="AD18" s="164"/>
      <c r="AE18" s="164"/>
      <c r="AF18" s="164"/>
      <c r="AG18" s="164"/>
      <c r="AH18" s="164"/>
      <c r="AI18" s="164"/>
      <c r="AJ18" s="164"/>
      <c r="AK18" s="164"/>
      <c r="AL18" s="164"/>
      <c r="AM18" s="164"/>
      <c r="AN18" s="164"/>
    </row>
    <row r="20">
      <c r="A20" s="318" t="s">
        <v>2183</v>
      </c>
      <c r="B20" s="83" t="s">
        <v>2184</v>
      </c>
      <c r="C20" s="98" t="s">
        <v>2185</v>
      </c>
      <c r="D20" s="83" t="s">
        <v>2188</v>
      </c>
    </row>
    <row r="21">
      <c r="A21" s="318" t="s">
        <v>2189</v>
      </c>
      <c r="B21" s="83" t="s">
        <v>2189</v>
      </c>
      <c r="C21" s="142" t="s">
        <v>2190</v>
      </c>
      <c r="D21" s="83" t="s">
        <v>2192</v>
      </c>
    </row>
    <row r="22">
      <c r="A22" s="318" t="s">
        <v>2193</v>
      </c>
      <c r="B22" s="83" t="s">
        <v>2194</v>
      </c>
      <c r="C22" s="142" t="s">
        <v>2195</v>
      </c>
      <c r="D22" s="83" t="s">
        <v>2201</v>
      </c>
    </row>
  </sheetData>
  <hyperlinks>
    <hyperlink r:id="rId1" ref="C5"/>
    <hyperlink r:id="rId2" ref="C6"/>
    <hyperlink r:id="rId3" ref="C7"/>
    <hyperlink r:id="rId4" ref="C8"/>
    <hyperlink r:id="rId5" ref="C9"/>
    <hyperlink r:id="rId6" ref="C13"/>
    <hyperlink r:id="rId7" ref="C14"/>
    <hyperlink r:id="rId8" ref="C15"/>
    <hyperlink r:id="rId9" ref="C16"/>
    <hyperlink r:id="rId10" ref="C20"/>
    <hyperlink r:id="rId11" ref="C21"/>
    <hyperlink r:id="rId12" ref="C22"/>
  </hyperlinks>
  <drawing r:id="rId13"/>
</worksheet>
</file>